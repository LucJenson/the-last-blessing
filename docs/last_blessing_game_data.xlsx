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lasses" sheetId="2" r:id="rId5"/>
    <sheet state="visible" name="Species" sheetId="3" r:id="rId6"/>
    <sheet state="visible" name="SkillBoxes" sheetId="4" r:id="rId7"/>
    <sheet state="visible" name="Skills" sheetId="5" r:id="rId8"/>
    <sheet state="visible" name="Skills_Effects" sheetId="6" r:id="rId9"/>
    <sheet state="visible" name="ClassPromotionRules" sheetId="7" r:id="rId10"/>
    <sheet state="visible" name="Stats" sheetId="8" r:id="rId11"/>
    <sheet state="visible" name="Elements" sheetId="9" r:id="rId12"/>
    <sheet state="visible" name="Weapon_Types" sheetId="10" r:id="rId13"/>
    <sheet state="visible" name="Weapons" sheetId="11" r:id="rId14"/>
    <sheet state="visible" name="Rarity_Index" sheetId="12" r:id="rId15"/>
    <sheet state="visible" name="Consumables" sheetId="13" r:id="rId16"/>
    <sheet state="visible" name="Gear_Types" sheetId="14" r:id="rId17"/>
    <sheet state="visible" name="GearSets" sheetId="15" r:id="rId18"/>
    <sheet state="visible" name="GearSet_Bonuses" sheetId="16" r:id="rId19"/>
    <sheet state="visible" name="CombatLevelFormula" sheetId="17" r:id="rId20"/>
  </sheets>
  <definedNames/>
  <calcPr/>
  <extLst>
    <ext uri="GoogleSheetsCustomDataVersion2">
      <go:sheetsCustomData xmlns:go="http://customooxmlschemas.google.com/" r:id="rId21" roundtripDataChecksum="JkJFSxMUWxezD7XikyJ/xsAmtKo8OyFzFNgsPIL2vNo="/>
    </ext>
  </extLst>
</workbook>
</file>

<file path=xl/sharedStrings.xml><?xml version="1.0" encoding="utf-8"?>
<sst xmlns="http://schemas.openxmlformats.org/spreadsheetml/2006/main" count="6854" uniqueCount="2328">
  <si>
    <t>GAME DATA TEMPLATE — The Last Blessing</t>
  </si>
  <si>
    <t>Purpose</t>
  </si>
  <si>
    <t>All class and skill box data from Idle_Stat_Sources, restructured as flat named-column tables for Claude Code to convert to JSON.</t>
  </si>
  <si>
    <t>Progression model</t>
  </si>
  <si>
    <t>SWG-style SP box system. Players spend Learning Points (LP) to unlock skill boxes. Each class has 4 skill branch groups (I–IV tiers each) + a Novice box + a Master capstone. Unlocking enough boxes in a prereq class opens the next tier class.</t>
  </si>
  <si>
    <t>Classes sheet</t>
  </si>
  <si>
    <t>32 classes across base → advanced → master tiers. prereq_class links the unlock chain.</t>
  </si>
  <si>
    <t>SkillBoxes sheet</t>
  </si>
  <si>
    <t>576 boxes. box_code encodes branch position: prefix + xooo = branch 1 active, oxoo = branch 2, etc. Tiers I–IV per branch. Stat bonuses from your Idle_Stat_Sources sheet — NOT YET BALANCED (your note). Each box has an associated "learning points (LP)" cost.</t>
  </si>
  <si>
    <t>ClassPromotionRules</t>
  </si>
  <si>
    <t>Promotion rules based on the prereq_class field in the data. Required boxes per promotion listed under boxes_required.</t>
  </si>
  <si>
    <t>Sheet list</t>
  </si>
  <si>
    <t>README | Classes | Species | SkillBoxes | Skills | Skill_Effects | ClassPromotionRules | Stats | Elements | Weapon_Types | Weapons | Gear_Types | GearSets | GearSet_Bonuses | CombatLevelFormula</t>
  </si>
  <si>
    <t>One row per class. tier: base=500 SP pool | advanced=750 | master=1000. prereq_class = the class that must be completed first. stat columns = cumulative totals across all boxes (from your Idle_Stat_Sources data).</t>
  </si>
  <si>
    <t>id</t>
  </si>
  <si>
    <t>name</t>
  </si>
  <si>
    <t>tier</t>
  </si>
  <si>
    <t>class_type</t>
  </si>
  <si>
    <t>weight</t>
  </si>
  <si>
    <t>dmg_type1</t>
  </si>
  <si>
    <t>dmg_type2</t>
  </si>
  <si>
    <t>weapon</t>
  </si>
  <si>
    <t>prereq_class</t>
  </si>
  <si>
    <t>total_HP</t>
  </si>
  <si>
    <t>total_SP</t>
  </si>
  <si>
    <t>total_TP</t>
  </si>
  <si>
    <t>total_MP</t>
  </si>
  <si>
    <t>notes</t>
  </si>
  <si>
    <t>Blade Brandier</t>
  </si>
  <si>
    <t>base</t>
  </si>
  <si>
    <t>Melee Physical</t>
  </si>
  <si>
    <t>Heavy</t>
  </si>
  <si>
    <t>Slashing</t>
  </si>
  <si>
    <t>Piercing</t>
  </si>
  <si>
    <t>Blade</t>
  </si>
  <si>
    <t>Twin Blade</t>
  </si>
  <si>
    <t>Medium</t>
  </si>
  <si>
    <t>Cursing</t>
  </si>
  <si>
    <t>Twin Blades</t>
  </si>
  <si>
    <t>Wave User</t>
  </si>
  <si>
    <t>Melee Magical</t>
  </si>
  <si>
    <t>Light</t>
  </si>
  <si>
    <t>Arcane</t>
  </si>
  <si>
    <t>Support</t>
  </si>
  <si>
    <t>Focus</t>
  </si>
  <si>
    <t>Harvest Cleric</t>
  </si>
  <si>
    <t>Ranged Magical</t>
  </si>
  <si>
    <t>Relic</t>
  </si>
  <si>
    <t>Wand</t>
  </si>
  <si>
    <t>Guard Knight</t>
  </si>
  <si>
    <t>advanced</t>
  </si>
  <si>
    <t>Long Blade</t>
  </si>
  <si>
    <t>Branded Barbarian</t>
  </si>
  <si>
    <t>Blunt</t>
  </si>
  <si>
    <t>Heavy Ax</t>
  </si>
  <si>
    <t>Curse Knight</t>
  </si>
  <si>
    <t>Cursed Blade</t>
  </si>
  <si>
    <t>Acro Archer</t>
  </si>
  <si>
    <t>Ranged Physical</t>
  </si>
  <si>
    <t>Medum</t>
  </si>
  <si>
    <t>Bow</t>
  </si>
  <si>
    <t>Pistol Ranger</t>
  </si>
  <si>
    <t>Dual Guns</t>
  </si>
  <si>
    <t>Umbral Assassin</t>
  </si>
  <si>
    <t>Claws</t>
  </si>
  <si>
    <t>Arcane Wavemaster</t>
  </si>
  <si>
    <t>Staff</t>
  </si>
  <si>
    <t>Tome Summoner</t>
  </si>
  <si>
    <t>Runes</t>
  </si>
  <si>
    <t>Aura Priest</t>
  </si>
  <si>
    <t>Tome</t>
  </si>
  <si>
    <t>Martial Monk</t>
  </si>
  <si>
    <t>Bo Staff</t>
  </si>
  <si>
    <t>Runic Paladin</t>
  </si>
  <si>
    <t>master</t>
  </si>
  <si>
    <t>Shield</t>
  </si>
  <si>
    <t>Long Arm</t>
  </si>
  <si>
    <t>Spear</t>
  </si>
  <si>
    <t>Wild Berserker</t>
  </si>
  <si>
    <t>Heavy Blade</t>
  </si>
  <si>
    <t>Dark Knight</t>
  </si>
  <si>
    <t>Spell Blade</t>
  </si>
  <si>
    <t>Wave Knight</t>
  </si>
  <si>
    <t>Jian Blade</t>
  </si>
  <si>
    <t>Heavy Hunter</t>
  </si>
  <si>
    <t>Heavy Bow</t>
  </si>
  <si>
    <t>Servo Sniper</t>
  </si>
  <si>
    <t>Rifle</t>
  </si>
  <si>
    <t>Steam Gunner</t>
  </si>
  <si>
    <t>Bayonet</t>
  </si>
  <si>
    <t>Tribal Grappler</t>
  </si>
  <si>
    <t>Gauntlets</t>
  </si>
  <si>
    <t>Flick Reaper</t>
  </si>
  <si>
    <t>Scythe</t>
  </si>
  <si>
    <t>Wicked Warlock</t>
  </si>
  <si>
    <t>Heavy Staff</t>
  </si>
  <si>
    <t>Scepter Sage</t>
  </si>
  <si>
    <t>LIght</t>
  </si>
  <si>
    <t>Crystal Staff</t>
  </si>
  <si>
    <t>Fan Elementalist</t>
  </si>
  <si>
    <t>War Fans</t>
  </si>
  <si>
    <t>Cursed Necromancer</t>
  </si>
  <si>
    <t>Necronomicon</t>
  </si>
  <si>
    <t>Grim Hierophant</t>
  </si>
  <si>
    <t>Grimoire</t>
  </si>
  <si>
    <t>Reliquary Archbishop</t>
  </si>
  <si>
    <t>Holy Relic</t>
  </si>
  <si>
    <t>Arts Master</t>
  </si>
  <si>
    <t>Whip</t>
  </si>
  <si>
    <t>Macabre Dancer</t>
  </si>
  <si>
    <t>Bladed Fans</t>
  </si>
  <si>
    <t>One row per species/sub-race. banned_classes: comma-separated class names. stat_mod columns: positive or negative number added to base stat.</t>
  </si>
  <si>
    <t>being</t>
  </si>
  <si>
    <t>sub_race</t>
  </si>
  <si>
    <t>faction</t>
  </si>
  <si>
    <t>primary_stat</t>
  </si>
  <si>
    <t>secondary_stat</t>
  </si>
  <si>
    <t>banned_classes</t>
  </si>
  <si>
    <t>HP_mod</t>
  </si>
  <si>
    <t>SP_mod</t>
  </si>
  <si>
    <t>TP_mod</t>
  </si>
  <si>
    <t>MP_mod</t>
  </si>
  <si>
    <t>Elf</t>
  </si>
  <si>
    <t>Fole</t>
  </si>
  <si>
    <t>Briar Collective</t>
  </si>
  <si>
    <t>SP</t>
  </si>
  <si>
    <t>MATK</t>
  </si>
  <si>
    <t>Nume</t>
  </si>
  <si>
    <t>Sylvan Collective</t>
  </si>
  <si>
    <t>PATK</t>
  </si>
  <si>
    <t>Human</t>
  </si>
  <si>
    <t>Kkyn</t>
  </si>
  <si>
    <t>Steel Clan</t>
  </si>
  <si>
    <t>PDEF</t>
  </si>
  <si>
    <t>MEVA</t>
  </si>
  <si>
    <t>Oeld</t>
  </si>
  <si>
    <t>Oak Clan</t>
  </si>
  <si>
    <t>PEVA</t>
  </si>
  <si>
    <t>Beast</t>
  </si>
  <si>
    <t>Tamo</t>
  </si>
  <si>
    <t>Paw Tribe</t>
  </si>
  <si>
    <t>HP</t>
  </si>
  <si>
    <t>MHIT</t>
  </si>
  <si>
    <t>Wyld</t>
  </si>
  <si>
    <t>Fang Tribe</t>
  </si>
  <si>
    <t>PHIT</t>
  </si>
  <si>
    <t>One row per skill box. box_code encodes structure: 2-char class prefix + branch pattern (x=active branch, o=inactive) + roman tier (I-IV), OR Novice/Master. branch_pos: 1-4=which of the 4 skill groups, 0=Novice, 5=Master. Stat bonuses sourced from Idle_Stat_Sources — not yet balanced per your notes.</t>
  </si>
  <si>
    <t>class_id</t>
  </si>
  <si>
    <t>class_name</t>
  </si>
  <si>
    <t>box_name</t>
  </si>
  <si>
    <t>box_group</t>
  </si>
  <si>
    <t>box_code</t>
  </si>
  <si>
    <t>box_type</t>
  </si>
  <si>
    <t>branch_pos</t>
  </si>
  <si>
    <t>box_tier</t>
  </si>
  <si>
    <t>lp_cost</t>
  </si>
  <si>
    <t>cp_earned</t>
  </si>
  <si>
    <t>required_exp</t>
  </si>
  <si>
    <t>certificate_unlocked</t>
  </si>
  <si>
    <t>TP</t>
  </si>
  <si>
    <t>MP</t>
  </si>
  <si>
    <t>MDEF</t>
  </si>
  <si>
    <t>FIR</t>
  </si>
  <si>
    <t>WTR</t>
  </si>
  <si>
    <t>AIR</t>
  </si>
  <si>
    <t>ERT</t>
  </si>
  <si>
    <t>LGT</t>
  </si>
  <si>
    <t>DRK</t>
  </si>
  <si>
    <t>Novice Blade Brandier</t>
  </si>
  <si>
    <t>BBNovice</t>
  </si>
  <si>
    <t>novice</t>
  </si>
  <si>
    <t>Blade_License</t>
  </si>
  <si>
    <t>Sword Handling I</t>
  </si>
  <si>
    <t>Sword Handling</t>
  </si>
  <si>
    <t>BBxoooI</t>
  </si>
  <si>
    <t>skill</t>
  </si>
  <si>
    <t>Sword Handling II</t>
  </si>
  <si>
    <t>BBxoooII</t>
  </si>
  <si>
    <t>Sword Handling III</t>
  </si>
  <si>
    <t>BBxoooIII</t>
  </si>
  <si>
    <t>Sword Handling IV</t>
  </si>
  <si>
    <t>BBxoooIV</t>
  </si>
  <si>
    <t>Sword Techniques I</t>
  </si>
  <si>
    <t>Sword Techniques</t>
  </si>
  <si>
    <t>BBoxooI</t>
  </si>
  <si>
    <t>Sword Techniques II</t>
  </si>
  <si>
    <t>BBoxooII</t>
  </si>
  <si>
    <t>Sword Techniques III</t>
  </si>
  <si>
    <t>BBoxooIII</t>
  </si>
  <si>
    <t>Sword Techniques IV</t>
  </si>
  <si>
    <t>BBoxooIV</t>
  </si>
  <si>
    <t>Sword Arts I</t>
  </si>
  <si>
    <t>Sword Arts</t>
  </si>
  <si>
    <t>BBooxoI</t>
  </si>
  <si>
    <t>Sword Arts II</t>
  </si>
  <si>
    <t>BBooxoII</t>
  </si>
  <si>
    <t>Sword Arts III</t>
  </si>
  <si>
    <t>BBooxoIII</t>
  </si>
  <si>
    <t>Sword Arts IV</t>
  </si>
  <si>
    <t>BBooxoIV</t>
  </si>
  <si>
    <t>Slashing Blade I</t>
  </si>
  <si>
    <t>Slashing Blade</t>
  </si>
  <si>
    <t>BBoooxI</t>
  </si>
  <si>
    <t>Slashing Blade II</t>
  </si>
  <si>
    <t>BBoooxII</t>
  </si>
  <si>
    <t>Slashing Blade III</t>
  </si>
  <si>
    <t>BBoooxIII</t>
  </si>
  <si>
    <t>Slashing Blade IV</t>
  </si>
  <si>
    <t>BBoooxIV</t>
  </si>
  <si>
    <t>Master Blade Brandier</t>
  </si>
  <si>
    <t>BBMaster</t>
  </si>
  <si>
    <t>Novice Twin Blade</t>
  </si>
  <si>
    <t>TBNovice</t>
  </si>
  <si>
    <t>Twin_Blades_License</t>
  </si>
  <si>
    <t>Aim I</t>
  </si>
  <si>
    <t>Aim</t>
  </si>
  <si>
    <t>TBxoooI</t>
  </si>
  <si>
    <t>Aim II</t>
  </si>
  <si>
    <t>TBxoooII</t>
  </si>
  <si>
    <t>Aim III</t>
  </si>
  <si>
    <t>TBxoooIII</t>
  </si>
  <si>
    <t>Aim IV</t>
  </si>
  <si>
    <t>TBxoooIV</t>
  </si>
  <si>
    <t>Close Combat I</t>
  </si>
  <si>
    <t>Close Combat</t>
  </si>
  <si>
    <t>TBoxooI</t>
  </si>
  <si>
    <t>Close Combat II</t>
  </si>
  <si>
    <t>TBoxooII</t>
  </si>
  <si>
    <t>Close Combat III</t>
  </si>
  <si>
    <t>TBoxooIII</t>
  </si>
  <si>
    <t>Close Combat IV</t>
  </si>
  <si>
    <t>TBoxooIV</t>
  </si>
  <si>
    <t>Stealth I</t>
  </si>
  <si>
    <t>Stealth</t>
  </si>
  <si>
    <t>TBooxoI</t>
  </si>
  <si>
    <t>Stealth II</t>
  </si>
  <si>
    <t>TBooxoII</t>
  </si>
  <si>
    <t>Stealth III</t>
  </si>
  <si>
    <t>TBooxoIII</t>
  </si>
  <si>
    <t>Stealth IV</t>
  </si>
  <si>
    <t>TBooxoIV</t>
  </si>
  <si>
    <t>Tracking I</t>
  </si>
  <si>
    <t>Tracking</t>
  </si>
  <si>
    <t>TBoooxI</t>
  </si>
  <si>
    <t>Tracking II</t>
  </si>
  <si>
    <t>TBoooxII</t>
  </si>
  <si>
    <t>Tracking III</t>
  </si>
  <si>
    <t>TBoooxIII</t>
  </si>
  <si>
    <t>Tracking IV</t>
  </si>
  <si>
    <t>TBoooxIV</t>
  </si>
  <si>
    <t>Master Twin Blade</t>
  </si>
  <si>
    <t>TBMaster</t>
  </si>
  <si>
    <t>Novice Wave User</t>
  </si>
  <si>
    <t>WUNovice</t>
  </si>
  <si>
    <t>Focus_License</t>
  </si>
  <si>
    <t>Wave Magic I</t>
  </si>
  <si>
    <t>Wave Magic</t>
  </si>
  <si>
    <t>WUxoooI</t>
  </si>
  <si>
    <t>Wave Magic II</t>
  </si>
  <si>
    <t>WUxoooII</t>
  </si>
  <si>
    <t>Wave Magic III</t>
  </si>
  <si>
    <t>WUxoooIII</t>
  </si>
  <si>
    <t>Wave Magic IV</t>
  </si>
  <si>
    <t>WUxoooIV</t>
  </si>
  <si>
    <t>Focus I</t>
  </si>
  <si>
    <t>WUoxooI</t>
  </si>
  <si>
    <t>Focus II</t>
  </si>
  <si>
    <t>WUoxooII</t>
  </si>
  <si>
    <t>Focus III</t>
  </si>
  <si>
    <t>WUoxooIII</t>
  </si>
  <si>
    <t>Focus IV</t>
  </si>
  <si>
    <t>WUoxooIV</t>
  </si>
  <si>
    <t>Summoning I</t>
  </si>
  <si>
    <t>Summoning</t>
  </si>
  <si>
    <t>WUooxoI</t>
  </si>
  <si>
    <t>Summoning II</t>
  </si>
  <si>
    <t>WUooxoII</t>
  </si>
  <si>
    <t>Summoning III</t>
  </si>
  <si>
    <t>WUooxoIII</t>
  </si>
  <si>
    <t>Summoning IV</t>
  </si>
  <si>
    <t>WUooxoIV</t>
  </si>
  <si>
    <t>Elemental Studies I</t>
  </si>
  <si>
    <t>Elemental Studies</t>
  </si>
  <si>
    <t>WUoooxI</t>
  </si>
  <si>
    <t>Elemental Studies II</t>
  </si>
  <si>
    <t>WUoooxII</t>
  </si>
  <si>
    <t>Elemental Studies III</t>
  </si>
  <si>
    <t>WUoooxIII</t>
  </si>
  <si>
    <t>Elemental Studies IV</t>
  </si>
  <si>
    <t>WUoooxIV</t>
  </si>
  <si>
    <t>Master Wave User</t>
  </si>
  <si>
    <t>WUMaster</t>
  </si>
  <si>
    <t>Novice Harvest Cleric</t>
  </si>
  <si>
    <t>HCNovice</t>
  </si>
  <si>
    <t>Wand_License</t>
  </si>
  <si>
    <t>Healing Magic I</t>
  </si>
  <si>
    <t>Healing Magic</t>
  </si>
  <si>
    <t>HCxoooI</t>
  </si>
  <si>
    <t>Healing Magic II</t>
  </si>
  <si>
    <t>HCxoooII</t>
  </si>
  <si>
    <t>Healing Magic III</t>
  </si>
  <si>
    <t>HCxoooIII</t>
  </si>
  <si>
    <t>Healing Magic IV</t>
  </si>
  <si>
    <t>HCxoooIV</t>
  </si>
  <si>
    <t>Light Magic I</t>
  </si>
  <si>
    <t>Light Magic</t>
  </si>
  <si>
    <t>HCoxooI</t>
  </si>
  <si>
    <t>Light Magic II</t>
  </si>
  <si>
    <t>HCoxooII</t>
  </si>
  <si>
    <t>Light Magic III</t>
  </si>
  <si>
    <t>HCoxooIII</t>
  </si>
  <si>
    <t>Light Magic IV</t>
  </si>
  <si>
    <t>HCoxooIV</t>
  </si>
  <si>
    <t>Dark Magic I</t>
  </si>
  <si>
    <t>Dark Magic</t>
  </si>
  <si>
    <t>HCooxoI</t>
  </si>
  <si>
    <t>Dark Magic II</t>
  </si>
  <si>
    <t>HCooxoII</t>
  </si>
  <si>
    <t>Dark Magic III</t>
  </si>
  <si>
    <t>HCooxoIII</t>
  </si>
  <si>
    <t>Dark Magic IV</t>
  </si>
  <si>
    <t>HCooxoIV</t>
  </si>
  <si>
    <t>Breathing I</t>
  </si>
  <si>
    <t>Breathing</t>
  </si>
  <si>
    <t>HCoooxI</t>
  </si>
  <si>
    <t>Breathing II</t>
  </si>
  <si>
    <t>HCoooxII</t>
  </si>
  <si>
    <t>Breathing III</t>
  </si>
  <si>
    <t>HCoooxIII</t>
  </si>
  <si>
    <t>Breathing IV</t>
  </si>
  <si>
    <t>HCoooxIV</t>
  </si>
  <si>
    <t>Master Harvest Cleric</t>
  </si>
  <si>
    <t>HCMaster</t>
  </si>
  <si>
    <t>Novice Guard Knight</t>
  </si>
  <si>
    <t>GKNovice</t>
  </si>
  <si>
    <t>Long_Blade_License</t>
  </si>
  <si>
    <t>Defense Arts I</t>
  </si>
  <si>
    <t>Defense Arts</t>
  </si>
  <si>
    <t>GKxoooI</t>
  </si>
  <si>
    <t>Defense Arts II</t>
  </si>
  <si>
    <t>GKxoooII</t>
  </si>
  <si>
    <t>Defense Arts III</t>
  </si>
  <si>
    <t>GKxoooIII</t>
  </si>
  <si>
    <t>Defense Arts IV</t>
  </si>
  <si>
    <t>GKxoooIV</t>
  </si>
  <si>
    <t>Taunt I</t>
  </si>
  <si>
    <t>Taunt</t>
  </si>
  <si>
    <t>GKoxooI</t>
  </si>
  <si>
    <t>Taunt II</t>
  </si>
  <si>
    <t>GKoxooII</t>
  </si>
  <si>
    <t>Taunt III</t>
  </si>
  <si>
    <t>GKoxooIII</t>
  </si>
  <si>
    <t>Taunt IV</t>
  </si>
  <si>
    <t>GKoxooIV</t>
  </si>
  <si>
    <t>Lunge I</t>
  </si>
  <si>
    <t>Lunge</t>
  </si>
  <si>
    <t>GKooxoI</t>
  </si>
  <si>
    <t>Lunge II</t>
  </si>
  <si>
    <t>GKooxoII</t>
  </si>
  <si>
    <t>Lunge III</t>
  </si>
  <si>
    <t>GKooxoIII</t>
  </si>
  <si>
    <t>Lunge IV</t>
  </si>
  <si>
    <t>GKooxoIV</t>
  </si>
  <si>
    <t>Defense Techniques I</t>
  </si>
  <si>
    <t>Defense Techniques</t>
  </si>
  <si>
    <t>GKoooxI</t>
  </si>
  <si>
    <t>Defense Techniques II</t>
  </si>
  <si>
    <t>GKoooxII</t>
  </si>
  <si>
    <t>Defense Techniques III</t>
  </si>
  <si>
    <t>GKoooxIII</t>
  </si>
  <si>
    <t>Defense Techniques IV</t>
  </si>
  <si>
    <t>GKoooxIV</t>
  </si>
  <si>
    <t>Master Guard Knight</t>
  </si>
  <si>
    <t>GKMaster</t>
  </si>
  <si>
    <t>Novice Branded Barbarian</t>
  </si>
  <si>
    <t>Heavy_Axe_License</t>
  </si>
  <si>
    <t>2H Mastery I</t>
  </si>
  <si>
    <t>2H Mastery</t>
  </si>
  <si>
    <t>2H Mastery II</t>
  </si>
  <si>
    <t>2H Mastery III</t>
  </si>
  <si>
    <t>2H Mastery IV</t>
  </si>
  <si>
    <t>Fury I</t>
  </si>
  <si>
    <t>Fury</t>
  </si>
  <si>
    <t>Fury II</t>
  </si>
  <si>
    <t>Fury III</t>
  </si>
  <si>
    <t>Fury IV</t>
  </si>
  <si>
    <t>Ferocious Strike I</t>
  </si>
  <si>
    <t>Ferocious Strike</t>
  </si>
  <si>
    <t>Ferocious Strike II</t>
  </si>
  <si>
    <t>Ferocious Strike III</t>
  </si>
  <si>
    <t>Ferocious Strike IV</t>
  </si>
  <si>
    <t>Vital Arts I</t>
  </si>
  <si>
    <t>Vital Arts</t>
  </si>
  <si>
    <t>Vital Arts II</t>
  </si>
  <si>
    <t>Vital Arts III</t>
  </si>
  <si>
    <t>Vital Arts IV</t>
  </si>
  <si>
    <t>Master Branded Barbarian</t>
  </si>
  <si>
    <t>Novice Curse Knight</t>
  </si>
  <si>
    <t>CKNovice</t>
  </si>
  <si>
    <t>Cursed_Blade_License</t>
  </si>
  <si>
    <t>Dark Techniques I</t>
  </si>
  <si>
    <t>Dark Techniques</t>
  </si>
  <si>
    <t>CKxoooI</t>
  </si>
  <si>
    <t>Dark Techniques II</t>
  </si>
  <si>
    <t>CKxoooII</t>
  </si>
  <si>
    <t>Dark Techniques III</t>
  </si>
  <si>
    <t>CKxoooIII</t>
  </si>
  <si>
    <t>Dark Techniques IV</t>
  </si>
  <si>
    <t>CKxoooIV</t>
  </si>
  <si>
    <t>Curse I</t>
  </si>
  <si>
    <t>Curse</t>
  </si>
  <si>
    <t>CKoxooI</t>
  </si>
  <si>
    <t>Curse II</t>
  </si>
  <si>
    <t>CKoxooII</t>
  </si>
  <si>
    <t>Curse III</t>
  </si>
  <si>
    <t>CKoxooIII</t>
  </si>
  <si>
    <t>Curse IV</t>
  </si>
  <si>
    <t>CKoxooIV</t>
  </si>
  <si>
    <t>Elemental Blade I</t>
  </si>
  <si>
    <t>Elemental Blade</t>
  </si>
  <si>
    <t>CKooxoI</t>
  </si>
  <si>
    <t>Elemental Blade II</t>
  </si>
  <si>
    <t>CKooxoII</t>
  </si>
  <si>
    <t>Elemental Blade III</t>
  </si>
  <si>
    <t>CKooxoIII</t>
  </si>
  <si>
    <t>Elemental Blade IV</t>
  </si>
  <si>
    <t>CKooxoIV</t>
  </si>
  <si>
    <t>Blade Arts I</t>
  </si>
  <si>
    <t>Blade Arts</t>
  </si>
  <si>
    <t>CKoooxI</t>
  </si>
  <si>
    <t>Blade Arts II</t>
  </si>
  <si>
    <t>CKoooxII</t>
  </si>
  <si>
    <t>Blade Arts III</t>
  </si>
  <si>
    <t>CKoooxIII</t>
  </si>
  <si>
    <t>Blade Arts IV</t>
  </si>
  <si>
    <t>CKoooxIV</t>
  </si>
  <si>
    <t>Master Curse Knight</t>
  </si>
  <si>
    <t>CKMaster</t>
  </si>
  <si>
    <t>Novice Acro Archer</t>
  </si>
  <si>
    <t>AANovice</t>
  </si>
  <si>
    <t>Bow_License</t>
  </si>
  <si>
    <t>Agility I</t>
  </si>
  <si>
    <t>Agility</t>
  </si>
  <si>
    <t>AAxoooI</t>
  </si>
  <si>
    <t>Agility II</t>
  </si>
  <si>
    <t>AAxoooII</t>
  </si>
  <si>
    <t>Agility III</t>
  </si>
  <si>
    <t>AAxoooIII</t>
  </si>
  <si>
    <t>Agility IV</t>
  </si>
  <si>
    <t>AAxoooIV</t>
  </si>
  <si>
    <t>Evade I</t>
  </si>
  <si>
    <t>Evade</t>
  </si>
  <si>
    <t>AAoxooI</t>
  </si>
  <si>
    <t>Evade II</t>
  </si>
  <si>
    <t>AAoxooII</t>
  </si>
  <si>
    <t>Evade III</t>
  </si>
  <si>
    <t>AAoxooIII</t>
  </si>
  <si>
    <t>Evade IV</t>
  </si>
  <si>
    <t>AAoxooIV</t>
  </si>
  <si>
    <t>Ranged Strike I</t>
  </si>
  <si>
    <t>Ranged Strike</t>
  </si>
  <si>
    <t>AAooxoI</t>
  </si>
  <si>
    <t>Ranged Strike II</t>
  </si>
  <si>
    <t>AAooxoII</t>
  </si>
  <si>
    <t>Ranged Strike III</t>
  </si>
  <si>
    <t>AAooxoIII</t>
  </si>
  <si>
    <t>Ranged Strike IV</t>
  </si>
  <si>
    <t>AAooxoIV</t>
  </si>
  <si>
    <t>Controlled Breathing I</t>
  </si>
  <si>
    <t>Controlled Breathing</t>
  </si>
  <si>
    <t>AAoooxI</t>
  </si>
  <si>
    <t>Controlled Breathing II</t>
  </si>
  <si>
    <t>AAoooxII</t>
  </si>
  <si>
    <t>Controlled Breathing III</t>
  </si>
  <si>
    <t>AAoooxIII</t>
  </si>
  <si>
    <t>Controlled Breathing IV</t>
  </si>
  <si>
    <t>AAoooxIV</t>
  </si>
  <si>
    <t>Master Acro Archer</t>
  </si>
  <si>
    <t>AAMaster</t>
  </si>
  <si>
    <t>Novice Pistol Ranger</t>
  </si>
  <si>
    <t>PRNovice</t>
  </si>
  <si>
    <t>Dual_Guns_License</t>
  </si>
  <si>
    <t>Disengage I</t>
  </si>
  <si>
    <t>Disengage</t>
  </si>
  <si>
    <t>PRxoooI</t>
  </si>
  <si>
    <t>Disengage II</t>
  </si>
  <si>
    <t>PRxoooII</t>
  </si>
  <si>
    <t>Disengage III</t>
  </si>
  <si>
    <t>PRxoooIII</t>
  </si>
  <si>
    <t>Disengage IV</t>
  </si>
  <si>
    <t>PRxoooIV</t>
  </si>
  <si>
    <t>Rapid Fire I</t>
  </si>
  <si>
    <t>Rapid Fire</t>
  </si>
  <si>
    <t>PRoxooI</t>
  </si>
  <si>
    <t>Rapid Fire II</t>
  </si>
  <si>
    <t>PRoxooII</t>
  </si>
  <si>
    <t>Rapid Fire III</t>
  </si>
  <si>
    <t>PRoxooIII</t>
  </si>
  <si>
    <t>Rapid Fire IV</t>
  </si>
  <si>
    <t>PRoxooIV</t>
  </si>
  <si>
    <t>Quick Draw I</t>
  </si>
  <si>
    <t>Quick Draw</t>
  </si>
  <si>
    <t>PRooxoI</t>
  </si>
  <si>
    <t>Quick Draw II</t>
  </si>
  <si>
    <t>PRooxoII</t>
  </si>
  <si>
    <t>Quick Draw III</t>
  </si>
  <si>
    <t>PRooxoIII</t>
  </si>
  <si>
    <t>Quick Draw IV</t>
  </si>
  <si>
    <t>PRooxoIV</t>
  </si>
  <si>
    <t>Mobility I</t>
  </si>
  <si>
    <t>Mobility</t>
  </si>
  <si>
    <t>PRoooxI</t>
  </si>
  <si>
    <t>Mobility II</t>
  </si>
  <si>
    <t>PRoooxII</t>
  </si>
  <si>
    <t>Mobility III</t>
  </si>
  <si>
    <t>PRoooxIII</t>
  </si>
  <si>
    <t>Mobility IV</t>
  </si>
  <si>
    <t>PRoooxIV</t>
  </si>
  <si>
    <t>Master Pistol Ranger</t>
  </si>
  <si>
    <t>PRMaster</t>
  </si>
  <si>
    <t>Novice Umbral Assassin</t>
  </si>
  <si>
    <t>UANovice</t>
  </si>
  <si>
    <t>Claws_License</t>
  </si>
  <si>
    <t>Reflexes I</t>
  </si>
  <si>
    <t>Reflexes</t>
  </si>
  <si>
    <t>UAxoooI</t>
  </si>
  <si>
    <t>Reflexes II</t>
  </si>
  <si>
    <t>UAxoooII</t>
  </si>
  <si>
    <t>Reflexes III</t>
  </si>
  <si>
    <t>UAxoooIII</t>
  </si>
  <si>
    <t>Reflexes IV</t>
  </si>
  <si>
    <t>UAxoooIV</t>
  </si>
  <si>
    <t>Swift Strike I</t>
  </si>
  <si>
    <t>Swift Strike</t>
  </si>
  <si>
    <t>UAoxooI</t>
  </si>
  <si>
    <t>Swift Strike II</t>
  </si>
  <si>
    <t>UAoxooII</t>
  </si>
  <si>
    <t>Swift Strike III</t>
  </si>
  <si>
    <t>UAoxooIII</t>
  </si>
  <si>
    <t>Swift Strike IV</t>
  </si>
  <si>
    <t>UAoxooIV</t>
  </si>
  <si>
    <t>Bladestorm I</t>
  </si>
  <si>
    <t>Bladestorm</t>
  </si>
  <si>
    <t>UAooxoI</t>
  </si>
  <si>
    <t>Bladestorm II</t>
  </si>
  <si>
    <t>UAooxoII</t>
  </si>
  <si>
    <t>Bladestorm III</t>
  </si>
  <si>
    <t>UAooxoIII</t>
  </si>
  <si>
    <t>Bladestorm IV</t>
  </si>
  <si>
    <t>UAooxoIV</t>
  </si>
  <si>
    <t>Death Mark I</t>
  </si>
  <si>
    <t>Death Mark</t>
  </si>
  <si>
    <t>UAoooxI</t>
  </si>
  <si>
    <t>Death Mark II</t>
  </si>
  <si>
    <t>UAoooxII</t>
  </si>
  <si>
    <t>Death Mark III</t>
  </si>
  <si>
    <t>UAoooxIII</t>
  </si>
  <si>
    <t>Death Mark IV</t>
  </si>
  <si>
    <t>UAoooxIV</t>
  </si>
  <si>
    <t>Master Umbral Assassin</t>
  </si>
  <si>
    <t>UAMaster</t>
  </si>
  <si>
    <t>Novice Arcane Wavemaster</t>
  </si>
  <si>
    <t>AWNovice</t>
  </si>
  <si>
    <t>Staff_License</t>
  </si>
  <si>
    <t>Wave Channeling I</t>
  </si>
  <si>
    <t>Wave Channeling</t>
  </si>
  <si>
    <t>AWxoooI</t>
  </si>
  <si>
    <t>Wave Channeling II</t>
  </si>
  <si>
    <t>AWxoooII</t>
  </si>
  <si>
    <t>Wave Channeling III</t>
  </si>
  <si>
    <t>AWxoooIII</t>
  </si>
  <si>
    <t>Wave Channeling IV</t>
  </si>
  <si>
    <t>AWxoooIV</t>
  </si>
  <si>
    <t>Firestorm I</t>
  </si>
  <si>
    <t>Firestorm</t>
  </si>
  <si>
    <t>AWoxooI</t>
  </si>
  <si>
    <t>Firestorm II</t>
  </si>
  <si>
    <t>AWoxooII</t>
  </si>
  <si>
    <t>Firestorm III</t>
  </si>
  <si>
    <t>AWoxooIII</t>
  </si>
  <si>
    <t>Firestorm IV</t>
  </si>
  <si>
    <t>AWoxooIV</t>
  </si>
  <si>
    <t>Wave Barrier I</t>
  </si>
  <si>
    <t>Wave Barrier</t>
  </si>
  <si>
    <t>AWooxoI</t>
  </si>
  <si>
    <t>Wave Barrier II</t>
  </si>
  <si>
    <t>AWooxoII</t>
  </si>
  <si>
    <t>Wave Barrier III</t>
  </si>
  <si>
    <t>AWooxoIII</t>
  </si>
  <si>
    <t>Wave Barrier IV</t>
  </si>
  <si>
    <t>AWooxoIV</t>
  </si>
  <si>
    <t>Staff Handling I</t>
  </si>
  <si>
    <t>Staff Handling</t>
  </si>
  <si>
    <t>AWoooxI</t>
  </si>
  <si>
    <t>Staff Handling II</t>
  </si>
  <si>
    <t>AWoooxII</t>
  </si>
  <si>
    <t>Staff Handling III</t>
  </si>
  <si>
    <t>AWoooxIII</t>
  </si>
  <si>
    <t>Staff Handling IV</t>
  </si>
  <si>
    <t>AWoooxIV</t>
  </si>
  <si>
    <t>Master Arcane Wavemaster</t>
  </si>
  <si>
    <t>AWMaster</t>
  </si>
  <si>
    <t>Summoner</t>
  </si>
  <si>
    <t>Novice Summoner</t>
  </si>
  <si>
    <t>SuNovice</t>
  </si>
  <si>
    <t>Runes_License</t>
  </si>
  <si>
    <t>Rune Carving I</t>
  </si>
  <si>
    <t>Rune Carving</t>
  </si>
  <si>
    <t>SuxoooI</t>
  </si>
  <si>
    <t>Rune Carving II</t>
  </si>
  <si>
    <t>SuxoooII</t>
  </si>
  <si>
    <t>Rune Carving III</t>
  </si>
  <si>
    <t>SuxoooIII</t>
  </si>
  <si>
    <t>Rune Carving IV</t>
  </si>
  <si>
    <t>SuxoooIV</t>
  </si>
  <si>
    <t>Elemental Summons I</t>
  </si>
  <si>
    <t>Elemental Summons</t>
  </si>
  <si>
    <t>SuoxooI</t>
  </si>
  <si>
    <t>Elemental Summons II</t>
  </si>
  <si>
    <t>SuoxooII</t>
  </si>
  <si>
    <t>Elemental Summons III</t>
  </si>
  <si>
    <t>SuoxooIII</t>
  </si>
  <si>
    <t>Elemental Summons IV</t>
  </si>
  <si>
    <t>SuoxooIV</t>
  </si>
  <si>
    <t>Dark Summons I</t>
  </si>
  <si>
    <t>Dark Summons</t>
  </si>
  <si>
    <t>SuooxoI</t>
  </si>
  <si>
    <t>Dark Summons II</t>
  </si>
  <si>
    <t>SuooxoII</t>
  </si>
  <si>
    <t>Dark Summons III</t>
  </si>
  <si>
    <t>SuooxoIII</t>
  </si>
  <si>
    <t>Dark Summons IV</t>
  </si>
  <si>
    <t>SuooxoIV</t>
  </si>
  <si>
    <t>Dark Knowledge I</t>
  </si>
  <si>
    <t>Dark Knowledge</t>
  </si>
  <si>
    <t>SuoooxI</t>
  </si>
  <si>
    <t>Dark Knowledge II</t>
  </si>
  <si>
    <t>SoooxII</t>
  </si>
  <si>
    <t>Dark Knowledge III</t>
  </si>
  <si>
    <t>SuoooxIII</t>
  </si>
  <si>
    <t>Dark Knowledge IV</t>
  </si>
  <si>
    <t>SuoooxIV</t>
  </si>
  <si>
    <t>Master Summoner</t>
  </si>
  <si>
    <t>SuMaster</t>
  </si>
  <si>
    <t>Novice Aura Priest</t>
  </si>
  <si>
    <t>APNovice</t>
  </si>
  <si>
    <t>Tome_License</t>
  </si>
  <si>
    <t>Aura Arts I</t>
  </si>
  <si>
    <t>Aura Arts</t>
  </si>
  <si>
    <t>APxoooI</t>
  </si>
  <si>
    <t>Aura Arts II</t>
  </si>
  <si>
    <t>APxoooII</t>
  </si>
  <si>
    <t>Aura Arts III</t>
  </si>
  <si>
    <t>APxoooIII</t>
  </si>
  <si>
    <t>Aura Arts IV</t>
  </si>
  <si>
    <t>APxoooIV</t>
  </si>
  <si>
    <t>Rites I</t>
  </si>
  <si>
    <t>Rites</t>
  </si>
  <si>
    <t>APoxooI</t>
  </si>
  <si>
    <t>Rites II</t>
  </si>
  <si>
    <t>APoxooII</t>
  </si>
  <si>
    <t>Rites III</t>
  </si>
  <si>
    <t>APoxooIII</t>
  </si>
  <si>
    <t>Rites IV</t>
  </si>
  <si>
    <t>APoxooIV</t>
  </si>
  <si>
    <t>Cleansing I</t>
  </si>
  <si>
    <t>Cleansing</t>
  </si>
  <si>
    <t>APooxoI</t>
  </si>
  <si>
    <t>Cleansing II</t>
  </si>
  <si>
    <t>APooxoII</t>
  </si>
  <si>
    <t>Cleansing III</t>
  </si>
  <si>
    <t>APooxoIII</t>
  </si>
  <si>
    <t>Cleansing IV</t>
  </si>
  <si>
    <t>APooxoIV</t>
  </si>
  <si>
    <t>Faithfulness I</t>
  </si>
  <si>
    <t>Faithfulness</t>
  </si>
  <si>
    <t>APoooxI</t>
  </si>
  <si>
    <t>Faithfulness II</t>
  </si>
  <si>
    <t>APoooxII</t>
  </si>
  <si>
    <t>Faithfulness III</t>
  </si>
  <si>
    <t>APoooxIII</t>
  </si>
  <si>
    <t>Faithfulness IV</t>
  </si>
  <si>
    <t>APoooxIV</t>
  </si>
  <si>
    <t>Master Aura Priest</t>
  </si>
  <si>
    <t>APMaster</t>
  </si>
  <si>
    <t>Novice Martial Monk</t>
  </si>
  <si>
    <t>MMNovice</t>
  </si>
  <si>
    <t>Bo_Staff_License</t>
  </si>
  <si>
    <t>Natural Arts I</t>
  </si>
  <si>
    <t>Natural Arts</t>
  </si>
  <si>
    <t>MMxoooI</t>
  </si>
  <si>
    <t>Natural Arts II</t>
  </si>
  <si>
    <t>MMxoooII</t>
  </si>
  <si>
    <t>Natural Arts III</t>
  </si>
  <si>
    <t>MMxoooIII</t>
  </si>
  <si>
    <t>Natural Arts IV</t>
  </si>
  <si>
    <t>MMxoooIV</t>
  </si>
  <si>
    <t>Inner Peace I</t>
  </si>
  <si>
    <t>Inner Peace</t>
  </si>
  <si>
    <t>MMoxooI</t>
  </si>
  <si>
    <t>Inner Peace II</t>
  </si>
  <si>
    <t>MMoxooII</t>
  </si>
  <si>
    <t>Inner Peace III</t>
  </si>
  <si>
    <t>MMoxooIII</t>
  </si>
  <si>
    <t>Inner Peace IV</t>
  </si>
  <si>
    <t>MMoxooIV</t>
  </si>
  <si>
    <t>Channelled Energy I</t>
  </si>
  <si>
    <t>Channelled Energy</t>
  </si>
  <si>
    <t>MMooxoI</t>
  </si>
  <si>
    <t>Channelled Energy II</t>
  </si>
  <si>
    <t>MMooxoII</t>
  </si>
  <si>
    <t>Channelled Energy III</t>
  </si>
  <si>
    <t>MMooxoIII</t>
  </si>
  <si>
    <t>Channelled Energy IV</t>
  </si>
  <si>
    <t>MMooxoIV</t>
  </si>
  <si>
    <t>Mantras I</t>
  </si>
  <si>
    <t>Mantras</t>
  </si>
  <si>
    <t>MMoooxI</t>
  </si>
  <si>
    <t>Mantras II</t>
  </si>
  <si>
    <t>MMoooxII</t>
  </si>
  <si>
    <t>Mantras III</t>
  </si>
  <si>
    <t>MMoooxIII</t>
  </si>
  <si>
    <t>Mantras IV</t>
  </si>
  <si>
    <t>MMoooxIV</t>
  </si>
  <si>
    <t>Master Martial Monk</t>
  </si>
  <si>
    <t>MMMaster</t>
  </si>
  <si>
    <t>Novice Runic Paladin</t>
  </si>
  <si>
    <t>RPNovice</t>
  </si>
  <si>
    <t>Shield_License</t>
  </si>
  <si>
    <t>Protective Auras I</t>
  </si>
  <si>
    <t>Protective Auras</t>
  </si>
  <si>
    <t>RPxoooI</t>
  </si>
  <si>
    <t>Protective Auras II</t>
  </si>
  <si>
    <t>RPxoooII</t>
  </si>
  <si>
    <t>Protective Auras III</t>
  </si>
  <si>
    <t>RPxoooIII</t>
  </si>
  <si>
    <t>Protective Auras IV</t>
  </si>
  <si>
    <t>RPxoooIV</t>
  </si>
  <si>
    <t>Shield Strike I</t>
  </si>
  <si>
    <t>Shield Strike</t>
  </si>
  <si>
    <t>RPoxooI</t>
  </si>
  <si>
    <t>Shield Strike II</t>
  </si>
  <si>
    <t>RPoxooII</t>
  </si>
  <si>
    <t>Shield Strike III</t>
  </si>
  <si>
    <t>RPoxooIII</t>
  </si>
  <si>
    <t>Shield Strike IV</t>
  </si>
  <si>
    <t>RPoxooIV</t>
  </si>
  <si>
    <t>Shield Bash I</t>
  </si>
  <si>
    <t>Shield Bash</t>
  </si>
  <si>
    <t>RPooxoI</t>
  </si>
  <si>
    <t>Shield Bash II</t>
  </si>
  <si>
    <t>RPooxoII</t>
  </si>
  <si>
    <t>Shield Bash III</t>
  </si>
  <si>
    <t>RPooxoIII</t>
  </si>
  <si>
    <t>Shield Bash IV</t>
  </si>
  <si>
    <t>RPooxoIV</t>
  </si>
  <si>
    <t>Conditioning I</t>
  </si>
  <si>
    <t>Conditioning</t>
  </si>
  <si>
    <t>RPoooxI</t>
  </si>
  <si>
    <t>Conditioning II</t>
  </si>
  <si>
    <t>RPoooxII</t>
  </si>
  <si>
    <t>Conditioning III</t>
  </si>
  <si>
    <t>RPoooxIII</t>
  </si>
  <si>
    <t>Conditioning IV</t>
  </si>
  <si>
    <t>RPoooxIV</t>
  </si>
  <si>
    <t>Master Runic Paladin</t>
  </si>
  <si>
    <t>RPMaster</t>
  </si>
  <si>
    <t>Novice Long Arm</t>
  </si>
  <si>
    <t>LANovice</t>
  </si>
  <si>
    <t>Spear_License</t>
  </si>
  <si>
    <t>Parrying I</t>
  </si>
  <si>
    <t>Parrying</t>
  </si>
  <si>
    <t>LAxoooI</t>
  </si>
  <si>
    <t>Parrying II</t>
  </si>
  <si>
    <t>LAxoooII</t>
  </si>
  <si>
    <t>Parrying III</t>
  </si>
  <si>
    <t>LAxoooIII</t>
  </si>
  <si>
    <t>Parrying IV</t>
  </si>
  <si>
    <t>LAxoooIV</t>
  </si>
  <si>
    <t>Sonic Drive I</t>
  </si>
  <si>
    <t>Sonic Drive</t>
  </si>
  <si>
    <t>LAoxooI</t>
  </si>
  <si>
    <t>Sonic Drive II</t>
  </si>
  <si>
    <t>LAoxooII</t>
  </si>
  <si>
    <t>Sonic Drive III</t>
  </si>
  <si>
    <t>LAoxooIII</t>
  </si>
  <si>
    <t>Sonic Drive IV</t>
  </si>
  <si>
    <t>LAoxooIV</t>
  </si>
  <si>
    <t>Piercing Strike I</t>
  </si>
  <si>
    <t>Piercing Strike</t>
  </si>
  <si>
    <t>LAooxoI</t>
  </si>
  <si>
    <t>Piercing Strike II</t>
  </si>
  <si>
    <t>LAooxoII</t>
  </si>
  <si>
    <t>Piercing Strike III</t>
  </si>
  <si>
    <t>LAooxoIII</t>
  </si>
  <si>
    <t>Piercing Strike IV</t>
  </si>
  <si>
    <t>LAooxoIV</t>
  </si>
  <si>
    <t>Spear Handling I</t>
  </si>
  <si>
    <t>Spear Handling</t>
  </si>
  <si>
    <t>LAoooxI</t>
  </si>
  <si>
    <t>Spear Handling II</t>
  </si>
  <si>
    <t>LAoooxII</t>
  </si>
  <si>
    <t>Spear Handling III</t>
  </si>
  <si>
    <t>LAoooxIII</t>
  </si>
  <si>
    <t>Spear Handling IV</t>
  </si>
  <si>
    <t>LAoooxIV</t>
  </si>
  <si>
    <t>Master Long Arm</t>
  </si>
  <si>
    <t>LAMaster</t>
  </si>
  <si>
    <t>Novice Wild Berserker</t>
  </si>
  <si>
    <t>WBNovice</t>
  </si>
  <si>
    <t>Heavy_Blade_License</t>
  </si>
  <si>
    <t>Warcry I</t>
  </si>
  <si>
    <t>Warcry</t>
  </si>
  <si>
    <t>WBxoooI</t>
  </si>
  <si>
    <t>Warcry II</t>
  </si>
  <si>
    <t>WBxoooII</t>
  </si>
  <si>
    <t>Warcry III</t>
  </si>
  <si>
    <t>WBxoooIII</t>
  </si>
  <si>
    <t>Warcry IV</t>
  </si>
  <si>
    <t>WBxoooIV</t>
  </si>
  <si>
    <t>Sweeping Strike I</t>
  </si>
  <si>
    <t>Sweeping Strike</t>
  </si>
  <si>
    <t>WBoxooI</t>
  </si>
  <si>
    <t>Sweeping Strike II</t>
  </si>
  <si>
    <t>WBoxooII</t>
  </si>
  <si>
    <t>Sweeping Strike III</t>
  </si>
  <si>
    <t>WBoxooIII</t>
  </si>
  <si>
    <t>Sweeping Strike IV</t>
  </si>
  <si>
    <t>WBoxooIV</t>
  </si>
  <si>
    <t>Gouging Strike I</t>
  </si>
  <si>
    <t>Gouging Strike</t>
  </si>
  <si>
    <t>WBooxoI</t>
  </si>
  <si>
    <t>Gouging Strike II</t>
  </si>
  <si>
    <t>WBooxoII</t>
  </si>
  <si>
    <t>Gouging Strike III</t>
  </si>
  <si>
    <t>WBooxoIII</t>
  </si>
  <si>
    <t>Gouging Strike IV</t>
  </si>
  <si>
    <t>WBooxoIV</t>
  </si>
  <si>
    <t>Rage I</t>
  </si>
  <si>
    <t>Rage</t>
  </si>
  <si>
    <t>WBoooxI</t>
  </si>
  <si>
    <t>Rage II</t>
  </si>
  <si>
    <t>WBoooxII</t>
  </si>
  <si>
    <t>Rage III</t>
  </si>
  <si>
    <t>WBoooxIII</t>
  </si>
  <si>
    <t>Rage IV</t>
  </si>
  <si>
    <t>WBoooxIV</t>
  </si>
  <si>
    <t>Master Wild Berserker</t>
  </si>
  <si>
    <t>WBMaster</t>
  </si>
  <si>
    <t>Novice Dark Knight</t>
  </si>
  <si>
    <t>DKNovice</t>
  </si>
  <si>
    <t>Spell_Blade_License</t>
  </si>
  <si>
    <t>Dark Mastery I</t>
  </si>
  <si>
    <t>Dark Mastery</t>
  </si>
  <si>
    <t>DKxoooI</t>
  </si>
  <si>
    <t>Dark Mastery II</t>
  </si>
  <si>
    <t>DKxoooII</t>
  </si>
  <si>
    <t>Dark Mastery III</t>
  </si>
  <si>
    <t>DKxoooIII</t>
  </si>
  <si>
    <t>Dark Mastery IV</t>
  </si>
  <si>
    <t>DKxoooIV</t>
  </si>
  <si>
    <t>Shadow Blade I</t>
  </si>
  <si>
    <t>Shadow Blade</t>
  </si>
  <si>
    <t>DKoxooI</t>
  </si>
  <si>
    <t>Shadow Blade II</t>
  </si>
  <si>
    <t>DKoxooII</t>
  </si>
  <si>
    <t>Shadow Blade III</t>
  </si>
  <si>
    <t>DKoxooIII</t>
  </si>
  <si>
    <t>Shadow Blade IV</t>
  </si>
  <si>
    <t>DKoxooIV</t>
  </si>
  <si>
    <t>Moon Strike I</t>
  </si>
  <si>
    <t>Moon Strike</t>
  </si>
  <si>
    <t>DKooxoI</t>
  </si>
  <si>
    <t>Moon Strike II</t>
  </si>
  <si>
    <t>DKooxoII</t>
  </si>
  <si>
    <t>Moon Strike III</t>
  </si>
  <si>
    <t>DKooxoIII</t>
  </si>
  <si>
    <t>Moon Strike IV</t>
  </si>
  <si>
    <t>DKooxoIV</t>
  </si>
  <si>
    <t>Battle Movement I</t>
  </si>
  <si>
    <t>Battle Movement</t>
  </si>
  <si>
    <t>DKoooxI</t>
  </si>
  <si>
    <t>Battle Movement II</t>
  </si>
  <si>
    <t>DKoooxII</t>
  </si>
  <si>
    <t>Battle Movement III</t>
  </si>
  <si>
    <t>DKoooxIII</t>
  </si>
  <si>
    <t>Battle Movement IV</t>
  </si>
  <si>
    <t>DKoooxIV</t>
  </si>
  <si>
    <t>Master Dark Knight</t>
  </si>
  <si>
    <t>DKMaster</t>
  </si>
  <si>
    <t>Novice Wave Knight</t>
  </si>
  <si>
    <t>WKNovice</t>
  </si>
  <si>
    <t>Jian_Blade_License</t>
  </si>
  <si>
    <t>Light Mastery I</t>
  </si>
  <si>
    <t>Light Mastery</t>
  </si>
  <si>
    <t>WKxoooI</t>
  </si>
  <si>
    <t>Light Mastery II</t>
  </si>
  <si>
    <t>WKxoooII</t>
  </si>
  <si>
    <t>Light Mastery III</t>
  </si>
  <si>
    <t>WKxoooIII</t>
  </si>
  <si>
    <t>Light Mastery IV</t>
  </si>
  <si>
    <t>WKxoooIV</t>
  </si>
  <si>
    <t>Jian Techniques I</t>
  </si>
  <si>
    <t>Jian Techniques</t>
  </si>
  <si>
    <t>WKoxooI</t>
  </si>
  <si>
    <t>Jian Techniques II</t>
  </si>
  <si>
    <t>WKoxooII</t>
  </si>
  <si>
    <t>Jian Techniques III</t>
  </si>
  <si>
    <t>WKoxooIII</t>
  </si>
  <si>
    <t>Jian Techniques IV</t>
  </si>
  <si>
    <t>WKoxooIV</t>
  </si>
  <si>
    <t>Elemental Strike I</t>
  </si>
  <si>
    <t>Elemental Strike</t>
  </si>
  <si>
    <t>WKooxoI</t>
  </si>
  <si>
    <t>Elemental Strike II</t>
  </si>
  <si>
    <t>WKooxoII</t>
  </si>
  <si>
    <t>Elemental Strike III</t>
  </si>
  <si>
    <t>WKooxoIII</t>
  </si>
  <si>
    <t>Elemental Strike IV</t>
  </si>
  <si>
    <t>WKooxoIV</t>
  </si>
  <si>
    <t>Controlled Movement I</t>
  </si>
  <si>
    <t>Controlled Movement</t>
  </si>
  <si>
    <t>WKoooxI</t>
  </si>
  <si>
    <t>Controlled Movement II</t>
  </si>
  <si>
    <t>WKoooxII</t>
  </si>
  <si>
    <t>Controlled Movement III</t>
  </si>
  <si>
    <t>WKoooxIII</t>
  </si>
  <si>
    <t>Controlled Movement IV</t>
  </si>
  <si>
    <t>WKoooxIV</t>
  </si>
  <si>
    <t>Master Wave Knight</t>
  </si>
  <si>
    <t>WKMaster</t>
  </si>
  <si>
    <t>Novice Heavy Hunter</t>
  </si>
  <si>
    <t>HHNovice</t>
  </si>
  <si>
    <t>Heavy_Bow_License</t>
  </si>
  <si>
    <t>Powerful Draw I</t>
  </si>
  <si>
    <t>Powerful Draw</t>
  </si>
  <si>
    <t>HHxoooI</t>
  </si>
  <si>
    <t>Powerful Draw II</t>
  </si>
  <si>
    <t>HHxoooII</t>
  </si>
  <si>
    <t>Powerful Draw III</t>
  </si>
  <si>
    <t>HHxoooIII</t>
  </si>
  <si>
    <t>Powerful Draw IV</t>
  </si>
  <si>
    <t>HHxoooIV</t>
  </si>
  <si>
    <t>Careful Shot I</t>
  </si>
  <si>
    <t>Careful Shot</t>
  </si>
  <si>
    <t>HHoxooI</t>
  </si>
  <si>
    <t>Careful Shot II</t>
  </si>
  <si>
    <t>HHoxooII</t>
  </si>
  <si>
    <t>Careful Shot III</t>
  </si>
  <si>
    <t>HHoxooIII</t>
  </si>
  <si>
    <t>Careful Shot IV</t>
  </si>
  <si>
    <t>HHoxooIV</t>
  </si>
  <si>
    <t>Flurry I</t>
  </si>
  <si>
    <t>Flurry</t>
  </si>
  <si>
    <t>HHooxoI</t>
  </si>
  <si>
    <t>Flurry II</t>
  </si>
  <si>
    <t>HHooxoII</t>
  </si>
  <si>
    <t>Flurry III</t>
  </si>
  <si>
    <t>HHooxoIII</t>
  </si>
  <si>
    <t>Flurry IV</t>
  </si>
  <si>
    <t>HHooxoIV</t>
  </si>
  <si>
    <t>Bow Handling I</t>
  </si>
  <si>
    <t>Bow Handling</t>
  </si>
  <si>
    <t>HHoooxI</t>
  </si>
  <si>
    <t>Bow Handling II</t>
  </si>
  <si>
    <t>HHoooxII</t>
  </si>
  <si>
    <t>Bow Handling III</t>
  </si>
  <si>
    <t>HHoooxIII</t>
  </si>
  <si>
    <t>Bow Handling IV</t>
  </si>
  <si>
    <t>HHoooxIV</t>
  </si>
  <si>
    <t>Master Heavy Hunter</t>
  </si>
  <si>
    <t>HHMaster</t>
  </si>
  <si>
    <t>Novice Servo Sniper</t>
  </si>
  <si>
    <t>SSNovice</t>
  </si>
  <si>
    <t>Rifle_License</t>
  </si>
  <si>
    <t>Sniping I</t>
  </si>
  <si>
    <t>Sniping</t>
  </si>
  <si>
    <t>SSxoooI</t>
  </si>
  <si>
    <t>Sniping II</t>
  </si>
  <si>
    <t>SSxoooII</t>
  </si>
  <si>
    <t>Sniping III</t>
  </si>
  <si>
    <t>SSxoooIII</t>
  </si>
  <si>
    <t>Sniping IV</t>
  </si>
  <si>
    <t>SSxoooIV</t>
  </si>
  <si>
    <t>Aimed Shot I</t>
  </si>
  <si>
    <t>Aimed Shot</t>
  </si>
  <si>
    <t>SSoxooI</t>
  </si>
  <si>
    <t>Aimed Shot II</t>
  </si>
  <si>
    <t>SSoxooII</t>
  </si>
  <si>
    <t>Aimed Shot III</t>
  </si>
  <si>
    <t>SSoxooIII</t>
  </si>
  <si>
    <t>Aimed Shot IV</t>
  </si>
  <si>
    <t>SSoxooIV</t>
  </si>
  <si>
    <t>Counter Sniping I</t>
  </si>
  <si>
    <t>Counter Sniping</t>
  </si>
  <si>
    <t>SSooxoI</t>
  </si>
  <si>
    <t>Counter Sniping II</t>
  </si>
  <si>
    <t>SSooxoII</t>
  </si>
  <si>
    <t>Counter Sniping III</t>
  </si>
  <si>
    <t>SSooxoIII</t>
  </si>
  <si>
    <t>Counter Sniping IV</t>
  </si>
  <si>
    <t>SSooxoIV</t>
  </si>
  <si>
    <t>Rifle Handling I</t>
  </si>
  <si>
    <t>Rifle Handling</t>
  </si>
  <si>
    <t>SSoooxI</t>
  </si>
  <si>
    <t>Rifle Handling II</t>
  </si>
  <si>
    <t>SSoooxII</t>
  </si>
  <si>
    <t>Rifle Handling III</t>
  </si>
  <si>
    <t>SSoooxIII</t>
  </si>
  <si>
    <t>Rifle Handling IV</t>
  </si>
  <si>
    <t>SSoooxIV</t>
  </si>
  <si>
    <t>Master Servo Sniper</t>
  </si>
  <si>
    <t>SSMaster</t>
  </si>
  <si>
    <t>Novice Steam Gunner</t>
  </si>
  <si>
    <t>SGNovice</t>
  </si>
  <si>
    <t>Bayonet_License</t>
  </si>
  <si>
    <t>Rifle Accuracy I</t>
  </si>
  <si>
    <t>Rifle Accuracy</t>
  </si>
  <si>
    <t>SGxoooI</t>
  </si>
  <si>
    <t>Rifle Accuracy II</t>
  </si>
  <si>
    <t>SGxoooII</t>
  </si>
  <si>
    <t>Rifle Accuracy III</t>
  </si>
  <si>
    <t>SGxoooIII</t>
  </si>
  <si>
    <t>Rifle Accuracy IV</t>
  </si>
  <si>
    <t>SGxoooIV</t>
  </si>
  <si>
    <t>Firearm Strike I</t>
  </si>
  <si>
    <t>Firearm Strike</t>
  </si>
  <si>
    <t>SGoxooI</t>
  </si>
  <si>
    <t>Firearm Strike II</t>
  </si>
  <si>
    <t>SGoxooII</t>
  </si>
  <si>
    <t>Firearm Strike III</t>
  </si>
  <si>
    <t>SGoxooIII</t>
  </si>
  <si>
    <t>Firearm Strike IV</t>
  </si>
  <si>
    <t>SGoxooIV</t>
  </si>
  <si>
    <t>Suppressive Fire I</t>
  </si>
  <si>
    <t>Suppressive Fire</t>
  </si>
  <si>
    <t>SGooxoI</t>
  </si>
  <si>
    <t>Suppressive Fire II</t>
  </si>
  <si>
    <t>SGooxoII</t>
  </si>
  <si>
    <t>Suppressive Fire III</t>
  </si>
  <si>
    <t>SGooxoIII</t>
  </si>
  <si>
    <t>Suppressive Fire IV</t>
  </si>
  <si>
    <t>SGooxoIV</t>
  </si>
  <si>
    <t>Bayonet Handling I</t>
  </si>
  <si>
    <t>Bayonet Handling</t>
  </si>
  <si>
    <t>SGoooxI</t>
  </si>
  <si>
    <t>Bayonet Handling II</t>
  </si>
  <si>
    <t>SGoooxII</t>
  </si>
  <si>
    <t>Bayonet Handling III</t>
  </si>
  <si>
    <t>SGoooxIII</t>
  </si>
  <si>
    <t>Bayonet Handling IV</t>
  </si>
  <si>
    <t>SGoooxIV</t>
  </si>
  <si>
    <t>Master Steam Gunner</t>
  </si>
  <si>
    <t>SGMaster</t>
  </si>
  <si>
    <t>Novice Tribal Grappler</t>
  </si>
  <si>
    <t>TGNovice</t>
  </si>
  <si>
    <t>Gauntlets_License</t>
  </si>
  <si>
    <t>Grappling I</t>
  </si>
  <si>
    <t>Grappling</t>
  </si>
  <si>
    <t>TGxoooI</t>
  </si>
  <si>
    <t>Grappling II</t>
  </si>
  <si>
    <t>TGxoooII</t>
  </si>
  <si>
    <t>Grappling III</t>
  </si>
  <si>
    <t>TGxoooIII</t>
  </si>
  <si>
    <t>Grappling IV</t>
  </si>
  <si>
    <t>TGxoooIV</t>
  </si>
  <si>
    <t>Ailments I</t>
  </si>
  <si>
    <t>Ailments</t>
  </si>
  <si>
    <t>TGoxooI</t>
  </si>
  <si>
    <t>Ailments II</t>
  </si>
  <si>
    <t>TGoxooII</t>
  </si>
  <si>
    <t>Ailments III</t>
  </si>
  <si>
    <t>TGoxooIII</t>
  </si>
  <si>
    <t>Ailments IV</t>
  </si>
  <si>
    <t>TGoxooIV</t>
  </si>
  <si>
    <t>Tribal Tactics I</t>
  </si>
  <si>
    <t>Tribal Tactics</t>
  </si>
  <si>
    <t>TGooxoI</t>
  </si>
  <si>
    <t>Tribal Tactics II</t>
  </si>
  <si>
    <t>TGooxoII</t>
  </si>
  <si>
    <t>Tribal Tactics III</t>
  </si>
  <si>
    <t>TGooxoIII</t>
  </si>
  <si>
    <t>Tribal Tactics IV</t>
  </si>
  <si>
    <t>TGooxoIV</t>
  </si>
  <si>
    <t>Gauntlet Mastery I</t>
  </si>
  <si>
    <t>Gauntlet Mastery</t>
  </si>
  <si>
    <t>TGoooxI</t>
  </si>
  <si>
    <t>Gauntlet Mastery II</t>
  </si>
  <si>
    <t>TGoooxII</t>
  </si>
  <si>
    <t>Gauntlet Mastery III</t>
  </si>
  <si>
    <t>TGoooxIII</t>
  </si>
  <si>
    <t>Gauntlet Mastery IV</t>
  </si>
  <si>
    <t>TGoooxIV</t>
  </si>
  <si>
    <t>Master Tribal Grappler</t>
  </si>
  <si>
    <t>TGMaster</t>
  </si>
  <si>
    <t>Novice Flick Reaper</t>
  </si>
  <si>
    <t>FRNovice</t>
  </si>
  <si>
    <t>Scythe_License</t>
  </si>
  <si>
    <t>Crowd Control I</t>
  </si>
  <si>
    <t>Crowd Control</t>
  </si>
  <si>
    <t>FRxoooI</t>
  </si>
  <si>
    <t>Crowd Control II</t>
  </si>
  <si>
    <t>FRxoooII</t>
  </si>
  <si>
    <t>Crowd Control III</t>
  </si>
  <si>
    <t>FRxoooIII</t>
  </si>
  <si>
    <t>Crowd Control IV</t>
  </si>
  <si>
    <t>FRxoooIV</t>
  </si>
  <si>
    <t>Devastating Swing I</t>
  </si>
  <si>
    <t>Devastating Swing</t>
  </si>
  <si>
    <t>FRoxooI</t>
  </si>
  <si>
    <t>Devastating Swing II</t>
  </si>
  <si>
    <t>FRoxooII</t>
  </si>
  <si>
    <t>Devastating Swing III</t>
  </si>
  <si>
    <t>FRoxooIII</t>
  </si>
  <si>
    <t>Devastating Swing IV</t>
  </si>
  <si>
    <t>FRoxooIV</t>
  </si>
  <si>
    <t>Spectral Affliction I</t>
  </si>
  <si>
    <t>Spectral Affliction</t>
  </si>
  <si>
    <t>FRooxoI</t>
  </si>
  <si>
    <t>Spectral Affliction II</t>
  </si>
  <si>
    <t>FRooxoII</t>
  </si>
  <si>
    <t>Spectral Affliction III</t>
  </si>
  <si>
    <t>FRooxoIII</t>
  </si>
  <si>
    <t>Spectral Affliction IV</t>
  </si>
  <si>
    <t>FRooxoIV</t>
  </si>
  <si>
    <t>Scythe Mastery I</t>
  </si>
  <si>
    <t>Scythe Mastery</t>
  </si>
  <si>
    <t>FRoooxI</t>
  </si>
  <si>
    <t>Scythe Mastery II</t>
  </si>
  <si>
    <t>FRoooxII</t>
  </si>
  <si>
    <t>Scythe Mastery III</t>
  </si>
  <si>
    <t>FRoooxIII</t>
  </si>
  <si>
    <t>Scythe Mastery IV</t>
  </si>
  <si>
    <t>FRoooxIV</t>
  </si>
  <si>
    <t>Master Flick Reaper</t>
  </si>
  <si>
    <t>FRMaster</t>
  </si>
  <si>
    <t>Novice Wicked Warlock</t>
  </si>
  <si>
    <t>WWNovice</t>
  </si>
  <si>
    <t>Heavy_Staff_License</t>
  </si>
  <si>
    <t>Forbidden Knowledge I</t>
  </si>
  <si>
    <t>Forbidden Knowledge</t>
  </si>
  <si>
    <t>WWxoooI</t>
  </si>
  <si>
    <t>Forbidden Knowledge II</t>
  </si>
  <si>
    <t>WWxoooII</t>
  </si>
  <si>
    <t>Forbidden Knowledge III</t>
  </si>
  <si>
    <t>WWxoooIII</t>
  </si>
  <si>
    <t>Forbidden Knowledge IV</t>
  </si>
  <si>
    <t>WWxoooIV</t>
  </si>
  <si>
    <t>Crippling Curses I</t>
  </si>
  <si>
    <t>Crippling Curses</t>
  </si>
  <si>
    <t>WWoxooI</t>
  </si>
  <si>
    <t>Crippling Curses II</t>
  </si>
  <si>
    <t>WWoxooII</t>
  </si>
  <si>
    <t>Crippling Curses III</t>
  </si>
  <si>
    <t>WWoxooIII</t>
  </si>
  <si>
    <t>Crippling Curses IV</t>
  </si>
  <si>
    <t>WWoxooIV</t>
  </si>
  <si>
    <t>Toxic Waves I</t>
  </si>
  <si>
    <t>Toxic Waves</t>
  </si>
  <si>
    <t>WWooxoI</t>
  </si>
  <si>
    <t>Toxic Waves II</t>
  </si>
  <si>
    <t>WWooxoII</t>
  </si>
  <si>
    <t>Toxic Waves III</t>
  </si>
  <si>
    <t>WWooxoIII</t>
  </si>
  <si>
    <t>Toxic Waves IV</t>
  </si>
  <si>
    <t>WWooxoIV</t>
  </si>
  <si>
    <t>Steady Casting I</t>
  </si>
  <si>
    <t>Steady Casting</t>
  </si>
  <si>
    <t>WWoooxI</t>
  </si>
  <si>
    <t>Steady Casting II</t>
  </si>
  <si>
    <t>WWoooxII</t>
  </si>
  <si>
    <t>Steady Casting III</t>
  </si>
  <si>
    <t>WWoooxIII</t>
  </si>
  <si>
    <t>Steady Casting IV</t>
  </si>
  <si>
    <t>WWoooxIV</t>
  </si>
  <si>
    <t>Master Wicked Warlock</t>
  </si>
  <si>
    <t>WWMaster</t>
  </si>
  <si>
    <t>Novice Scepter Sage</t>
  </si>
  <si>
    <t>ScSNovice</t>
  </si>
  <si>
    <t>Crystal_Staff_License</t>
  </si>
  <si>
    <t>Hidden Knowledge I</t>
  </si>
  <si>
    <t>Hidden Knowledge</t>
  </si>
  <si>
    <t>ScSxoooI</t>
  </si>
  <si>
    <t>Hidden Knowledge II</t>
  </si>
  <si>
    <t>ScSxoooII</t>
  </si>
  <si>
    <t>Hidden Knowledge III</t>
  </si>
  <si>
    <t>ScSxoooIII</t>
  </si>
  <si>
    <t>Hidden Knowledge IV</t>
  </si>
  <si>
    <t>ScSxoooIV</t>
  </si>
  <si>
    <t>Wave Infusion I</t>
  </si>
  <si>
    <t>Wave Infusion</t>
  </si>
  <si>
    <t>ScSoxooI</t>
  </si>
  <si>
    <t>Wave Infusion II</t>
  </si>
  <si>
    <t>ScSoxooII</t>
  </si>
  <si>
    <t>Wave Infusion III</t>
  </si>
  <si>
    <t>ScSoxooIII</t>
  </si>
  <si>
    <t>Wave Infusion IV</t>
  </si>
  <si>
    <t>ScSoxooIV</t>
  </si>
  <si>
    <t>Crystal Ray I</t>
  </si>
  <si>
    <t>Crystal Ray</t>
  </si>
  <si>
    <t>ScSooxoI</t>
  </si>
  <si>
    <t>Crystal Ray II</t>
  </si>
  <si>
    <t>ScSooxoII</t>
  </si>
  <si>
    <t>Crystal Ray III</t>
  </si>
  <si>
    <t>ScSooxoIII</t>
  </si>
  <si>
    <t>Crystal Ray IV</t>
  </si>
  <si>
    <t>ScSooxoIV</t>
  </si>
  <si>
    <t>Channeling Nexus I</t>
  </si>
  <si>
    <t>Channeling Nexus</t>
  </si>
  <si>
    <t>ScSoooxI</t>
  </si>
  <si>
    <t>Channeling Nexus II</t>
  </si>
  <si>
    <t>ScSoooxII</t>
  </si>
  <si>
    <t>Channeling Nexus III</t>
  </si>
  <si>
    <t>ScSoooxIII</t>
  </si>
  <si>
    <t>Channeling Nexus IV</t>
  </si>
  <si>
    <t>ScSoooxIV</t>
  </si>
  <si>
    <t>Master Scepter Sage</t>
  </si>
  <si>
    <t>ScSMaster</t>
  </si>
  <si>
    <t>Novice Fan Elementalist</t>
  </si>
  <si>
    <t>FENovice</t>
  </si>
  <si>
    <t>War_Fans_License</t>
  </si>
  <si>
    <t>Elemental Manipulation I</t>
  </si>
  <si>
    <t>Elemental Manipulation</t>
  </si>
  <si>
    <t>FExoooI</t>
  </si>
  <si>
    <t>Elemental Manipulation II</t>
  </si>
  <si>
    <t>FExoooII</t>
  </si>
  <si>
    <t>Elemental Manipulation III</t>
  </si>
  <si>
    <t>FExoooIII</t>
  </si>
  <si>
    <t>Elemental Manipulation IV</t>
  </si>
  <si>
    <t>FExoooIV</t>
  </si>
  <si>
    <t>Storm Waves I</t>
  </si>
  <si>
    <t>Storm Waves</t>
  </si>
  <si>
    <t>FEoxooI</t>
  </si>
  <si>
    <t>Storm Waves II</t>
  </si>
  <si>
    <t>FEoxooII</t>
  </si>
  <si>
    <t>Storm Waves III</t>
  </si>
  <si>
    <t>FEoxooIII</t>
  </si>
  <si>
    <t>Storm Waves IV</t>
  </si>
  <si>
    <t>FEoxooIV</t>
  </si>
  <si>
    <t>Vortex I</t>
  </si>
  <si>
    <t>Vortex</t>
  </si>
  <si>
    <t>FEooxoI</t>
  </si>
  <si>
    <t>Vortex II</t>
  </si>
  <si>
    <t>FEooxoII</t>
  </si>
  <si>
    <t>Vortex III</t>
  </si>
  <si>
    <t>FEooxoIII</t>
  </si>
  <si>
    <t>Vortex IV</t>
  </si>
  <si>
    <t>FEooxoIV</t>
  </si>
  <si>
    <t>Elemental Chaos I</t>
  </si>
  <si>
    <t>Elemental Chaos</t>
  </si>
  <si>
    <t>FEoooxI</t>
  </si>
  <si>
    <t>Elemental Chaos II</t>
  </si>
  <si>
    <t>FEoooxII</t>
  </si>
  <si>
    <t>Elemental Chaos III</t>
  </si>
  <si>
    <t>FEoooxIII</t>
  </si>
  <si>
    <t>Elemental Chaos IV</t>
  </si>
  <si>
    <t>FEoooxIV</t>
  </si>
  <si>
    <t>Master Fan Elementalist</t>
  </si>
  <si>
    <t>FEMaster</t>
  </si>
  <si>
    <t>Novice Cursed Necromancer</t>
  </si>
  <si>
    <t>CNNovice</t>
  </si>
  <si>
    <t>Necronomicon_License</t>
  </si>
  <si>
    <t>Necromantic Mastery I</t>
  </si>
  <si>
    <t>Necromantic Mastery</t>
  </si>
  <si>
    <t>CNxoooI</t>
  </si>
  <si>
    <t>Necromantic Mastery II</t>
  </si>
  <si>
    <t>CNxoooII</t>
  </si>
  <si>
    <t>Necromantic Mastery III</t>
  </si>
  <si>
    <t>CNxoooIII</t>
  </si>
  <si>
    <t>Necromantic Mastery IV</t>
  </si>
  <si>
    <t>CNxoooIV</t>
  </si>
  <si>
    <t>Minions I</t>
  </si>
  <si>
    <t>Minions</t>
  </si>
  <si>
    <t>CNoxooI</t>
  </si>
  <si>
    <t>Minions II</t>
  </si>
  <si>
    <t>CNoxooII</t>
  </si>
  <si>
    <t>Minions III</t>
  </si>
  <si>
    <t>CNoxooIII</t>
  </si>
  <si>
    <t>Minions IV</t>
  </si>
  <si>
    <t>CNoxooIV</t>
  </si>
  <si>
    <t>Dark Rituals I</t>
  </si>
  <si>
    <t>Dark Rituals</t>
  </si>
  <si>
    <t>CNooxoI</t>
  </si>
  <si>
    <t>Dark Rituals II</t>
  </si>
  <si>
    <t>CNooxoII</t>
  </si>
  <si>
    <t>Dark Rituals III</t>
  </si>
  <si>
    <t>CNooxoIII</t>
  </si>
  <si>
    <t>Dark Rituals IV</t>
  </si>
  <si>
    <t>CNooxoIV</t>
  </si>
  <si>
    <t>Bloody Rites I</t>
  </si>
  <si>
    <t>Bloody Rites</t>
  </si>
  <si>
    <t>CNoooxI</t>
  </si>
  <si>
    <t>Bloody Rites II</t>
  </si>
  <si>
    <t>CNoooxII</t>
  </si>
  <si>
    <t>Bloody Rites III</t>
  </si>
  <si>
    <t>CNoooxIII</t>
  </si>
  <si>
    <t>Bloody Rites IV</t>
  </si>
  <si>
    <t>CNoooxIV</t>
  </si>
  <si>
    <t>Master Cursed Necromancer</t>
  </si>
  <si>
    <t>CNMaster</t>
  </si>
  <si>
    <t>Novice Grim Hierophant</t>
  </si>
  <si>
    <t>GHNovice</t>
  </si>
  <si>
    <t>Grimoire_License</t>
  </si>
  <si>
    <t>Mystic Wind I</t>
  </si>
  <si>
    <t>Mystic Wind</t>
  </si>
  <si>
    <t>GHxoooI</t>
  </si>
  <si>
    <t>Mystic Wind II</t>
  </si>
  <si>
    <t>GHxoooII</t>
  </si>
  <si>
    <t>Mystic Wind III</t>
  </si>
  <si>
    <t>GHxoooIII</t>
  </si>
  <si>
    <t>Mystic Wind IV</t>
  </si>
  <si>
    <t>GHxoooIV</t>
  </si>
  <si>
    <t>Natural Rituals I</t>
  </si>
  <si>
    <t>Natural Rituals</t>
  </si>
  <si>
    <t>GHoxooI</t>
  </si>
  <si>
    <t>Natural Rituals II</t>
  </si>
  <si>
    <t>GHoxooII</t>
  </si>
  <si>
    <t>Natural Rituals III</t>
  </si>
  <si>
    <t>GHoxooIII</t>
  </si>
  <si>
    <t>Natural Rituals IV</t>
  </si>
  <si>
    <t>GHoxooIV</t>
  </si>
  <si>
    <t>Sacred Ecology I</t>
  </si>
  <si>
    <t>Sacred Ecology</t>
  </si>
  <si>
    <t>GHooxoI</t>
  </si>
  <si>
    <t>Sacred Ecology II</t>
  </si>
  <si>
    <t>GHooxoII</t>
  </si>
  <si>
    <t>Sacred Ecology III</t>
  </si>
  <si>
    <t>GHooxoIII</t>
  </si>
  <si>
    <t>Sacred Ecology IV</t>
  </si>
  <si>
    <t>GHooxoIV</t>
  </si>
  <si>
    <t>Wound Treatment I</t>
  </si>
  <si>
    <t>Wound Treatment</t>
  </si>
  <si>
    <t>GHoooxI</t>
  </si>
  <si>
    <t>Wound Treatment II</t>
  </si>
  <si>
    <t>GHoooxII</t>
  </si>
  <si>
    <t>Wound Treatment III</t>
  </si>
  <si>
    <t>GHoooxIII</t>
  </si>
  <si>
    <t>Wound Treatment IV</t>
  </si>
  <si>
    <t>GHoooxIV</t>
  </si>
  <si>
    <t>Master Grim Hierophant</t>
  </si>
  <si>
    <t>GHMaster</t>
  </si>
  <si>
    <t>Novice Reliquary Archbishop</t>
  </si>
  <si>
    <t>RANovice</t>
  </si>
  <si>
    <t>Holy_Relic_License</t>
  </si>
  <si>
    <t>Holy Auras I</t>
  </si>
  <si>
    <t>Holy Auras</t>
  </si>
  <si>
    <t>RAxoooI</t>
  </si>
  <si>
    <t>Holy Auras II</t>
  </si>
  <si>
    <t>RAxoooII</t>
  </si>
  <si>
    <t>Holy Auras III</t>
  </si>
  <si>
    <t>RAxoooIII</t>
  </si>
  <si>
    <t>Holy Auras IV</t>
  </si>
  <si>
    <t>RAxoooIV</t>
  </si>
  <si>
    <t>Sanctuary I</t>
  </si>
  <si>
    <t>Sanctuary</t>
  </si>
  <si>
    <t>RAoxooI</t>
  </si>
  <si>
    <t>Sanctuary II</t>
  </si>
  <si>
    <t>RAoxooII</t>
  </si>
  <si>
    <t>Sanctuary III</t>
  </si>
  <si>
    <t>RAoxooIII</t>
  </si>
  <si>
    <t>Sanctuary IV</t>
  </si>
  <si>
    <t>RAoxooIV</t>
  </si>
  <si>
    <t>Benevolence I</t>
  </si>
  <si>
    <t>Benevolence</t>
  </si>
  <si>
    <t>RAooxoI</t>
  </si>
  <si>
    <t>Benevolence II</t>
  </si>
  <si>
    <t>RAooxoII</t>
  </si>
  <si>
    <t>Benevolence III</t>
  </si>
  <si>
    <t>RAooxoIII</t>
  </si>
  <si>
    <t>Benevolence IV</t>
  </si>
  <si>
    <t>RAooxoIV</t>
  </si>
  <si>
    <t>Sincerity I</t>
  </si>
  <si>
    <t>Sincerity</t>
  </si>
  <si>
    <t>RAoooxI</t>
  </si>
  <si>
    <t>Sincerity II</t>
  </si>
  <si>
    <t>RAoooxII</t>
  </si>
  <si>
    <t>Sincerity III</t>
  </si>
  <si>
    <t>RAoooxIII</t>
  </si>
  <si>
    <t>Sincerity IV</t>
  </si>
  <si>
    <t>RAoooxIV</t>
  </si>
  <si>
    <t>Master Reliquary Archbishop</t>
  </si>
  <si>
    <t>RAMaster</t>
  </si>
  <si>
    <t>Novice Arts Master</t>
  </si>
  <si>
    <t>AMNovice</t>
  </si>
  <si>
    <t>Whip_License</t>
  </si>
  <si>
    <t>Mystic Arts I</t>
  </si>
  <si>
    <t>Mystic Arts</t>
  </si>
  <si>
    <t>AMxoooI</t>
  </si>
  <si>
    <t>Mystic Arts II</t>
  </si>
  <si>
    <t>AMxoooII</t>
  </si>
  <si>
    <t>Mystic Arts III</t>
  </si>
  <si>
    <t>AMxoooIII</t>
  </si>
  <si>
    <t>Mystic Arts IV</t>
  </si>
  <si>
    <t>AMxoooIV</t>
  </si>
  <si>
    <t>Arts Casting I</t>
  </si>
  <si>
    <t>Arts Casting</t>
  </si>
  <si>
    <t>AMoxooI</t>
  </si>
  <si>
    <t>Arts Casting II</t>
  </si>
  <si>
    <t>AMoxooII</t>
  </si>
  <si>
    <t>Arts Casting III</t>
  </si>
  <si>
    <t>AMoxooIII</t>
  </si>
  <si>
    <t>Arts Casting IV</t>
  </si>
  <si>
    <t>AMoxooIV</t>
  </si>
  <si>
    <t>Controlling Crack I</t>
  </si>
  <si>
    <t>Controlling Crack</t>
  </si>
  <si>
    <t>AMooxoI</t>
  </si>
  <si>
    <t>Controlling Crack II</t>
  </si>
  <si>
    <t>AMooxoII</t>
  </si>
  <si>
    <t>Controlling Crack III</t>
  </si>
  <si>
    <t>AMooxoIII</t>
  </si>
  <si>
    <t>Controlling Crack IV</t>
  </si>
  <si>
    <t>AMooxoIV</t>
  </si>
  <si>
    <t>Perfect Form I</t>
  </si>
  <si>
    <t>Perfect Form</t>
  </si>
  <si>
    <t>AMoooxI</t>
  </si>
  <si>
    <t>Perfect Form II</t>
  </si>
  <si>
    <t>AMoooxII</t>
  </si>
  <si>
    <t>Perfect Form III</t>
  </si>
  <si>
    <t>AMoooxIII</t>
  </si>
  <si>
    <t>Perfect Form IV</t>
  </si>
  <si>
    <t>AMoooxIV</t>
  </si>
  <si>
    <t>Master Arts Master</t>
  </si>
  <si>
    <t>AMMaster</t>
  </si>
  <si>
    <t>Novice Macabre Dancer</t>
  </si>
  <si>
    <t>MDNovice</t>
  </si>
  <si>
    <t>Bladed_Fans_License</t>
  </si>
  <si>
    <t>Rhythmic Arts I</t>
  </si>
  <si>
    <t>Rhythmic Arts</t>
  </si>
  <si>
    <t>MDxoooI</t>
  </si>
  <si>
    <t>Rhythmic Arts II</t>
  </si>
  <si>
    <t>MDxoooII</t>
  </si>
  <si>
    <t>Rhythmic Arts III</t>
  </si>
  <si>
    <t>MDxoooIII</t>
  </si>
  <si>
    <t>Rhythmic Arts IV</t>
  </si>
  <si>
    <t>MDxoooIV</t>
  </si>
  <si>
    <t>Fancy Footwork I</t>
  </si>
  <si>
    <t>Fancy Footwork</t>
  </si>
  <si>
    <t>MDoxooI</t>
  </si>
  <si>
    <t>Fancy Footwork II</t>
  </si>
  <si>
    <t>MDoxooII</t>
  </si>
  <si>
    <t>Fancy Footwork III</t>
  </si>
  <si>
    <t>MDoxooIII</t>
  </si>
  <si>
    <t>Fancy Footwork IV</t>
  </si>
  <si>
    <t>MDoxooIV</t>
  </si>
  <si>
    <t>Cursed Choreography I</t>
  </si>
  <si>
    <t>Cursed Choreography</t>
  </si>
  <si>
    <t>MDooxoI</t>
  </si>
  <si>
    <t>Cursed Choreography II</t>
  </si>
  <si>
    <t>MDooxoII</t>
  </si>
  <si>
    <t>Cursed Choreography III</t>
  </si>
  <si>
    <t>MDooxoIII</t>
  </si>
  <si>
    <t>Cursed Choreography IV</t>
  </si>
  <si>
    <t>MDooxoIV</t>
  </si>
  <si>
    <t>Death Steps I</t>
  </si>
  <si>
    <t>Death Steps</t>
  </si>
  <si>
    <t>MDoooxI</t>
  </si>
  <si>
    <t>Death Steps II</t>
  </si>
  <si>
    <t>MDoooxII</t>
  </si>
  <si>
    <t>Death Steps III</t>
  </si>
  <si>
    <t>MDoooxIII</t>
  </si>
  <si>
    <t>Death Steps IV</t>
  </si>
  <si>
    <t>MDoooxIV</t>
  </si>
  <si>
    <t>Master Macabre Dancer</t>
  </si>
  <si>
    <t>MDMaster</t>
  </si>
  <si>
    <t>One row per skill. class_id links to Classes. skill_box_id links to SkillBoxes — this is which box the skill belongs to (players must unlock the box to get the skill). resource: SP | TP | MP | none. target: Single | AOE | Self | Ally. power is a multiplier on base PATK/MATK. Leave effect columns blank if no status effect. Effect_type matches to Skills_Effects. Effect_duration is how many "turns" of combat it lasts. Effect_value is how strong the effect is. Effect_target helps explain which stat or property is modified by the skill. Element helps identify how the skill works on the Elements amplification.</t>
  </si>
  <si>
    <t>class_name (reference)</t>
  </si>
  <si>
    <t>skill_box_id</t>
  </si>
  <si>
    <t>skill_box_name (reference)</t>
  </si>
  <si>
    <t>cost</t>
  </si>
  <si>
    <t>resource</t>
  </si>
  <si>
    <t>damage_type</t>
  </si>
  <si>
    <t>target</t>
  </si>
  <si>
    <t>power</t>
  </si>
  <si>
    <t>effect_type</t>
  </si>
  <si>
    <t>effect_duration</t>
  </si>
  <si>
    <t>effect_value</t>
  </si>
  <si>
    <t>effect_target</t>
  </si>
  <si>
    <t>skill_element</t>
  </si>
  <si>
    <t>Draw Strike</t>
  </si>
  <si>
    <t>Physical</t>
  </si>
  <si>
    <t>Single</t>
  </si>
  <si>
    <t>Cross Slash I</t>
  </si>
  <si>
    <t>Cross Slash II</t>
  </si>
  <si>
    <t>Cross Slash III</t>
  </si>
  <si>
    <t>Bleed</t>
  </si>
  <si>
    <t>Cross Slash IV</t>
  </si>
  <si>
    <t>Rising Cut I</t>
  </si>
  <si>
    <t>Rising Cut II</t>
  </si>
  <si>
    <t>Pommel Strike</t>
  </si>
  <si>
    <t>Stun</t>
  </si>
  <si>
    <t>Blade Storm</t>
  </si>
  <si>
    <t>AOE</t>
  </si>
  <si>
    <t>Crescent Draw I</t>
  </si>
  <si>
    <t>Crescent Draw II</t>
  </si>
  <si>
    <t>Mirror Slash</t>
  </si>
  <si>
    <t>Self</t>
  </si>
  <si>
    <t>Mirror</t>
  </si>
  <si>
    <t>Radiant Edge</t>
  </si>
  <si>
    <t>Magical</t>
  </si>
  <si>
    <t>Blade Storm II</t>
  </si>
  <si>
    <t>Twin Fang</t>
  </si>
  <si>
    <t>Pinpoint I</t>
  </si>
  <si>
    <t>Pinpoint II</t>
  </si>
  <si>
    <t>Blade Sight</t>
  </si>
  <si>
    <t>Target Lock</t>
  </si>
  <si>
    <t>Dagger Rush I</t>
  </si>
  <si>
    <t>Dagger Rush II</t>
  </si>
  <si>
    <t>Spinning Blades</t>
  </si>
  <si>
    <t>Dual Tempest</t>
  </si>
  <si>
    <t>Shadow Step I</t>
  </si>
  <si>
    <t>Shadow Step II</t>
  </si>
  <si>
    <t>Vanishing Slash</t>
  </si>
  <si>
    <t>Assassin's Veil</t>
  </si>
  <si>
    <t>Buff</t>
  </si>
  <si>
    <t>Mark Target I</t>
  </si>
  <si>
    <t>Mark Target II</t>
  </si>
  <si>
    <t>Pursuit Strike</t>
  </si>
  <si>
    <t>Prey Sense</t>
  </si>
  <si>
    <t>Dark</t>
  </si>
  <si>
    <t>Twin Phantom</t>
  </si>
  <si>
    <t>Wave Pulse</t>
  </si>
  <si>
    <t>Drain I</t>
  </si>
  <si>
    <t>Drain II</t>
  </si>
  <si>
    <t>Drain III</t>
  </si>
  <si>
    <t>Drain IV</t>
  </si>
  <si>
    <t>Resonance I</t>
  </si>
  <si>
    <t>Resonance II</t>
  </si>
  <si>
    <t>Wave Sync</t>
  </si>
  <si>
    <t>Signal Boost</t>
  </si>
  <si>
    <t>Phantom Call I</t>
  </si>
  <si>
    <t>Phantom Call II</t>
  </si>
  <si>
    <t>Phantom Call III</t>
  </si>
  <si>
    <t>Phantom Surge</t>
  </si>
  <si>
    <t>Elemental Bolt I</t>
  </si>
  <si>
    <t>Fire</t>
  </si>
  <si>
    <t>Elemental Bolt II</t>
  </si>
  <si>
    <t>Water</t>
  </si>
  <si>
    <t>Elemental Bolt III</t>
  </si>
  <si>
    <t>Earth</t>
  </si>
  <si>
    <t>Elemental Nova</t>
  </si>
  <si>
    <t>Air</t>
  </si>
  <si>
    <t>Tri-Edge Storm</t>
  </si>
  <si>
    <t>Repth</t>
  </si>
  <si>
    <t>Ally</t>
  </si>
  <si>
    <t>heal</t>
  </si>
  <si>
    <t>Repth I</t>
  </si>
  <si>
    <t>Repth II</t>
  </si>
  <si>
    <t>Repth III</t>
  </si>
  <si>
    <t>Repth IV</t>
  </si>
  <si>
    <t>Rue Crack I</t>
  </si>
  <si>
    <t>Rue Crack II</t>
  </si>
  <si>
    <t>Blessed Ray</t>
  </si>
  <si>
    <t>Radiant Cleave</t>
  </si>
  <si>
    <t>Dek Corma I</t>
  </si>
  <si>
    <t>Dek Corma II</t>
  </si>
  <si>
    <t>Life Drain</t>
  </si>
  <si>
    <t>Dark Harvest</t>
  </si>
  <si>
    <t>none</t>
  </si>
  <si>
    <t>Breath of Life</t>
  </si>
  <si>
    <t>Vital Breathe</t>
  </si>
  <si>
    <t>Grand Repth</t>
  </si>
  <si>
    <t>Shield Charge</t>
  </si>
  <si>
    <t>Fortify I</t>
  </si>
  <si>
    <t>Fortify II</t>
  </si>
  <si>
    <t>Iron Curtain</t>
  </si>
  <si>
    <t>Unbreakable Wall</t>
  </si>
  <si>
    <t>Battle Cry I</t>
  </si>
  <si>
    <t>Battle Cry II</t>
  </si>
  <si>
    <t>Devastating Roar</t>
  </si>
  <si>
    <t>Imperial Shout</t>
  </si>
  <si>
    <t>Lunge Strike I</t>
  </si>
  <si>
    <t>Lunge Strike II</t>
  </si>
  <si>
    <t>Piercing Thrust</t>
  </si>
  <si>
    <t>Sentinel Drive</t>
  </si>
  <si>
    <t>Counter Stance I</t>
  </si>
  <si>
    <t>Counter Stance II</t>
  </si>
  <si>
    <t>Deflect Drive</t>
  </si>
  <si>
    <t>Ironclad Counter</t>
  </si>
  <si>
    <t>Phalanx Breaker</t>
  </si>
  <si>
    <t>Axe Cleave</t>
  </si>
  <si>
    <t>Overhead Smash I</t>
  </si>
  <si>
    <t>Overhead Smash II</t>
  </si>
  <si>
    <t>Crushing Blow</t>
  </si>
  <si>
    <t>Devastate</t>
  </si>
  <si>
    <t>Berserk Rush I</t>
  </si>
  <si>
    <t>Berserk Rush II</t>
  </si>
  <si>
    <t>War Rage</t>
  </si>
  <si>
    <t>Fury Wave</t>
  </si>
  <si>
    <t>Reckless Strike I</t>
  </si>
  <si>
    <t>Reckless Strike II</t>
  </si>
  <si>
    <t>Ferocious Blow</t>
  </si>
  <si>
    <t>Primal Fury</t>
  </si>
  <si>
    <t>Vital Surge I</t>
  </si>
  <si>
    <t>Vital Surge II</t>
  </si>
  <si>
    <t>War Endurance</t>
  </si>
  <si>
    <t>Unstoppable</t>
  </si>
  <si>
    <t>Ragnarok Charge</t>
  </si>
  <si>
    <t>Cursed Slash</t>
  </si>
  <si>
    <t>Shadow Cut I</t>
  </si>
  <si>
    <t>Shadow Cut II</t>
  </si>
  <si>
    <t>Void Rend</t>
  </si>
  <si>
    <t>Dark Annihilation</t>
  </si>
  <si>
    <t>Hex Blade I</t>
  </si>
  <si>
    <t>Hex Blade II</t>
  </si>
  <si>
    <t>Wither</t>
  </si>
  <si>
    <t>Black Curse</t>
  </si>
  <si>
    <t>Infuse Blade I</t>
  </si>
  <si>
    <t>Infuse Blade II</t>
  </si>
  <si>
    <t>Elemental Rift</t>
  </si>
  <si>
    <t>Chaos Edge</t>
  </si>
  <si>
    <t>Sigil Slash I</t>
  </si>
  <si>
    <t>Sigil Slash II</t>
  </si>
  <si>
    <t>Runed Strike</t>
  </si>
  <si>
    <t>Death Rune Blade</t>
  </si>
  <si>
    <t>Eclipse Breaker</t>
  </si>
  <si>
    <t>Hawk Shot</t>
  </si>
  <si>
    <t>Swift Arrow I</t>
  </si>
  <si>
    <t>Swift Arrow II</t>
  </si>
  <si>
    <t>Acrobatic Shot</t>
  </si>
  <si>
    <t>Gust Dash Shot</t>
  </si>
  <si>
    <t>Sidestep Strike I</t>
  </si>
  <si>
    <t>Sidestep Strike II</t>
  </si>
  <si>
    <t>Phantom Step</t>
  </si>
  <si>
    <t>Evasive Barrage</t>
  </si>
  <si>
    <t>Power Shot I</t>
  </si>
  <si>
    <t>Power Shot II</t>
  </si>
  <si>
    <t>Piercing Arrow</t>
  </si>
  <si>
    <t>Sniper Arrow</t>
  </si>
  <si>
    <t>Aimed Breath I</t>
  </si>
  <si>
    <t>Aimed Breath II</t>
  </si>
  <si>
    <t>Serenity Shot</t>
  </si>
  <si>
    <t>Focused Exhale</t>
  </si>
  <si>
    <t>Storm of Arrows</t>
  </si>
  <si>
    <t>Dual Shot</t>
  </si>
  <si>
    <t>Backpedal Shot I</t>
  </si>
  <si>
    <t>Backpedal Shot II</t>
  </si>
  <si>
    <t>Break Away</t>
  </si>
  <si>
    <t>Combat Roll</t>
  </si>
  <si>
    <t>Burst Fire I</t>
  </si>
  <si>
    <t>Burst Fire II</t>
  </si>
  <si>
    <t>Full Auto</t>
  </si>
  <si>
    <t>Blitz Barrage</t>
  </si>
  <si>
    <t>Fan the Hammer I</t>
  </si>
  <si>
    <t>Fan the Hammer II</t>
  </si>
  <si>
    <t>Lightning Draw</t>
  </si>
  <si>
    <t>Deadeye Shot</t>
  </si>
  <si>
    <t>On the Move I</t>
  </si>
  <si>
    <t>On the Move II</t>
  </si>
  <si>
    <t>Running Shot</t>
  </si>
  <si>
    <t>Phantom Gunner</t>
  </si>
  <si>
    <t>Outlaw's Last Round</t>
  </si>
  <si>
    <t>Shadow Fang</t>
  </si>
  <si>
    <t>Flash Step I</t>
  </si>
  <si>
    <t>Flash Step II</t>
  </si>
  <si>
    <t>Blur Dash</t>
  </si>
  <si>
    <t>Phantom Reflex</t>
  </si>
  <si>
    <t>Rapid Claw I</t>
  </si>
  <si>
    <t>Rapid Claw II</t>
  </si>
  <si>
    <t>Fang Flurry</t>
  </si>
  <si>
    <t>Claw Storm</t>
  </si>
  <si>
    <t>Vortex Slice I</t>
  </si>
  <si>
    <t>Vortex Slice II</t>
  </si>
  <si>
    <t>Spiral Fang</t>
  </si>
  <si>
    <t>Death Whirl</t>
  </si>
  <si>
    <t>Mark of Death I</t>
  </si>
  <si>
    <t>Mark of Death II</t>
  </si>
  <si>
    <t>Umbral Brand</t>
  </si>
  <si>
    <t>Soulbreak</t>
  </si>
  <si>
    <t>Final Eclipse</t>
  </si>
  <si>
    <t>Ap Do</t>
  </si>
  <si>
    <t>Wave Lance I</t>
  </si>
  <si>
    <t>Wave Lance II</t>
  </si>
  <si>
    <t>Rue Zot</t>
  </si>
  <si>
    <t>Gan Zot</t>
  </si>
  <si>
    <t>Flame Burst I</t>
  </si>
  <si>
    <t>Flame Burst II</t>
  </si>
  <si>
    <t>Inferno Wave</t>
  </si>
  <si>
    <t>Repth Barrier I</t>
  </si>
  <si>
    <t>Repth Barrier II</t>
  </si>
  <si>
    <t>Wave Shield</t>
  </si>
  <si>
    <t>Aegis Wave</t>
  </si>
  <si>
    <t>Staff Jab I</t>
  </si>
  <si>
    <t>Staff Jab II</t>
  </si>
  <si>
    <t>Spinning Staff</t>
  </si>
  <si>
    <t>Grand Strike</t>
  </si>
  <si>
    <t>Tidal Override</t>
  </si>
  <si>
    <t>Rune Brand</t>
  </si>
  <si>
    <t>Rune Bolt I</t>
  </si>
  <si>
    <t>Rune Bolt II</t>
  </si>
  <si>
    <t>Sigil Storm</t>
  </si>
  <si>
    <t>Grand Rune</t>
  </si>
  <si>
    <t>Flame Summon I</t>
  </si>
  <si>
    <t>Tide Summon I</t>
  </si>
  <si>
    <t>Storm Summon</t>
  </si>
  <si>
    <t>Elemental Surge</t>
  </si>
  <si>
    <t>Shade Call I</t>
  </si>
  <si>
    <t>Shade Call II</t>
  </si>
  <si>
    <t>Void Summon</t>
  </si>
  <si>
    <t>Abyssal Tide</t>
  </si>
  <si>
    <t>Forbidden Lore I</t>
  </si>
  <si>
    <t>Forbidden Lore II</t>
  </si>
  <si>
    <t>Cursed Knowledge</t>
  </si>
  <si>
    <t>Tome of Ruin</t>
  </si>
  <si>
    <t>Ancient Pact</t>
  </si>
  <si>
    <t>Holy Aura</t>
  </si>
  <si>
    <t>Blessing Wave I</t>
  </si>
  <si>
    <t>Blessing Wave II</t>
  </si>
  <si>
    <t>Aura Nova</t>
  </si>
  <si>
    <t>Radiant Aura</t>
  </si>
  <si>
    <t>Sacred Rite I</t>
  </si>
  <si>
    <t>Sacred Rite II</t>
  </si>
  <si>
    <t>Rite of Valor</t>
  </si>
  <si>
    <t>Grand Rite</t>
  </si>
  <si>
    <t>Purge Light I</t>
  </si>
  <si>
    <t>Purge Light II</t>
  </si>
  <si>
    <t>Dispel Wave</t>
  </si>
  <si>
    <t>Divine Cleanse</t>
  </si>
  <si>
    <t>Faith Bond I</t>
  </si>
  <si>
    <t>Faith Bond II</t>
  </si>
  <si>
    <t>Renewal Wave</t>
  </si>
  <si>
    <t>Eternal Light</t>
  </si>
  <si>
    <t>Transcendent Aura</t>
  </si>
  <si>
    <t>Staff Sweep</t>
  </si>
  <si>
    <t>Tiger Strike I</t>
  </si>
  <si>
    <t>Tiger Strike II</t>
  </si>
  <si>
    <t>Dragon Fist</t>
  </si>
  <si>
    <t>Crane Kick</t>
  </si>
  <si>
    <t>Meditate I</t>
  </si>
  <si>
    <t>Meditate II</t>
  </si>
  <si>
    <t>Peaceful Mind</t>
  </si>
  <si>
    <t>Serene Stance</t>
  </si>
  <si>
    <t>Ki Burst I</t>
  </si>
  <si>
    <t>Ki Burst II</t>
  </si>
  <si>
    <t>Chi Cannon</t>
  </si>
  <si>
    <t>Energy Wave</t>
  </si>
  <si>
    <t>Mantra of Strength I</t>
  </si>
  <si>
    <t>Mantra of Strength II</t>
  </si>
  <si>
    <t>Mantra of Stone</t>
  </si>
  <si>
    <t>Grand Mantra</t>
  </si>
  <si>
    <t>Heaven and Earth</t>
  </si>
  <si>
    <t>Holy Guard</t>
  </si>
  <si>
    <t>Sacred Shield I</t>
  </si>
  <si>
    <t>Sacred Shield II</t>
  </si>
  <si>
    <t>Rune Ward</t>
  </si>
  <si>
    <t>Divine Bulwark</t>
  </si>
  <si>
    <t>Shield Slam I</t>
  </si>
  <si>
    <t>Shield Slam II</t>
  </si>
  <si>
    <t>Holy Slam</t>
  </si>
  <si>
    <t>Crusader's Strike</t>
  </si>
  <si>
    <t>Bash I</t>
  </si>
  <si>
    <t>Bash II</t>
  </si>
  <si>
    <t>Rune Bash</t>
  </si>
  <si>
    <t>Divine Impact</t>
  </si>
  <si>
    <t>Iron Will I</t>
  </si>
  <si>
    <t>Iron Will II</t>
  </si>
  <si>
    <t>Stalwart Form</t>
  </si>
  <si>
    <t>Unshakeable</t>
  </si>
  <si>
    <t>Divine Wrath</t>
  </si>
  <si>
    <t>Spear Thrust</t>
  </si>
  <si>
    <t>Parry I</t>
  </si>
  <si>
    <t>Parry II</t>
  </si>
  <si>
    <t>Counter Thrust</t>
  </si>
  <si>
    <t>Vault Kick</t>
  </si>
  <si>
    <t>Sonic Jab I</t>
  </si>
  <si>
    <t>Sonic Jab II</t>
  </si>
  <si>
    <t>Drill Spear</t>
  </si>
  <si>
    <t>Sonic Boom Drive</t>
  </si>
  <si>
    <t>Armor Pierce I</t>
  </si>
  <si>
    <t>Armor Pierce II</t>
  </si>
  <si>
    <t>Spear Break</t>
  </si>
  <si>
    <t>Shatter Lance</t>
  </si>
  <si>
    <t>Wide Sweep I</t>
  </si>
  <si>
    <t>Wide Sweep II</t>
  </si>
  <si>
    <t>Cyclone Spin</t>
  </si>
  <si>
    <t>Tempest Whirl</t>
  </si>
  <si>
    <t>Dragon Spear Dive</t>
  </si>
  <si>
    <t>Savage Blow</t>
  </si>
  <si>
    <t>War Roar I</t>
  </si>
  <si>
    <t>War Roar II</t>
  </si>
  <si>
    <t>Primal Scream</t>
  </si>
  <si>
    <t>Berserker's Call</t>
  </si>
  <si>
    <t>Sweeping Slash I</t>
  </si>
  <si>
    <t>Sweeping Slash II</t>
  </si>
  <si>
    <t>Whirlwind</t>
  </si>
  <si>
    <t>Cyclone Fury</t>
  </si>
  <si>
    <t>Gouge I</t>
  </si>
  <si>
    <t>Gouge II</t>
  </si>
  <si>
    <t>Rend Armor</t>
  </si>
  <si>
    <t>Deep Gouge</t>
  </si>
  <si>
    <t>Rage Strike I</t>
  </si>
  <si>
    <t>Rage Strike II</t>
  </si>
  <si>
    <t>Blind Fury</t>
  </si>
  <si>
    <t>Crimson Tempest</t>
  </si>
  <si>
    <t>Apocalypse Drive</t>
  </si>
  <si>
    <t>Dark Slash</t>
  </si>
  <si>
    <t>Abyss Blade I</t>
  </si>
  <si>
    <t>Abyss Blade II</t>
  </si>
  <si>
    <t>Void Cleave</t>
  </si>
  <si>
    <t>Dark Dominion</t>
  </si>
  <si>
    <t>Shadow Strike I</t>
  </si>
  <si>
    <t>Shadow Strike II</t>
  </si>
  <si>
    <t>Shade Slash</t>
  </si>
  <si>
    <t>Nightfall Blade</t>
  </si>
  <si>
    <t>Moonbeam Slash I</t>
  </si>
  <si>
    <t>Moonbeam Slash II</t>
  </si>
  <si>
    <t>Eclipse Strike</t>
  </si>
  <si>
    <t>Blood Moon</t>
  </si>
  <si>
    <t>Shadow Dance I</t>
  </si>
  <si>
    <t>Shadow Dance II</t>
  </si>
  <si>
    <t>Phantom Waltz</t>
  </si>
  <si>
    <t>Void Step</t>
  </si>
  <si>
    <t>Requiem of Darkness</t>
  </si>
  <si>
    <t>Wave Blade</t>
  </si>
  <si>
    <t>Luminous Slash I</t>
  </si>
  <si>
    <t>Luminous Slash II</t>
  </si>
  <si>
    <t>Holy Edge</t>
  </si>
  <si>
    <t>Radiant Sword</t>
  </si>
  <si>
    <t>Crane Parry I</t>
  </si>
  <si>
    <t>Crane Parry II</t>
  </si>
  <si>
    <t>Flowing Blade</t>
  </si>
  <si>
    <t>Celestial Edge</t>
  </si>
  <si>
    <t>Element Lance I</t>
  </si>
  <si>
    <t>Element Lance II</t>
  </si>
  <si>
    <t>Prism Slash</t>
  </si>
  <si>
    <t>Elemental Tempest</t>
  </si>
  <si>
    <t>Wave Flow I</t>
  </si>
  <si>
    <t>Wave Flow II</t>
  </si>
  <si>
    <t>Tide Step</t>
  </si>
  <si>
    <t>Harmony Stance</t>
  </si>
  <si>
    <t>Prismatic Storm</t>
  </si>
  <si>
    <t>Heavy Draw</t>
  </si>
  <si>
    <t>Force Shot I</t>
  </si>
  <si>
    <t>Force Shot II</t>
  </si>
  <si>
    <t>Siege Arrow</t>
  </si>
  <si>
    <t>Ballista Shot</t>
  </si>
  <si>
    <t>Aimed Fire I</t>
  </si>
  <si>
    <t>Aimed Fire II</t>
  </si>
  <si>
    <t>Dead Eye Arrow</t>
  </si>
  <si>
    <t>Kill Shot</t>
  </si>
  <si>
    <t>Arrow Storm I</t>
  </si>
  <si>
    <t>Arrow Storm II</t>
  </si>
  <si>
    <t>Hail of Arrows</t>
  </si>
  <si>
    <t>Tempest Arrows</t>
  </si>
  <si>
    <t>String Song I</t>
  </si>
  <si>
    <t>String Song II</t>
  </si>
  <si>
    <t>Draw Mastery</t>
  </si>
  <si>
    <t>Grand Archer</t>
  </si>
  <si>
    <t>Titan's Volley</t>
  </si>
  <si>
    <t>Scope Shot</t>
  </si>
  <si>
    <t>Long Shot I</t>
  </si>
  <si>
    <t>Long Shot II</t>
  </si>
  <si>
    <t>Overwatch</t>
  </si>
  <si>
    <t>Apex Shot</t>
  </si>
  <si>
    <t>Precision Shot I</t>
  </si>
  <si>
    <t>Precision Shot II</t>
  </si>
  <si>
    <t>Vital Strike</t>
  </si>
  <si>
    <t>Headshot</t>
  </si>
  <si>
    <t>Return Fire I</t>
  </si>
  <si>
    <t>Return Fire II</t>
  </si>
  <si>
    <t>Ghost Bullet</t>
  </si>
  <si>
    <t>Phantom Round</t>
  </si>
  <si>
    <t>Rifle Jab I</t>
  </si>
  <si>
    <t>Rifle Jab II</t>
  </si>
  <si>
    <t>Scope Advance</t>
  </si>
  <si>
    <t>Expert Marksman</t>
  </si>
  <si>
    <t>Electromagnetic Rail</t>
  </si>
  <si>
    <t>Bayonet Thrust</t>
  </si>
  <si>
    <t>Aimed Burst I</t>
  </si>
  <si>
    <t>Aimed Burst II</t>
  </si>
  <si>
    <t>True Shot</t>
  </si>
  <si>
    <t>Zero Deviation</t>
  </si>
  <si>
    <t>Muzzle Strike I</t>
  </si>
  <si>
    <t>Muzzle Strike II</t>
  </si>
  <si>
    <t>Point Blank</t>
  </si>
  <si>
    <t>Cannon Fist</t>
  </si>
  <si>
    <t>Covering Fire I</t>
  </si>
  <si>
    <t>Covering Fire II</t>
  </si>
  <si>
    <t>Spray and Pray</t>
  </si>
  <si>
    <t>Iron Rain</t>
  </si>
  <si>
    <t>Blade Thrust I</t>
  </si>
  <si>
    <t>Blade Thrust II</t>
  </si>
  <si>
    <t>Bayonet Skewer</t>
  </si>
  <si>
    <t>Vanguard Strike</t>
  </si>
  <si>
    <t>Steampunk Overdrive</t>
  </si>
  <si>
    <t>Tribal Bash</t>
  </si>
  <si>
    <t>Bone Crusher I</t>
  </si>
  <si>
    <t>Bone Crusher II</t>
  </si>
  <si>
    <t>Body Lock</t>
  </si>
  <si>
    <t>Suplex Slam</t>
  </si>
  <si>
    <t>Toxin Claw I</t>
  </si>
  <si>
    <t>Toxin Claw II</t>
  </si>
  <si>
    <t>Venom Palm</t>
  </si>
  <si>
    <t>Poison Grip</t>
  </si>
  <si>
    <t>War Stomp I</t>
  </si>
  <si>
    <t>War Stomp II</t>
  </si>
  <si>
    <t>Tribal Fury</t>
  </si>
  <si>
    <t>Warchief Strike</t>
  </si>
  <si>
    <t>Iron Fist I</t>
  </si>
  <si>
    <t>Iron Fist II</t>
  </si>
  <si>
    <t>Steel Knuckle</t>
  </si>
  <si>
    <t>Gauntlet Crush</t>
  </si>
  <si>
    <t>Colossus Slam</t>
  </si>
  <si>
    <t>Death Scythe</t>
  </si>
  <si>
    <t>Wide Reap I</t>
  </si>
  <si>
    <t>Wide Reap II</t>
  </si>
  <si>
    <t>Spinning Reap</t>
  </si>
  <si>
    <t>Harvest of Souls</t>
  </si>
  <si>
    <t>Heavy Reap I</t>
  </si>
  <si>
    <t>Heavy Reap II</t>
  </si>
  <si>
    <t>Devastate Swing</t>
  </si>
  <si>
    <t>Grim Harvest</t>
  </si>
  <si>
    <t>Spectral Slash I</t>
  </si>
  <si>
    <t>Spectral Slash II</t>
  </si>
  <si>
    <t>Soul Rend</t>
  </si>
  <si>
    <t>Phantom Reap</t>
  </si>
  <si>
    <t>Scythe Form I</t>
  </si>
  <si>
    <t>Scythe Form II</t>
  </si>
  <si>
    <t>Reaper's Dance</t>
  </si>
  <si>
    <t>Deathscythe IV</t>
  </si>
  <si>
    <t>Grimoire Harvest</t>
  </si>
  <si>
    <t>Dark Incantation</t>
  </si>
  <si>
    <t>Grimoire Blast I</t>
  </si>
  <si>
    <t>Grimoire Blast II</t>
  </si>
  <si>
    <t>Black Tome</t>
  </si>
  <si>
    <t>Forbidden Scripture</t>
  </si>
  <si>
    <t>Hex Cast I</t>
  </si>
  <si>
    <t>Hex Cast II</t>
  </si>
  <si>
    <t>Mass Hex</t>
  </si>
  <si>
    <t>Grand Hex</t>
  </si>
  <si>
    <t>Plague Wave I</t>
  </si>
  <si>
    <t>Plague Wave II</t>
  </si>
  <si>
    <t>Miasma</t>
  </si>
  <si>
    <t>Toxic Surge</t>
  </si>
  <si>
    <t>Arcane Focus I</t>
  </si>
  <si>
    <t>Arcane Focus II</t>
  </si>
  <si>
    <t>Warlock's Pact</t>
  </si>
  <si>
    <t>Grand Incantation</t>
  </si>
  <si>
    <t>Apocalyptic Hex</t>
  </si>
  <si>
    <t>Scepter Beam</t>
  </si>
  <si>
    <t>Arcane Bolt I</t>
  </si>
  <si>
    <t>Arcane Bolt II</t>
  </si>
  <si>
    <t>Forbidden Arts</t>
  </si>
  <si>
    <t>Sage's Secret</t>
  </si>
  <si>
    <t>Scepter Wave I</t>
  </si>
  <si>
    <t>Scepter Wave II</t>
  </si>
  <si>
    <t>Crystal Resonance</t>
  </si>
  <si>
    <t>Grand Resonance</t>
  </si>
  <si>
    <t>Crystal Shot I</t>
  </si>
  <si>
    <t>Crystal Shot II</t>
  </si>
  <si>
    <t>Prism Ray</t>
  </si>
  <si>
    <t>Diamond Ray</t>
  </si>
  <si>
    <t>Nexus Pulse I</t>
  </si>
  <si>
    <t>Nexus Pulse II</t>
  </si>
  <si>
    <t>Channeling Surge</t>
  </si>
  <si>
    <t>Grand Nexus</t>
  </si>
  <si>
    <t>Crystalline Nova</t>
  </si>
  <si>
    <t>Fan Slash</t>
  </si>
  <si>
    <t>Elemental Fan I</t>
  </si>
  <si>
    <t>Elemental Fan II</t>
  </si>
  <si>
    <t>Chaos Fan</t>
  </si>
  <si>
    <t>Gust Wave I</t>
  </si>
  <si>
    <t>Gust Wave II</t>
  </si>
  <si>
    <t>Tornado Slash</t>
  </si>
  <si>
    <t>Hurricane Fan</t>
  </si>
  <si>
    <t>Air Vortex I</t>
  </si>
  <si>
    <t>Air Vortex II</t>
  </si>
  <si>
    <t>Cyclone Form</t>
  </si>
  <si>
    <t>Sovereign Wind</t>
  </si>
  <si>
    <t>Chaos Spark I</t>
  </si>
  <si>
    <t>Chaos Spark II</t>
  </si>
  <si>
    <t>Primal Chaos</t>
  </si>
  <si>
    <t>Grand Chaos</t>
  </si>
  <si>
    <t>Elemental Apocalypse</t>
  </si>
  <si>
    <t>Soul Siphon</t>
  </si>
  <si>
    <t>Necrotic Bolt I</t>
  </si>
  <si>
    <t>Necrotic Bolt II</t>
  </si>
  <si>
    <t>Death Pulse</t>
  </si>
  <si>
    <t>Gravemancer</t>
  </si>
  <si>
    <t>Raise Dead I</t>
  </si>
  <si>
    <t>Raise Dead II</t>
  </si>
  <si>
    <t>Undead Horde</t>
  </si>
  <si>
    <t>Lich's Will</t>
  </si>
  <si>
    <t>Blood Ritual I</t>
  </si>
  <si>
    <t>Blood Ritual II</t>
  </si>
  <si>
    <t>Necrotic Rite</t>
  </si>
  <si>
    <t>Grand Death Rite</t>
  </si>
  <si>
    <t>Sanguine Strike I</t>
  </si>
  <si>
    <t>Sanguine Strike II</t>
  </si>
  <si>
    <t>Crimson Ritual</t>
  </si>
  <si>
    <t>Death Covenant</t>
  </si>
  <si>
    <t>Apocalyptic Necromancy</t>
  </si>
  <si>
    <t>Spirit Heal</t>
  </si>
  <si>
    <t>Whispering Gale I</t>
  </si>
  <si>
    <t>Whispering Gale II</t>
  </si>
  <si>
    <t>Spirit Gust</t>
  </si>
  <si>
    <t>Cyclone Spirit</t>
  </si>
  <si>
    <t>Stone Circle I</t>
  </si>
  <si>
    <t>Stone Circle II</t>
  </si>
  <si>
    <t>Ancient Grove</t>
  </si>
  <si>
    <t>Nature's Pact</t>
  </si>
  <si>
    <t>Life Bloom I</t>
  </si>
  <si>
    <t>Life Bloom II</t>
  </si>
  <si>
    <t>Verdant Mend</t>
  </si>
  <si>
    <t>Sacred Bond</t>
  </si>
  <si>
    <t>First Rite I</t>
  </si>
  <si>
    <t>First Rite II</t>
  </si>
  <si>
    <t>Remedy</t>
  </si>
  <si>
    <t>Grand Remedy</t>
  </si>
  <si>
    <t>Gaia's Blessing</t>
  </si>
  <si>
    <t>Sacred Light</t>
  </si>
  <si>
    <t>Holy Ward I</t>
  </si>
  <si>
    <t>Holy Ward II</t>
  </si>
  <si>
    <t>Radiant Guard</t>
  </si>
  <si>
    <t>Divine Halo</t>
  </si>
  <si>
    <t>Sacred Ground</t>
  </si>
  <si>
    <t>Holy Shrine</t>
  </si>
  <si>
    <t>Gift of Light I</t>
  </si>
  <si>
    <t>Gift of Light II</t>
  </si>
  <si>
    <t>Blessed Ward</t>
  </si>
  <si>
    <t>Divine Grace</t>
  </si>
  <si>
    <t>Holy Renewal I</t>
  </si>
  <si>
    <t>Holy Renewal II</t>
  </si>
  <si>
    <t>Sacred Mending</t>
  </si>
  <si>
    <t>Eternal Faith</t>
  </si>
  <si>
    <t>Divine Revelation</t>
  </si>
  <si>
    <t>Crack Lash</t>
  </si>
  <si>
    <t>Mystic Lash I</t>
  </si>
  <si>
    <t>Mystic Lash II</t>
  </si>
  <si>
    <t>Arcane Whip</t>
  </si>
  <si>
    <t>Binding Arts</t>
  </si>
  <si>
    <t>Wave Lash I</t>
  </si>
  <si>
    <t>Wave Lash II</t>
  </si>
  <si>
    <t>Arts Nova</t>
  </si>
  <si>
    <t>Grand Arts</t>
  </si>
  <si>
    <t>Binding Lash I</t>
  </si>
  <si>
    <t>Binding Lash II</t>
  </si>
  <si>
    <t>Gravity Crack</t>
  </si>
  <si>
    <t>Controlled Chaos</t>
  </si>
  <si>
    <t>Precision Crack I</t>
  </si>
  <si>
    <t>Precision Crack II</t>
  </si>
  <si>
    <t>Master Form</t>
  </si>
  <si>
    <t>Perfect Strike</t>
  </si>
  <si>
    <t>Infinity Lash</t>
  </si>
  <si>
    <t>Dance of Blades</t>
  </si>
  <si>
    <t>Inspiring Dance I</t>
  </si>
  <si>
    <t>Inspiring Dance II</t>
  </si>
  <si>
    <t>War Dance</t>
  </si>
  <si>
    <t>Grand War Dance</t>
  </si>
  <si>
    <t>Sidestep I</t>
  </si>
  <si>
    <t>Sidestep II</t>
  </si>
  <si>
    <t>Feint Step</t>
  </si>
  <si>
    <t>Phantom Dance</t>
  </si>
  <si>
    <t>Cursed Step I</t>
  </si>
  <si>
    <t>Cursed Step II</t>
  </si>
  <si>
    <t>Hex Dance</t>
  </si>
  <si>
    <t>Death Waltz</t>
  </si>
  <si>
    <t>Grave Waltz I</t>
  </si>
  <si>
    <t>Grave Waltz II</t>
  </si>
  <si>
    <t>Reaper's Reel</t>
  </si>
  <si>
    <t>Final Curtain</t>
  </si>
  <si>
    <t>Danse Macabre</t>
  </si>
  <si>
    <t>One row per effect. Description gives rough explanation for how each effect works. Notes adds extra explanation if necessary.</t>
  </si>
  <si>
    <t>effect</t>
  </si>
  <si>
    <t>description</t>
  </si>
  <si>
    <t>Target recovers HP.</t>
  </si>
  <si>
    <t>barrier</t>
  </si>
  <si>
    <t>Target reflects incoming matching-damage-type for skill duration.</t>
  </si>
  <si>
    <t>curse</t>
  </si>
  <si>
    <t>Target's stats decrease for curse duration.</t>
  </si>
  <si>
    <t>bleed</t>
  </si>
  <si>
    <t>Target becomes wounded. Loses health per turn.</t>
  </si>
  <si>
    <t>buff</t>
  </si>
  <si>
    <t>Target's stats increase for buff duration.</t>
  </si>
  <si>
    <t>Can target specific stat, depending on skill, including elemental statuses. (HP, SP, TP, MP, PATK, PDEF, PHIT, PEVA, MATK, MDEF, MHIT, MEVA, FIR, WTR, AIR, ERT ,LGT, DRK)</t>
  </si>
  <si>
    <t>stun</t>
  </si>
  <si>
    <t>Target becomes slowed. Target's initiative decreases during effect. Can recover by being hastened.</t>
  </si>
  <si>
    <t>burn</t>
  </si>
  <si>
    <t>Target becomes burned. Loses health per turn.</t>
  </si>
  <si>
    <t>freeze</t>
  </si>
  <si>
    <t>Target becomes frozen. Cannot act. Can negate freeze by attacking with fire-type attacks.</t>
  </si>
  <si>
    <t>paralyze</t>
  </si>
  <si>
    <t>Target becomes paralyzed. Cannot act.</t>
  </si>
  <si>
    <t>sleep</t>
  </si>
  <si>
    <t>Target becomes asleep. Cannot act. Can be woken on hit.</t>
  </si>
  <si>
    <t>poison</t>
  </si>
  <si>
    <t>Target becomes poisoned. Loses health per turn.</t>
  </si>
  <si>
    <t>petrify</t>
  </si>
  <si>
    <t>Target becomes stone. Cannot act. Can become freed on hit.</t>
  </si>
  <si>
    <t>silence</t>
  </si>
  <si>
    <t>Cannot use magic skills.</t>
  </si>
  <si>
    <t>frail</t>
  </si>
  <si>
    <t>Cannot use physical skills.</t>
  </si>
  <si>
    <t>haste</t>
  </si>
  <si>
    <t>Target becomes hastened. Target's initiative increases during effect. Can counter by being slowed.</t>
  </si>
  <si>
    <t>root</t>
  </si>
  <si>
    <t>Target becomes imobilized. Target's initiative decreases severely.</t>
  </si>
  <si>
    <t>charm</t>
  </si>
  <si>
    <t>Target is charmed. Target will attack allies for duration.</t>
  </si>
  <si>
    <t>prone</t>
  </si>
  <si>
    <t>Target is knocked down. Cannot act for one turn while it recovers stance.</t>
  </si>
  <si>
    <t>shield</t>
  </si>
  <si>
    <t>Target negates incoming matching-damage-type for skill duration.</t>
  </si>
  <si>
    <t>regen</t>
  </si>
  <si>
    <t>Target regenerates stat pool for skill duration.</t>
  </si>
  <si>
    <t>anti</t>
  </si>
  <si>
    <t>Target prevents status effects for skill duration.</t>
  </si>
  <si>
    <t>resist</t>
  </si>
  <si>
    <t>Target resists elemental weaknesses for skill duration.</t>
  </si>
  <si>
    <t>envigorate</t>
  </si>
  <si>
    <t xml:space="preserve">Target has increased Stamina for skill duration. </t>
  </si>
  <si>
    <t>relaxed</t>
  </si>
  <si>
    <t>Target has increased Stamina recovery for skill duration.</t>
  </si>
  <si>
    <t>Defines which class unlocks which. boxes_required and specific box conditions are TBD — yellow rows need your decision. prereq_class is already filled from your data. NOTE: which specific branch boxes trigger promotion has not yet been decided.</t>
  </si>
  <si>
    <t>unlocks_class_id</t>
  </si>
  <si>
    <t>unlocks_class_name</t>
  </si>
  <si>
    <t>prereq_class_name</t>
  </si>
  <si>
    <t>sp_pool_required</t>
  </si>
  <si>
    <t>boxes_required</t>
  </si>
  <si>
    <t>total_boxes_in_prereq</t>
  </si>
  <si>
    <t>_TODO</t>
  </si>
  <si>
    <t>[0,1,2,3,4]</t>
  </si>
  <si>
    <t>[0,1,2,3,4,5,6,7,8,9,10,11,12,13,14,15,16,17]</t>
  </si>
  <si>
    <t>[0,9,10,11,12]</t>
  </si>
  <si>
    <t>[18,19,20,21,22]</t>
  </si>
  <si>
    <t>[18,23,24,25,26]</t>
  </si>
  <si>
    <t>[18,27,28,29,30]</t>
  </si>
  <si>
    <t>[36,37,38,39,40,49,50,51,52]</t>
  </si>
  <si>
    <t>[36,41,42,43,44,45,46,47,48]</t>
  </si>
  <si>
    <t>[54,55,56,57,58,59,60,61,62]</t>
  </si>
  <si>
    <t>[54,63,64,65,66,67,68,69,70]</t>
  </si>
  <si>
    <t>[72,73,74,75,76,77,78,79,80]</t>
  </si>
  <si>
    <t>[72,81,82,83,84,85,86,87,88]</t>
  </si>
  <si>
    <t>[90,91,92,93,94,95,96,97,98,99,100,101,102,103,104,105,106,107]</t>
  </si>
  <si>
    <t>[108,109,110,111,112,113,114,115,116]</t>
  </si>
  <si>
    <t>[108,117,118,119,120,121,122,123,124]</t>
  </si>
  <si>
    <t>[126,127,128,129,130,135,136,137,138]</t>
  </si>
  <si>
    <t>[126,131,132,133,134,139,140,141,142]</t>
  </si>
  <si>
    <t>[144,145,146,147,148,149,150,151,152,153,154,155,156,157,158,159,160,161]</t>
  </si>
  <si>
    <t>[162,163,164,165,166,175,176,177,178]</t>
  </si>
  <si>
    <t>[162,167,168,169,170,171,172,173,174]</t>
  </si>
  <si>
    <t>[180,181,182,183,184,185,186,187,188]</t>
  </si>
  <si>
    <t>[180,189,190,191,192,193,194,195,196]</t>
  </si>
  <si>
    <t>[198,199,200,201,202,203,204,205,206]</t>
  </si>
  <si>
    <t>[198,207,208,209,210,211,212,213,214]</t>
  </si>
  <si>
    <t>[216,217,218,219,220,221,222,223,224]</t>
  </si>
  <si>
    <t>[216,225,226,227,228,229,230,231,232]</t>
  </si>
  <si>
    <t>[234,235,236,237,238,247,248,249,250]</t>
  </si>
  <si>
    <t>Macbre Dancer</t>
  </si>
  <si>
    <t>[234,239,240,241,242,243,244,245,246]</t>
  </si>
  <si>
    <t>Reference table for all stat abbreviations used in SkillBoxes.</t>
  </si>
  <si>
    <t>abbreviation</t>
  </si>
  <si>
    <t>full_name</t>
  </si>
  <si>
    <t>Health Points</t>
  </si>
  <si>
    <t>Character health. Reaches 0 = death.</t>
  </si>
  <si>
    <t>Skill Points</t>
  </si>
  <si>
    <t>Resource for physical skills.</t>
  </si>
  <si>
    <t>Technique Points</t>
  </si>
  <si>
    <t>Resource for technique-based skills.</t>
  </si>
  <si>
    <t>Magic Points</t>
  </si>
  <si>
    <t>Resource for magic/wave skills.</t>
  </si>
  <si>
    <t>Physical Attack</t>
  </si>
  <si>
    <t>Base physical damage.</t>
  </si>
  <si>
    <t>Physical Defence</t>
  </si>
  <si>
    <t>Reduces incoming physical damage.</t>
  </si>
  <si>
    <t>Physical Hit</t>
  </si>
  <si>
    <t>Accuracy for physical attacks.</t>
  </si>
  <si>
    <t>Physical Evasion</t>
  </si>
  <si>
    <t>Chance to dodge physical attacks.</t>
  </si>
  <si>
    <t>Magic Attack</t>
  </si>
  <si>
    <t>Base magic damage.</t>
  </si>
  <si>
    <t>Magic Defence</t>
  </si>
  <si>
    <t>Reduces incoming magic damage.</t>
  </si>
  <si>
    <t>Magic Hit</t>
  </si>
  <si>
    <t>Accuracy for magic attacks.</t>
  </si>
  <si>
    <t>Magic Evasion</t>
  </si>
  <si>
    <t>Chance to dodge magic attacks.</t>
  </si>
  <si>
    <t>Fire Affinity</t>
  </si>
  <si>
    <t>Fire resistance and potency.</t>
  </si>
  <si>
    <t>Water Affinity</t>
  </si>
  <si>
    <t>Water resistance and potency.</t>
  </si>
  <si>
    <t>Air Affinity</t>
  </si>
  <si>
    <t>Air resistance and potency.</t>
  </si>
  <si>
    <t>Earth Affinity</t>
  </si>
  <si>
    <t>Earth resistance and potency.</t>
  </si>
  <si>
    <t>Light Affinity</t>
  </si>
  <si>
    <t>Light resistance and potency.</t>
  </si>
  <si>
    <t>Dark Affinity</t>
  </si>
  <si>
    <t>Dark resistance and potency.</t>
  </si>
  <si>
    <t>STAM</t>
  </si>
  <si>
    <t>Stamina</t>
  </si>
  <si>
    <t>Stamina is used to conduct professions such as crafting, farming, fishing, etc. Can be recovered over time or by consuming stamina-healing items.</t>
  </si>
  <si>
    <t>Elemental counter relationships.</t>
  </si>
  <si>
    <t>element</t>
  </si>
  <si>
    <t>counter_element</t>
  </si>
  <si>
    <t>One row per weapon type. range: Short | Medium | Long. weight_class: Light | Medium | Heavy. Weapons can be equipped by all classes. Players require a License to use a weapon at 100% effectiveness. if they do not have a license, the weapon works at 70% scale.</t>
  </si>
  <si>
    <t>type</t>
  </si>
  <si>
    <t>exp_pool_a</t>
  </si>
  <si>
    <t>exp_pool_b</t>
  </si>
  <si>
    <t>range</t>
  </si>
  <si>
    <t>weight_class</t>
  </si>
  <si>
    <t>rarity</t>
  </si>
  <si>
    <t>required_certificate</t>
  </si>
  <si>
    <t>Slashing Weapons</t>
  </si>
  <si>
    <t>Piercing Weapons</t>
  </si>
  <si>
    <t>short</t>
  </si>
  <si>
    <t>common</t>
  </si>
  <si>
    <t>Bludgeoning Weapons</t>
  </si>
  <si>
    <t>Support Weapons</t>
  </si>
  <si>
    <t>medium</t>
  </si>
  <si>
    <t>Heavy Axe</t>
  </si>
  <si>
    <t>Relic Weapons</t>
  </si>
  <si>
    <t>Arcane Weapons</t>
  </si>
  <si>
    <t>Cursing Weapons</t>
  </si>
  <si>
    <t>long</t>
  </si>
  <si>
    <t xml:space="preserve">One row per weapon. Weapons can be equipped by all classes. Players require a License to use a weapon at 100% effectiveness. if they do not have a license, the weapon works at 70% scale.                                                                        </t>
  </si>
  <si>
    <t>_JSON_KEY</t>
  </si>
  <si>
    <t>Rusty Blade</t>
  </si>
  <si>
    <t>weapons</t>
  </si>
  <si>
    <t>Rusty Long Blade</t>
  </si>
  <si>
    <t>Rusty Shield</t>
  </si>
  <si>
    <t>Rusty Spear</t>
  </si>
  <si>
    <t>Rusty Heavy Axe</t>
  </si>
  <si>
    <t>Rusty Heavy Blade</t>
  </si>
  <si>
    <t>Rusty Cursed Blade</t>
  </si>
  <si>
    <t>Rusty Spell Blade</t>
  </si>
  <si>
    <t>Rusty Jian Blade</t>
  </si>
  <si>
    <t>Rusty Twin Blades</t>
  </si>
  <si>
    <t>Rusty Bow</t>
  </si>
  <si>
    <t>Rusty Heavy Bow</t>
  </si>
  <si>
    <t>Rusty Rifle</t>
  </si>
  <si>
    <t>Rusty Dual Guns</t>
  </si>
  <si>
    <t>Rusty Bayonet</t>
  </si>
  <si>
    <t>Rusty Claws</t>
  </si>
  <si>
    <t>Rusty Gauntlets</t>
  </si>
  <si>
    <t>Rusty Scythe</t>
  </si>
  <si>
    <t>Rusty Focus</t>
  </si>
  <si>
    <t>Rusty Staff</t>
  </si>
  <si>
    <t>Rusty Heavy Staff</t>
  </si>
  <si>
    <t>Rusty Crystal Staff</t>
  </si>
  <si>
    <t>Rusty Runes</t>
  </si>
  <si>
    <t>Rusty War Fans</t>
  </si>
  <si>
    <t>Rusty Necronomicon</t>
  </si>
  <si>
    <t>Rusty Wand</t>
  </si>
  <si>
    <t>Rusty Tome</t>
  </si>
  <si>
    <t>Rusty Grimoire</t>
  </si>
  <si>
    <t>Rusty Holy Relic</t>
  </si>
  <si>
    <t>Rusty Bo Staff</t>
  </si>
  <si>
    <t>Rusty Whip</t>
  </si>
  <si>
    <t>Rusty Bladed Fans</t>
  </si>
  <si>
    <t>One row per rarity. Rarities add prefixes to various items, identified by headers.</t>
  </si>
  <si>
    <t>Worthless</t>
  </si>
  <si>
    <t>Common</t>
  </si>
  <si>
    <t>Uncommon</t>
  </si>
  <si>
    <t>Quality</t>
  </si>
  <si>
    <t>Rare</t>
  </si>
  <si>
    <t>Epic</t>
  </si>
  <si>
    <t>Unique</t>
  </si>
  <si>
    <t>Legendary</t>
  </si>
  <si>
    <t>Mythical</t>
  </si>
  <si>
    <t>Demonic</t>
  </si>
  <si>
    <t>Blessed</t>
  </si>
  <si>
    <t>Divine</t>
  </si>
  <si>
    <t>Cosmic</t>
  </si>
  <si>
    <t>One row per consumable.</t>
  </si>
  <si>
    <t>Effect</t>
  </si>
  <si>
    <t>Target</t>
  </si>
  <si>
    <t>Recovery Drop</t>
  </si>
  <si>
    <t>Recovers 150 HP</t>
  </si>
  <si>
    <t>Self / Ally</t>
  </si>
  <si>
    <t>Restorative Sap</t>
  </si>
  <si>
    <t>Recovers 15 SP/TP/MP</t>
  </si>
  <si>
    <t>Goddess Drop</t>
  </si>
  <si>
    <t>Revive target to 25% HP/SP/TP/MP.</t>
  </si>
  <si>
    <t xml:space="preserve">One row per gear type. Gear has three different weights: light, medium, heavy. Gear can slot into specific player Gear Slots, as designated by gear_slot. Most equipment is player-made, defined in the crafting rules. The </t>
  </si>
  <si>
    <t>Type</t>
  </si>
  <si>
    <t>Gear_Slot</t>
  </si>
  <si>
    <t>Rarity</t>
  </si>
  <si>
    <t>Cap</t>
  </si>
  <si>
    <t>Head</t>
  </si>
  <si>
    <t>Cuirras</t>
  </si>
  <si>
    <t>Chest</t>
  </si>
  <si>
    <t>Boots</t>
  </si>
  <si>
    <t>Ring</t>
  </si>
  <si>
    <t>Accessory 1</t>
  </si>
  <si>
    <t>Amulet</t>
  </si>
  <si>
    <t>Accessory 2</t>
  </si>
  <si>
    <t>One row per gear set. weight_class: Light | Medium | Heavy. Bonus/Curse columns: which stat is affected. bonus_stat_mod and curse_stat_mod: value per piece equipped.</t>
  </si>
  <si>
    <t>bonus_stat</t>
  </si>
  <si>
    <t>bonus_stat_mod</t>
  </si>
  <si>
    <t>curse_stat</t>
  </si>
  <si>
    <t>curse_stat_mod</t>
  </si>
  <si>
    <t>min_test_level</t>
  </si>
  <si>
    <t>Berserker</t>
  </si>
  <si>
    <t>gear_sets</t>
  </si>
  <si>
    <t>Phantom</t>
  </si>
  <si>
    <t>Sentinel</t>
  </si>
  <si>
    <t>Warden</t>
  </si>
  <si>
    <t>Glacier</t>
  </si>
  <si>
    <t>Storm</t>
  </si>
  <si>
    <t>Viper</t>
  </si>
  <si>
    <t>Trickster</t>
  </si>
  <si>
    <t>Calculated set bonuses per piece count. set_id links to GearSets. pieces_equipped: 2–6. bonus and curse values are total (pieces × per-piece rate).</t>
  </si>
  <si>
    <t>set_id</t>
  </si>
  <si>
    <t>set_name</t>
  </si>
  <si>
    <t>pieces_equipped</t>
  </si>
  <si>
    <t>bonus_total</t>
  </si>
  <si>
    <t>curse_total</t>
  </si>
  <si>
    <t>Combat level is derived from total CP earned from investing in skill boxes. This sheet defines the formula constants. Claude Code uses these to compute a player's effective combat level from their Combat Points totals..</t>
  </si>
  <si>
    <t>parameter</t>
  </si>
  <si>
    <t>value</t>
  </si>
  <si>
    <t>example</t>
  </si>
  <si>
    <t>cp_per_combat_level</t>
  </si>
  <si>
    <t>25 CP = +1 combat level. CP gained from Skill Boxes.</t>
  </si>
  <si>
    <t>180 CP earned → combat level 7</t>
  </si>
  <si>
    <t>combat_level_formula</t>
  </si>
  <si>
    <t>base_combat_level</t>
  </si>
  <si>
    <t>Everyone starts at combat level 1</t>
  </si>
  <si>
    <t>Novice base skills net 25 CP → level 1</t>
  </si>
  <si>
    <t>unlearn_sp_refund_rate</t>
  </si>
  <si>
    <t>Fraction of LP refunded on unlearn (1.0 = full refund)</t>
  </si>
  <si>
    <t>Unlearn a 30 LP box → get 30 LP back</t>
  </si>
  <si>
    <t>unlearn_removes_stat_bonuses</t>
  </si>
  <si>
    <t>true</t>
  </si>
  <si>
    <t>Stat bonuses from the box are removed on unlearn</t>
  </si>
  <si>
    <t>Unlearn Iron Body → lose its HP and DEF</t>
  </si>
  <si>
    <t>unlearn_removes_skills</t>
  </si>
  <si>
    <t>Skills from the unlearned box are removed from the player</t>
  </si>
  <si>
    <t>Unlearn Shadow Step → lose Shadow Step skill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</si>
</sst>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0F3460"/>
      <name val="Arial"/>
    </font>
    <font>
      <sz val="10.0"/>
      <color theme="1"/>
      <name val="Arial"/>
    </font>
    <font>
      <i/>
      <sz val="9.0"/>
      <color rgb="FF1B4F72"/>
      <name val="Arial"/>
    </font>
    <font>
      <b/>
      <sz val="10.0"/>
      <color rgb="FFFFD700"/>
      <name val="Arial"/>
    </font>
    <font>
      <b/>
      <sz val="10.0"/>
      <color rgb="FFFFFFFF"/>
      <name val="Arial"/>
    </font>
    <font>
      <b/>
      <color rgb="FFFFD700"/>
      <name val="Arial"/>
    </font>
    <font>
      <b/>
      <color rgb="FFFFFFFF"/>
      <name val="Arial"/>
    </font>
    <font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i/>
      <sz val="11.0"/>
      <color rgb="FF1B4F72"/>
      <name val="Arial"/>
    </font>
    <font>
      <sz val="11.0"/>
      <color theme="1"/>
      <name val="Arial"/>
    </font>
    <font>
      <b/>
      <sz val="11.0"/>
      <color rgb="FFFFD700"/>
      <name val="Arial"/>
    </font>
    <font>
      <b/>
      <sz val="11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EEF2FF"/>
        <bgColor rgb="FFEEF2FF"/>
      </patternFill>
    </fill>
    <fill>
      <patternFill patternType="solid">
        <fgColor rgb="FFE8F4FD"/>
        <bgColor rgb="FFE8F4FD"/>
      </patternFill>
    </fill>
    <fill>
      <patternFill patternType="solid">
        <fgColor rgb="FF003366"/>
        <bgColor rgb="FF003366"/>
      </patternFill>
    </fill>
    <fill>
      <patternFill patternType="solid">
        <fgColor rgb="FFF0F2FF"/>
        <bgColor rgb="FFF0F2FF"/>
      </patternFill>
    </fill>
    <fill>
      <patternFill patternType="solid">
        <fgColor rgb="FFFFF9C4"/>
        <bgColor rgb="FFFFF9C4"/>
      </patternFill>
    </fill>
  </fills>
  <borders count="6">
    <border/>
    <border>
      <left/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vertical="top"/>
    </xf>
    <xf borderId="3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readingOrder="0" shrinkToFit="0" vertical="top" wrapText="1"/>
    </xf>
    <xf borderId="1" fillId="4" fontId="5" numFmtId="0" xfId="0" applyAlignment="1" applyBorder="1" applyFill="1" applyFont="1">
      <alignment horizontal="left" vertical="center"/>
    </xf>
    <xf borderId="4" fillId="4" fontId="5" numFmtId="0" xfId="0" applyAlignment="1" applyBorder="1" applyFont="1">
      <alignment horizontal="left" vertical="center"/>
    </xf>
    <xf borderId="2" fillId="4" fontId="5" numFmtId="0" xfId="0" applyAlignment="1" applyBorder="1" applyFont="1">
      <alignment horizontal="left" vertical="center"/>
    </xf>
    <xf borderId="5" fillId="5" fontId="6" numFmtId="0" xfId="0" applyAlignment="1" applyBorder="1" applyFill="1" applyFont="1">
      <alignment horizontal="center" shrinkToFit="0" vertical="center" wrapText="1"/>
    </xf>
    <xf borderId="5" fillId="2" fontId="7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vertical="center"/>
    </xf>
    <xf borderId="3" fillId="0" fontId="4" numFmtId="0" xfId="0" applyAlignment="1" applyBorder="1" applyFont="1">
      <alignment readingOrder="0" vertical="center"/>
    </xf>
    <xf borderId="3" fillId="6" fontId="4" numFmtId="0" xfId="0" applyAlignment="1" applyBorder="1" applyFill="1" applyFont="1">
      <alignment vertical="center"/>
    </xf>
    <xf borderId="3" fillId="6" fontId="4" numFmtId="0" xfId="0" applyAlignment="1" applyBorder="1" applyFont="1">
      <alignment readingOrder="0" vertical="center"/>
    </xf>
    <xf borderId="1" fillId="4" fontId="5" numFmtId="0" xfId="0" applyBorder="1" applyFont="1"/>
    <xf borderId="4" fillId="4" fontId="5" numFmtId="0" xfId="0" applyBorder="1" applyFont="1"/>
    <xf borderId="2" fillId="4" fontId="5" numFmtId="0" xfId="0" applyBorder="1" applyFont="1"/>
    <xf borderId="5" fillId="5" fontId="8" numFmtId="0" xfId="0" applyAlignment="1" applyBorder="1" applyFont="1">
      <alignment horizontal="center" shrinkToFit="0" wrapText="1"/>
    </xf>
    <xf borderId="5" fillId="2" fontId="9" numFmtId="0" xfId="0" applyAlignment="1" applyBorder="1" applyFont="1">
      <alignment horizontal="center" shrinkToFit="0" wrapText="1"/>
    </xf>
    <xf borderId="5" fillId="2" fontId="9" numFmtId="0" xfId="0" applyAlignment="1" applyBorder="1" applyFont="1">
      <alignment horizontal="center" readingOrder="0" shrinkToFit="0" wrapText="1"/>
    </xf>
    <xf borderId="3" fillId="0" fontId="10" numFmtId="0" xfId="0" applyAlignment="1" applyBorder="1" applyFont="1">
      <alignment horizontal="right"/>
    </xf>
    <xf borderId="3" fillId="0" fontId="10" numFmtId="0" xfId="0" applyBorder="1" applyFont="1"/>
    <xf borderId="3" fillId="0" fontId="10" numFmtId="0" xfId="0" applyAlignment="1" applyBorder="1" applyFont="1">
      <alignment readingOrder="0"/>
    </xf>
    <xf borderId="3" fillId="0" fontId="11" numFmtId="0" xfId="0" applyAlignment="1" applyBorder="1" applyFont="1">
      <alignment horizontal="center" readingOrder="0"/>
    </xf>
    <xf borderId="3" fillId="0" fontId="11" numFmtId="0" xfId="0" applyBorder="1" applyFont="1"/>
    <xf borderId="3" fillId="6" fontId="10" numFmtId="0" xfId="0" applyAlignment="1" applyBorder="1" applyFont="1">
      <alignment horizontal="right"/>
    </xf>
    <xf borderId="3" fillId="6" fontId="10" numFmtId="0" xfId="0" applyBorder="1" applyFont="1"/>
    <xf borderId="3" fillId="6" fontId="10" numFmtId="0" xfId="0" applyAlignment="1" applyBorder="1" applyFont="1">
      <alignment readingOrder="0"/>
    </xf>
    <xf borderId="3" fillId="6" fontId="11" numFmtId="0" xfId="0" applyAlignment="1" applyBorder="1" applyFont="1">
      <alignment horizontal="center" readingOrder="0"/>
    </xf>
    <xf borderId="0" fillId="0" fontId="12" numFmtId="0" xfId="0" applyFont="1"/>
    <xf borderId="5" fillId="2" fontId="7" numFmtId="0" xfId="0" applyAlignment="1" applyBorder="1" applyFont="1">
      <alignment horizontal="center" readingOrder="0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vertical="center"/>
    </xf>
    <xf borderId="3" fillId="6" fontId="4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/>
    </xf>
    <xf borderId="1" fillId="4" fontId="5" numFmtId="0" xfId="0" applyAlignment="1" applyBorder="1" applyFont="1">
      <alignment horizontal="left" readingOrder="0"/>
    </xf>
    <xf borderId="4" fillId="4" fontId="5" numFmtId="0" xfId="0" applyAlignment="1" applyBorder="1" applyFont="1">
      <alignment horizontal="center"/>
    </xf>
    <xf borderId="2" fillId="4" fontId="5" numFmtId="0" xfId="0" applyAlignment="1" applyBorder="1" applyFont="1">
      <alignment horizontal="center"/>
    </xf>
    <xf borderId="5" fillId="5" fontId="8" numFmtId="0" xfId="0" applyAlignment="1" applyBorder="1" applyFont="1">
      <alignment horizontal="center" readingOrder="0" shrinkToFit="0" wrapText="1"/>
    </xf>
    <xf borderId="3" fillId="0" fontId="10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/>
    </xf>
    <xf borderId="0" fillId="0" fontId="12" numFmtId="0" xfId="0" applyAlignment="1" applyFont="1">
      <alignment horizontal="center" readingOrder="0"/>
    </xf>
    <xf borderId="3" fillId="6" fontId="10" numFmtId="0" xfId="0" applyAlignment="1" applyBorder="1" applyFont="1">
      <alignment horizontal="center" readingOrder="0"/>
    </xf>
    <xf borderId="3" fillId="6" fontId="10" numFmtId="0" xfId="0" applyAlignment="1" applyBorder="1" applyFont="1">
      <alignment horizontal="center"/>
    </xf>
    <xf borderId="3" fillId="0" fontId="10" numFmtId="0" xfId="0" applyAlignment="1" applyBorder="1" applyFont="1">
      <alignment horizontal="left"/>
    </xf>
    <xf borderId="3" fillId="6" fontId="10" numFmtId="0" xfId="0" applyAlignment="1" applyBorder="1" applyFont="1">
      <alignment horizontal="left"/>
    </xf>
    <xf borderId="3" fillId="6" fontId="10" numFmtId="0" xfId="0" applyAlignment="1" applyBorder="1" applyFont="1">
      <alignment horizontal="left" readingOrder="0"/>
    </xf>
    <xf borderId="0" fillId="0" fontId="12" numFmtId="0" xfId="0" applyAlignment="1" applyFont="1">
      <alignment horizontal="left"/>
    </xf>
    <xf borderId="3" fillId="7" fontId="4" numFmtId="0" xfId="0" applyAlignment="1" applyBorder="1" applyFill="1" applyFont="1">
      <alignment vertical="center"/>
    </xf>
    <xf borderId="3" fillId="7" fontId="4" numFmtId="0" xfId="0" applyAlignment="1" applyBorder="1" applyFont="1">
      <alignment horizontal="center" vertical="center"/>
    </xf>
    <xf borderId="3" fillId="7" fontId="4" numFmtId="0" xfId="0" applyAlignment="1" applyBorder="1" applyFont="1">
      <alignment horizontal="left" vertical="center"/>
    </xf>
    <xf borderId="3" fillId="7" fontId="4" numFmtId="0" xfId="0" applyAlignment="1" applyBorder="1" applyFont="1">
      <alignment horizontal="center" readingOrder="0" vertical="center"/>
    </xf>
    <xf borderId="3" fillId="7" fontId="4" numFmtId="0" xfId="0" applyAlignment="1" applyBorder="1" applyFont="1">
      <alignment readingOrder="0" vertical="center"/>
    </xf>
    <xf borderId="0" fillId="0" fontId="12" numFmtId="49" xfId="0" applyAlignment="1" applyFont="1" applyNumberFormat="1">
      <alignment horizontal="left"/>
    </xf>
    <xf borderId="0" fillId="5" fontId="6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vertical="center"/>
    </xf>
    <xf borderId="0" fillId="6" fontId="4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1" fillId="4" fontId="5" numFmtId="0" xfId="0" applyAlignment="1" applyBorder="1" applyFont="1">
      <alignment readingOrder="0"/>
    </xf>
    <xf borderId="4" fillId="4" fontId="5" numFmtId="0" xfId="0" applyAlignment="1" applyBorder="1" applyFont="1">
      <alignment readingOrder="0"/>
    </xf>
    <xf borderId="2" fillId="4" fontId="5" numFmtId="0" xfId="0" applyAlignment="1" applyBorder="1" applyFont="1">
      <alignment readingOrder="0"/>
    </xf>
    <xf borderId="3" fillId="0" fontId="10" numFmtId="0" xfId="0" applyAlignment="1" applyBorder="1" applyFont="1">
      <alignment horizontal="right" readingOrder="0"/>
    </xf>
    <xf borderId="3" fillId="0" fontId="10" numFmtId="0" xfId="0" applyAlignment="1" applyBorder="1" applyFont="1">
      <alignment horizontal="left" readingOrder="0"/>
    </xf>
    <xf borderId="3" fillId="6" fontId="10" numFmtId="0" xfId="0" applyAlignment="1" applyBorder="1" applyFont="1">
      <alignment horizontal="right" readingOrder="0"/>
    </xf>
    <xf borderId="5" fillId="2" fontId="9" numFmtId="0" xfId="0" applyAlignment="1" applyBorder="1" applyFont="1">
      <alignment horizontal="center" shrinkToFit="0" wrapText="1"/>
    </xf>
    <xf borderId="3" fillId="0" fontId="10" numFmtId="0" xfId="0" applyAlignment="1" applyBorder="1" applyFont="1">
      <alignment horizontal="left"/>
    </xf>
    <xf borderId="3" fillId="0" fontId="10" numFmtId="0" xfId="0" applyAlignment="1" applyBorder="1" applyFont="1">
      <alignment horizontal="left"/>
    </xf>
    <xf borderId="3" fillId="0" fontId="10" numFmtId="0" xfId="0" applyAlignment="1" applyBorder="1" applyFont="1">
      <alignment horizontal="right"/>
    </xf>
    <xf borderId="3" fillId="0" fontId="10" numFmtId="0" xfId="0" applyAlignment="1" applyBorder="1" applyFont="1">
      <alignment horizontal="right"/>
    </xf>
    <xf borderId="3" fillId="6" fontId="10" numFmtId="0" xfId="0" applyAlignment="1" applyBorder="1" applyFont="1">
      <alignment horizontal="left"/>
    </xf>
    <xf borderId="3" fillId="6" fontId="10" numFmtId="0" xfId="0" applyAlignment="1" applyBorder="1" applyFont="1">
      <alignment horizontal="left"/>
    </xf>
    <xf borderId="3" fillId="6" fontId="10" numFmtId="0" xfId="0" applyAlignment="1" applyBorder="1" applyFont="1">
      <alignment horizontal="right"/>
    </xf>
    <xf borderId="3" fillId="6" fontId="10" numFmtId="0" xfId="0" applyAlignment="1" applyBorder="1" applyFont="1">
      <alignment horizontal="right"/>
    </xf>
    <xf borderId="1" fillId="4" fontId="13" numFmtId="0" xfId="0" applyBorder="1" applyFont="1"/>
    <xf borderId="4" fillId="4" fontId="13" numFmtId="0" xfId="0" applyBorder="1" applyFont="1"/>
    <xf borderId="2" fillId="4" fontId="13" numFmtId="0" xfId="0" applyBorder="1" applyFont="1"/>
    <xf borderId="0" fillId="0" fontId="14" numFmtId="0" xfId="0" applyFont="1"/>
    <xf borderId="5" fillId="5" fontId="15" numFmtId="0" xfId="0" applyAlignment="1" applyBorder="1" applyFont="1">
      <alignment horizontal="center" shrinkToFit="0" wrapText="1"/>
    </xf>
    <xf borderId="5" fillId="2" fontId="16" numFmtId="0" xfId="0" applyAlignment="1" applyBorder="1" applyFont="1">
      <alignment horizontal="center" shrinkToFit="0" wrapText="1"/>
    </xf>
    <xf borderId="5" fillId="2" fontId="16" numFmtId="0" xfId="0" applyAlignment="1" applyBorder="1" applyFont="1">
      <alignment horizontal="center" shrinkToFit="0" wrapText="1"/>
    </xf>
    <xf borderId="3" fillId="0" fontId="14" numFmtId="0" xfId="0" applyAlignment="1" applyBorder="1" applyFont="1">
      <alignment horizontal="right"/>
    </xf>
    <xf borderId="3" fillId="0" fontId="14" numFmtId="0" xfId="0" applyBorder="1" applyFont="1"/>
    <xf borderId="3" fillId="0" fontId="14" numFmtId="0" xfId="0" applyAlignment="1" applyBorder="1" applyFont="1">
      <alignment readingOrder="0"/>
    </xf>
    <xf borderId="3" fillId="6" fontId="14" numFmtId="0" xfId="0" applyAlignment="1" applyBorder="1" applyFont="1">
      <alignment horizontal="right"/>
    </xf>
    <xf borderId="3" fillId="6" fontId="14" numFmtId="0" xfId="0" applyBorder="1" applyFont="1"/>
    <xf borderId="3" fillId="6" fontId="14" numFmtId="0" xfId="0" applyAlignment="1" applyBorder="1" applyFont="1">
      <alignment readingOrder="0"/>
    </xf>
    <xf borderId="0" fillId="0" fontId="14" numFmtId="0" xfId="0" applyFont="1"/>
    <xf borderId="1" fillId="4" fontId="5" numFmtId="0" xfId="0" applyBorder="1" applyFont="1"/>
    <xf borderId="4" fillId="4" fontId="5" numFmtId="0" xfId="0" applyBorder="1" applyFont="1"/>
    <xf borderId="2" fillId="4" fontId="5" numFmtId="0" xfId="0" applyBorder="1" applyFont="1"/>
    <xf borderId="5" fillId="2" fontId="9" numFmtId="0" xfId="0" applyAlignment="1" applyBorder="1" applyFont="1">
      <alignment horizontal="center" shrinkToFit="0" wrapText="1"/>
    </xf>
    <xf borderId="5" fillId="5" fontId="8" numFmtId="0" xfId="0" applyAlignment="1" applyBorder="1" applyFont="1">
      <alignment horizontal="center" shrinkToFit="0" wrapText="1"/>
    </xf>
    <xf borderId="0" fillId="5" fontId="8" numFmtId="0" xfId="0" applyAlignment="1" applyFont="1">
      <alignment horizontal="center" readingOrder="0" shrinkToFit="0" wrapText="1"/>
    </xf>
    <xf borderId="0" fillId="0" fontId="10" numFmtId="0" xfId="0" applyAlignment="1" applyFont="1">
      <alignment readingOrder="0"/>
    </xf>
    <xf borderId="0" fillId="6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72.0"/>
    <col customWidth="1" min="3" max="26" width="8.71"/>
  </cols>
  <sheetData>
    <row r="1" ht="30.0" customHeight="1">
      <c r="A1" s="1" t="s">
        <v>0</v>
      </c>
      <c r="B1" s="2"/>
    </row>
    <row r="2" ht="34.5" customHeight="1">
      <c r="A2" s="3" t="s">
        <v>1</v>
      </c>
      <c r="B2" s="4" t="s">
        <v>2</v>
      </c>
    </row>
    <row r="3" ht="64.5" customHeight="1">
      <c r="A3" s="3" t="s">
        <v>3</v>
      </c>
      <c r="B3" s="5" t="s">
        <v>4</v>
      </c>
    </row>
    <row r="4" ht="49.5" customHeight="1">
      <c r="A4" s="3" t="s">
        <v>5</v>
      </c>
      <c r="B4" s="5" t="s">
        <v>6</v>
      </c>
    </row>
    <row r="5" ht="64.5" customHeight="1">
      <c r="A5" s="3" t="s">
        <v>7</v>
      </c>
      <c r="B5" s="5" t="s">
        <v>8</v>
      </c>
    </row>
    <row r="6" ht="49.5" customHeight="1">
      <c r="A6" s="3" t="s">
        <v>9</v>
      </c>
      <c r="B6" s="5" t="s">
        <v>10</v>
      </c>
    </row>
    <row r="7" ht="119.25" customHeight="1">
      <c r="A7" s="3" t="s">
        <v>11</v>
      </c>
      <c r="B7" s="5" t="s">
        <v>12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12.0"/>
    <col customWidth="1" min="4" max="4" width="18.0"/>
    <col customWidth="1" min="5" max="5" width="10.0"/>
    <col customWidth="1" min="6" max="7" width="14.0"/>
    <col customWidth="1" min="8" max="8" width="16.0"/>
    <col customWidth="1" min="9" max="9" width="22.0"/>
    <col customWidth="1" min="10" max="13" width="10.0"/>
    <col customWidth="1" min="14" max="14" width="30.0"/>
    <col customWidth="1" min="15" max="25" width="8.71"/>
  </cols>
  <sheetData>
    <row r="1" ht="18.0" customHeight="1">
      <c r="A1" s="6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ht="30.0" customHeight="1">
      <c r="A2" s="9" t="s">
        <v>14</v>
      </c>
      <c r="B2" s="9" t="s">
        <v>15</v>
      </c>
      <c r="C2" s="9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 t="s">
        <v>21</v>
      </c>
      <c r="I2" s="10" t="s">
        <v>22</v>
      </c>
      <c r="J2" s="10" t="s">
        <v>23</v>
      </c>
      <c r="K2" s="10" t="s">
        <v>24</v>
      </c>
      <c r="L2" s="10" t="s">
        <v>25</v>
      </c>
      <c r="M2" s="10" t="s">
        <v>26</v>
      </c>
      <c r="N2" s="10" t="s">
        <v>27</v>
      </c>
    </row>
    <row r="3">
      <c r="A3" s="11">
        <v>0.0</v>
      </c>
      <c r="B3" s="11" t="s">
        <v>28</v>
      </c>
      <c r="C3" s="11" t="s">
        <v>29</v>
      </c>
      <c r="D3" s="11" t="s">
        <v>30</v>
      </c>
      <c r="E3" s="12" t="s">
        <v>31</v>
      </c>
      <c r="F3" s="11" t="s">
        <v>32</v>
      </c>
      <c r="G3" s="11" t="s">
        <v>33</v>
      </c>
      <c r="H3" s="11" t="s">
        <v>34</v>
      </c>
      <c r="I3" s="11"/>
      <c r="J3" s="11">
        <v>100.0</v>
      </c>
      <c r="K3" s="11">
        <v>136.0</v>
      </c>
      <c r="L3" s="11">
        <v>123.0</v>
      </c>
      <c r="M3" s="11">
        <v>0.0</v>
      </c>
      <c r="N3" s="11"/>
    </row>
    <row r="4">
      <c r="A4" s="13">
        <v>1.0</v>
      </c>
      <c r="B4" s="13" t="s">
        <v>35</v>
      </c>
      <c r="C4" s="13" t="s">
        <v>29</v>
      </c>
      <c r="D4" s="13" t="s">
        <v>30</v>
      </c>
      <c r="E4" s="14" t="s">
        <v>36</v>
      </c>
      <c r="F4" s="13" t="s">
        <v>32</v>
      </c>
      <c r="G4" s="13" t="s">
        <v>37</v>
      </c>
      <c r="H4" s="13" t="s">
        <v>38</v>
      </c>
      <c r="I4" s="13"/>
      <c r="J4" s="13">
        <v>204.0</v>
      </c>
      <c r="K4" s="13">
        <v>89.0</v>
      </c>
      <c r="L4" s="13">
        <v>89.0</v>
      </c>
      <c r="M4" s="13">
        <v>9.0</v>
      </c>
      <c r="N4" s="13"/>
    </row>
    <row r="5">
      <c r="A5" s="11">
        <v>2.0</v>
      </c>
      <c r="B5" s="11" t="s">
        <v>39</v>
      </c>
      <c r="C5" s="11" t="s">
        <v>29</v>
      </c>
      <c r="D5" s="11" t="s">
        <v>40</v>
      </c>
      <c r="E5" s="12" t="s">
        <v>41</v>
      </c>
      <c r="F5" s="11" t="s">
        <v>42</v>
      </c>
      <c r="G5" s="11" t="s">
        <v>43</v>
      </c>
      <c r="H5" s="11" t="s">
        <v>44</v>
      </c>
      <c r="I5" s="11"/>
      <c r="J5" s="11">
        <v>154.0</v>
      </c>
      <c r="K5" s="11">
        <v>50.0</v>
      </c>
      <c r="L5" s="11">
        <v>13.0</v>
      </c>
      <c r="M5" s="11">
        <v>166.0</v>
      </c>
      <c r="N5" s="11"/>
    </row>
    <row r="6">
      <c r="A6" s="13">
        <v>3.0</v>
      </c>
      <c r="B6" s="13" t="s">
        <v>45</v>
      </c>
      <c r="C6" s="13" t="s">
        <v>29</v>
      </c>
      <c r="D6" s="13" t="s">
        <v>46</v>
      </c>
      <c r="E6" s="14" t="s">
        <v>41</v>
      </c>
      <c r="F6" s="13" t="s">
        <v>42</v>
      </c>
      <c r="G6" s="13" t="s">
        <v>47</v>
      </c>
      <c r="H6" s="13" t="s">
        <v>48</v>
      </c>
      <c r="I6" s="13"/>
      <c r="J6" s="13">
        <v>166.0</v>
      </c>
      <c r="K6" s="13">
        <v>57.0</v>
      </c>
      <c r="L6" s="13">
        <v>19.0</v>
      </c>
      <c r="M6" s="13">
        <v>112.0</v>
      </c>
      <c r="N6" s="13"/>
    </row>
    <row r="7">
      <c r="A7" s="11">
        <v>4.0</v>
      </c>
      <c r="B7" s="11" t="s">
        <v>49</v>
      </c>
      <c r="C7" s="11" t="s">
        <v>50</v>
      </c>
      <c r="D7" s="11" t="s">
        <v>30</v>
      </c>
      <c r="E7" s="11" t="s">
        <v>31</v>
      </c>
      <c r="F7" s="11" t="s">
        <v>32</v>
      </c>
      <c r="G7" s="11" t="s">
        <v>33</v>
      </c>
      <c r="H7" s="11" t="s">
        <v>51</v>
      </c>
      <c r="I7" s="11" t="s">
        <v>28</v>
      </c>
      <c r="J7" s="11">
        <v>347.0</v>
      </c>
      <c r="K7" s="11">
        <v>29.0</v>
      </c>
      <c r="L7" s="11">
        <v>101.0</v>
      </c>
      <c r="M7" s="11">
        <v>0.0</v>
      </c>
      <c r="N7" s="11"/>
    </row>
    <row r="8">
      <c r="A8" s="13">
        <v>5.0</v>
      </c>
      <c r="B8" s="13" t="s">
        <v>52</v>
      </c>
      <c r="C8" s="13" t="s">
        <v>50</v>
      </c>
      <c r="D8" s="13" t="s">
        <v>30</v>
      </c>
      <c r="E8" s="13" t="s">
        <v>31</v>
      </c>
      <c r="F8" s="13" t="s">
        <v>32</v>
      </c>
      <c r="G8" s="13" t="s">
        <v>53</v>
      </c>
      <c r="H8" s="13" t="s">
        <v>54</v>
      </c>
      <c r="I8" s="13" t="s">
        <v>28</v>
      </c>
      <c r="J8" s="13">
        <v>244.0</v>
      </c>
      <c r="K8" s="13">
        <v>73.0</v>
      </c>
      <c r="L8" s="13">
        <v>72.0</v>
      </c>
      <c r="M8" s="13">
        <v>0.0</v>
      </c>
      <c r="N8" s="13"/>
    </row>
    <row r="9">
      <c r="A9" s="11">
        <v>6.0</v>
      </c>
      <c r="B9" s="11" t="s">
        <v>55</v>
      </c>
      <c r="C9" s="11" t="s">
        <v>50</v>
      </c>
      <c r="D9" s="11" t="s">
        <v>40</v>
      </c>
      <c r="E9" s="11" t="s">
        <v>31</v>
      </c>
      <c r="F9" s="11" t="s">
        <v>33</v>
      </c>
      <c r="G9" s="11" t="s">
        <v>47</v>
      </c>
      <c r="H9" s="11" t="s">
        <v>56</v>
      </c>
      <c r="I9" s="11" t="s">
        <v>28</v>
      </c>
      <c r="J9" s="11">
        <v>180.0</v>
      </c>
      <c r="K9" s="11">
        <v>55.0</v>
      </c>
      <c r="L9" s="11">
        <v>20.0</v>
      </c>
      <c r="M9" s="11">
        <v>76.0</v>
      </c>
      <c r="N9" s="11"/>
    </row>
    <row r="10">
      <c r="A10" s="13">
        <v>7.0</v>
      </c>
      <c r="B10" s="13" t="s">
        <v>57</v>
      </c>
      <c r="C10" s="13" t="s">
        <v>50</v>
      </c>
      <c r="D10" s="13" t="s">
        <v>58</v>
      </c>
      <c r="E10" s="14" t="s">
        <v>59</v>
      </c>
      <c r="F10" s="13" t="s">
        <v>33</v>
      </c>
      <c r="G10" s="13" t="s">
        <v>43</v>
      </c>
      <c r="H10" s="13" t="s">
        <v>60</v>
      </c>
      <c r="I10" s="13" t="s">
        <v>35</v>
      </c>
      <c r="J10" s="13">
        <v>172.0</v>
      </c>
      <c r="K10" s="13">
        <v>73.0</v>
      </c>
      <c r="L10" s="13">
        <v>51.0</v>
      </c>
      <c r="M10" s="13">
        <v>49.0</v>
      </c>
      <c r="N10" s="13"/>
    </row>
    <row r="11">
      <c r="A11" s="11">
        <v>8.0</v>
      </c>
      <c r="B11" s="11" t="s">
        <v>61</v>
      </c>
      <c r="C11" s="11" t="s">
        <v>50</v>
      </c>
      <c r="D11" s="11" t="s">
        <v>58</v>
      </c>
      <c r="E11" s="12" t="s">
        <v>36</v>
      </c>
      <c r="F11" s="11" t="s">
        <v>33</v>
      </c>
      <c r="G11" s="11" t="s">
        <v>37</v>
      </c>
      <c r="H11" s="11" t="s">
        <v>62</v>
      </c>
      <c r="I11" s="11" t="s">
        <v>35</v>
      </c>
      <c r="J11" s="11">
        <v>172.0</v>
      </c>
      <c r="K11" s="11">
        <v>73.0</v>
      </c>
      <c r="L11" s="11">
        <v>67.0</v>
      </c>
      <c r="M11" s="11">
        <v>37.0</v>
      </c>
      <c r="N11" s="11"/>
    </row>
    <row r="12">
      <c r="A12" s="13">
        <v>9.0</v>
      </c>
      <c r="B12" s="13" t="s">
        <v>63</v>
      </c>
      <c r="C12" s="13" t="s">
        <v>50</v>
      </c>
      <c r="D12" s="13" t="s">
        <v>30</v>
      </c>
      <c r="E12" s="14" t="s">
        <v>36</v>
      </c>
      <c r="F12" s="13" t="s">
        <v>32</v>
      </c>
      <c r="G12" s="13" t="s">
        <v>47</v>
      </c>
      <c r="H12" s="13" t="s">
        <v>64</v>
      </c>
      <c r="I12" s="13" t="s">
        <v>35</v>
      </c>
      <c r="J12" s="13">
        <v>172.0</v>
      </c>
      <c r="K12" s="13">
        <v>69.0</v>
      </c>
      <c r="L12" s="13">
        <v>63.0</v>
      </c>
      <c r="M12" s="13">
        <v>34.0</v>
      </c>
      <c r="N12" s="13"/>
    </row>
    <row r="13">
      <c r="A13" s="11">
        <v>10.0</v>
      </c>
      <c r="B13" s="11" t="s">
        <v>65</v>
      </c>
      <c r="C13" s="11" t="s">
        <v>50</v>
      </c>
      <c r="D13" s="11" t="s">
        <v>58</v>
      </c>
      <c r="E13" s="12" t="s">
        <v>36</v>
      </c>
      <c r="F13" s="11" t="s">
        <v>43</v>
      </c>
      <c r="G13" s="11" t="s">
        <v>42</v>
      </c>
      <c r="H13" s="11" t="s">
        <v>66</v>
      </c>
      <c r="I13" s="11" t="s">
        <v>39</v>
      </c>
      <c r="J13" s="11">
        <v>160.0</v>
      </c>
      <c r="K13" s="11">
        <v>58.0</v>
      </c>
      <c r="L13" s="11">
        <v>19.0</v>
      </c>
      <c r="M13" s="11">
        <v>158.0</v>
      </c>
      <c r="N13" s="11"/>
    </row>
    <row r="14">
      <c r="A14" s="13">
        <v>11.0</v>
      </c>
      <c r="B14" s="13" t="s">
        <v>67</v>
      </c>
      <c r="C14" s="13" t="s">
        <v>50</v>
      </c>
      <c r="D14" s="13" t="s">
        <v>46</v>
      </c>
      <c r="E14" s="14" t="s">
        <v>41</v>
      </c>
      <c r="F14" s="13" t="s">
        <v>42</v>
      </c>
      <c r="G14" s="13" t="s">
        <v>47</v>
      </c>
      <c r="H14" s="13" t="s">
        <v>68</v>
      </c>
      <c r="I14" s="13" t="s">
        <v>39</v>
      </c>
      <c r="J14" s="13">
        <v>164.0</v>
      </c>
      <c r="K14" s="13">
        <v>58.0</v>
      </c>
      <c r="L14" s="13">
        <v>8.0</v>
      </c>
      <c r="M14" s="13">
        <v>148.0</v>
      </c>
      <c r="N14" s="13"/>
    </row>
    <row r="15">
      <c r="A15" s="11">
        <v>12.0</v>
      </c>
      <c r="B15" s="11" t="s">
        <v>69</v>
      </c>
      <c r="C15" s="11" t="s">
        <v>50</v>
      </c>
      <c r="D15" s="11" t="s">
        <v>46</v>
      </c>
      <c r="E15" s="11" t="s">
        <v>41</v>
      </c>
      <c r="F15" s="11" t="s">
        <v>42</v>
      </c>
      <c r="G15" s="11" t="s">
        <v>37</v>
      </c>
      <c r="H15" s="11" t="s">
        <v>70</v>
      </c>
      <c r="I15" s="11" t="s">
        <v>45</v>
      </c>
      <c r="J15" s="11">
        <v>174.0</v>
      </c>
      <c r="K15" s="11">
        <v>54.0</v>
      </c>
      <c r="L15" s="11">
        <v>8.0</v>
      </c>
      <c r="M15" s="11">
        <v>136.0</v>
      </c>
      <c r="N15" s="11"/>
    </row>
    <row r="16">
      <c r="A16" s="13">
        <v>13.0</v>
      </c>
      <c r="B16" s="13" t="s">
        <v>71</v>
      </c>
      <c r="C16" s="13" t="s">
        <v>50</v>
      </c>
      <c r="D16" s="13" t="s">
        <v>58</v>
      </c>
      <c r="E16" s="13" t="s">
        <v>41</v>
      </c>
      <c r="F16" s="13" t="s">
        <v>53</v>
      </c>
      <c r="G16" s="13" t="s">
        <v>37</v>
      </c>
      <c r="H16" s="13" t="s">
        <v>72</v>
      </c>
      <c r="I16" s="13" t="s">
        <v>45</v>
      </c>
      <c r="J16" s="13">
        <v>192.0</v>
      </c>
      <c r="K16" s="13">
        <v>75.0</v>
      </c>
      <c r="L16" s="13">
        <v>69.0</v>
      </c>
      <c r="M16" s="13">
        <v>65.0</v>
      </c>
      <c r="N16" s="13"/>
    </row>
    <row r="17">
      <c r="A17" s="11">
        <v>14.0</v>
      </c>
      <c r="B17" s="11" t="s">
        <v>73</v>
      </c>
      <c r="C17" s="11" t="s">
        <v>74</v>
      </c>
      <c r="D17" s="11" t="s">
        <v>30</v>
      </c>
      <c r="E17" s="11" t="s">
        <v>31</v>
      </c>
      <c r="F17" s="11" t="s">
        <v>53</v>
      </c>
      <c r="G17" s="11" t="s">
        <v>43</v>
      </c>
      <c r="H17" s="11" t="s">
        <v>75</v>
      </c>
      <c r="I17" s="11" t="s">
        <v>49</v>
      </c>
      <c r="J17" s="11">
        <v>284.0</v>
      </c>
      <c r="K17" s="11">
        <v>70.0</v>
      </c>
      <c r="L17" s="11">
        <v>48.0</v>
      </c>
      <c r="M17" s="11">
        <v>22.0</v>
      </c>
      <c r="N17" s="11"/>
    </row>
    <row r="18">
      <c r="A18" s="13">
        <v>15.0</v>
      </c>
      <c r="B18" s="13" t="s">
        <v>76</v>
      </c>
      <c r="C18" s="13" t="s">
        <v>74</v>
      </c>
      <c r="D18" s="13" t="s">
        <v>58</v>
      </c>
      <c r="E18" s="13" t="s">
        <v>31</v>
      </c>
      <c r="F18" s="13" t="s">
        <v>33</v>
      </c>
      <c r="G18" s="13" t="s">
        <v>32</v>
      </c>
      <c r="H18" s="13" t="s">
        <v>77</v>
      </c>
      <c r="I18" s="13" t="s">
        <v>49</v>
      </c>
      <c r="J18" s="13">
        <v>228.0</v>
      </c>
      <c r="K18" s="13">
        <v>62.0</v>
      </c>
      <c r="L18" s="13">
        <v>88.0</v>
      </c>
      <c r="M18" s="13">
        <v>18.0</v>
      </c>
      <c r="N18" s="13"/>
    </row>
    <row r="19">
      <c r="A19" s="11">
        <v>16.0</v>
      </c>
      <c r="B19" s="11" t="s">
        <v>78</v>
      </c>
      <c r="C19" s="11" t="s">
        <v>74</v>
      </c>
      <c r="D19" s="11" t="s">
        <v>30</v>
      </c>
      <c r="E19" s="11" t="s">
        <v>31</v>
      </c>
      <c r="F19" s="11" t="s">
        <v>32</v>
      </c>
      <c r="G19" s="11" t="s">
        <v>53</v>
      </c>
      <c r="H19" s="11" t="s">
        <v>79</v>
      </c>
      <c r="I19" s="11" t="s">
        <v>52</v>
      </c>
      <c r="J19" s="11">
        <v>256.0</v>
      </c>
      <c r="K19" s="11">
        <v>78.0</v>
      </c>
      <c r="L19" s="11">
        <v>74.0</v>
      </c>
      <c r="M19" s="11">
        <v>0.0</v>
      </c>
      <c r="N19" s="11"/>
    </row>
    <row r="20">
      <c r="A20" s="13">
        <v>17.0</v>
      </c>
      <c r="B20" s="13" t="s">
        <v>80</v>
      </c>
      <c r="C20" s="13" t="s">
        <v>74</v>
      </c>
      <c r="D20" s="13" t="s">
        <v>40</v>
      </c>
      <c r="E20" s="13" t="s">
        <v>31</v>
      </c>
      <c r="F20" s="13" t="s">
        <v>42</v>
      </c>
      <c r="G20" s="13" t="s">
        <v>47</v>
      </c>
      <c r="H20" s="13" t="s">
        <v>81</v>
      </c>
      <c r="I20" s="13" t="s">
        <v>55</v>
      </c>
      <c r="J20" s="13">
        <v>224.0</v>
      </c>
      <c r="K20" s="13">
        <v>66.0</v>
      </c>
      <c r="L20" s="13">
        <v>60.0</v>
      </c>
      <c r="M20" s="13">
        <v>84.0</v>
      </c>
      <c r="N20" s="13"/>
    </row>
    <row r="21" ht="15.75" customHeight="1">
      <c r="A21" s="11">
        <v>18.0</v>
      </c>
      <c r="B21" s="11" t="s">
        <v>82</v>
      </c>
      <c r="C21" s="11" t="s">
        <v>74</v>
      </c>
      <c r="D21" s="11" t="s">
        <v>40</v>
      </c>
      <c r="E21" s="12" t="s">
        <v>31</v>
      </c>
      <c r="F21" s="11" t="s">
        <v>37</v>
      </c>
      <c r="G21" s="11" t="s">
        <v>47</v>
      </c>
      <c r="H21" s="11" t="s">
        <v>83</v>
      </c>
      <c r="I21" s="11" t="s">
        <v>55</v>
      </c>
      <c r="J21" s="11">
        <v>220.0</v>
      </c>
      <c r="K21" s="11">
        <v>66.0</v>
      </c>
      <c r="L21" s="11">
        <v>52.0</v>
      </c>
      <c r="M21" s="11">
        <v>106.0</v>
      </c>
      <c r="N21" s="11"/>
    </row>
    <row r="22" ht="15.75" customHeight="1">
      <c r="A22" s="13">
        <v>19.0</v>
      </c>
      <c r="B22" s="13" t="s">
        <v>84</v>
      </c>
      <c r="C22" s="13" t="s">
        <v>74</v>
      </c>
      <c r="D22" s="13" t="s">
        <v>58</v>
      </c>
      <c r="E22" s="14" t="s">
        <v>36</v>
      </c>
      <c r="F22" s="13" t="s">
        <v>33</v>
      </c>
      <c r="G22" s="13" t="s">
        <v>53</v>
      </c>
      <c r="H22" s="13" t="s">
        <v>85</v>
      </c>
      <c r="I22" s="13" t="s">
        <v>57</v>
      </c>
      <c r="J22" s="13">
        <v>204.0</v>
      </c>
      <c r="K22" s="13">
        <v>73.0</v>
      </c>
      <c r="L22" s="13">
        <v>70.0</v>
      </c>
      <c r="M22" s="13">
        <v>31.0</v>
      </c>
      <c r="N22" s="13"/>
    </row>
    <row r="23" ht="15.75" customHeight="1">
      <c r="A23" s="11">
        <v>20.0</v>
      </c>
      <c r="B23" s="11" t="s">
        <v>86</v>
      </c>
      <c r="C23" s="11" t="s">
        <v>74</v>
      </c>
      <c r="D23" s="11" t="s">
        <v>58</v>
      </c>
      <c r="E23" s="12" t="s">
        <v>36</v>
      </c>
      <c r="F23" s="11" t="s">
        <v>33</v>
      </c>
      <c r="G23" s="11" t="s">
        <v>43</v>
      </c>
      <c r="H23" s="11" t="s">
        <v>87</v>
      </c>
      <c r="I23" s="11" t="s">
        <v>57</v>
      </c>
      <c r="J23" s="11">
        <v>130.0</v>
      </c>
      <c r="K23" s="11">
        <v>54.0</v>
      </c>
      <c r="L23" s="11">
        <v>50.0</v>
      </c>
      <c r="M23" s="11">
        <v>29.0</v>
      </c>
      <c r="N23" s="11"/>
    </row>
    <row r="24" ht="15.75" customHeight="1">
      <c r="A24" s="13">
        <v>21.0</v>
      </c>
      <c r="B24" s="13" t="s">
        <v>88</v>
      </c>
      <c r="C24" s="13" t="s">
        <v>74</v>
      </c>
      <c r="D24" s="13" t="s">
        <v>58</v>
      </c>
      <c r="E24" s="14" t="s">
        <v>36</v>
      </c>
      <c r="F24" s="13" t="s">
        <v>33</v>
      </c>
      <c r="G24" s="13" t="s">
        <v>32</v>
      </c>
      <c r="H24" s="13" t="s">
        <v>89</v>
      </c>
      <c r="I24" s="13" t="s">
        <v>61</v>
      </c>
      <c r="J24" s="13">
        <v>204.0</v>
      </c>
      <c r="K24" s="13">
        <v>74.0</v>
      </c>
      <c r="L24" s="13">
        <v>78.0</v>
      </c>
      <c r="M24" s="13">
        <v>42.0</v>
      </c>
      <c r="N24" s="13"/>
    </row>
    <row r="25" ht="15.75" customHeight="1">
      <c r="A25" s="11">
        <v>22.0</v>
      </c>
      <c r="B25" s="11" t="s">
        <v>90</v>
      </c>
      <c r="C25" s="11" t="s">
        <v>74</v>
      </c>
      <c r="D25" s="11" t="s">
        <v>30</v>
      </c>
      <c r="E25" s="12" t="s">
        <v>36</v>
      </c>
      <c r="F25" s="11" t="s">
        <v>53</v>
      </c>
      <c r="G25" s="11" t="s">
        <v>47</v>
      </c>
      <c r="H25" s="11" t="s">
        <v>91</v>
      </c>
      <c r="I25" s="11" t="s">
        <v>63</v>
      </c>
      <c r="J25" s="11">
        <v>218.0</v>
      </c>
      <c r="K25" s="11">
        <v>78.0</v>
      </c>
      <c r="L25" s="11">
        <v>100.0</v>
      </c>
      <c r="M25" s="11">
        <v>24.0</v>
      </c>
      <c r="N25" s="11"/>
    </row>
    <row r="26" ht="15.75" customHeight="1">
      <c r="A26" s="13">
        <v>23.0</v>
      </c>
      <c r="B26" s="13" t="s">
        <v>92</v>
      </c>
      <c r="C26" s="13" t="s">
        <v>74</v>
      </c>
      <c r="D26" s="13" t="s">
        <v>40</v>
      </c>
      <c r="E26" s="14" t="s">
        <v>36</v>
      </c>
      <c r="F26" s="13" t="s">
        <v>37</v>
      </c>
      <c r="G26" s="13" t="s">
        <v>32</v>
      </c>
      <c r="H26" s="13" t="s">
        <v>93</v>
      </c>
      <c r="I26" s="13" t="s">
        <v>63</v>
      </c>
      <c r="J26" s="13">
        <v>244.0</v>
      </c>
      <c r="K26" s="13">
        <v>70.0</v>
      </c>
      <c r="L26" s="13">
        <v>74.0</v>
      </c>
      <c r="M26" s="13">
        <v>22.0</v>
      </c>
      <c r="N26" s="13"/>
    </row>
    <row r="27" ht="15.75" customHeight="1">
      <c r="A27" s="11">
        <v>24.0</v>
      </c>
      <c r="B27" s="11" t="s">
        <v>94</v>
      </c>
      <c r="C27" s="11" t="s">
        <v>74</v>
      </c>
      <c r="D27" s="11" t="s">
        <v>40</v>
      </c>
      <c r="E27" s="12" t="s">
        <v>41</v>
      </c>
      <c r="F27" s="11" t="s">
        <v>53</v>
      </c>
      <c r="G27" s="11" t="s">
        <v>43</v>
      </c>
      <c r="H27" s="11" t="s">
        <v>95</v>
      </c>
      <c r="I27" s="11" t="s">
        <v>65</v>
      </c>
      <c r="J27" s="11">
        <v>244.0</v>
      </c>
      <c r="K27" s="11">
        <v>70.0</v>
      </c>
      <c r="L27" s="11">
        <v>74.0</v>
      </c>
      <c r="M27" s="11">
        <v>22.0</v>
      </c>
      <c r="N27" s="11"/>
    </row>
    <row r="28" ht="15.75" customHeight="1">
      <c r="A28" s="13">
        <v>25.0</v>
      </c>
      <c r="B28" s="13" t="s">
        <v>96</v>
      </c>
      <c r="C28" s="13" t="s">
        <v>74</v>
      </c>
      <c r="D28" s="13" t="s">
        <v>46</v>
      </c>
      <c r="E28" s="14" t="s">
        <v>97</v>
      </c>
      <c r="F28" s="13" t="s">
        <v>43</v>
      </c>
      <c r="G28" s="13" t="s">
        <v>42</v>
      </c>
      <c r="H28" s="13" t="s">
        <v>98</v>
      </c>
      <c r="I28" s="13" t="s">
        <v>65</v>
      </c>
      <c r="J28" s="13">
        <v>170.0</v>
      </c>
      <c r="K28" s="13">
        <v>66.0</v>
      </c>
      <c r="L28" s="13">
        <v>18.0</v>
      </c>
      <c r="M28" s="13">
        <v>168.0</v>
      </c>
      <c r="N28" s="13"/>
    </row>
    <row r="29" ht="15.75" customHeight="1">
      <c r="A29" s="11">
        <v>26.0</v>
      </c>
      <c r="B29" s="11" t="s">
        <v>99</v>
      </c>
      <c r="C29" s="11" t="s">
        <v>74</v>
      </c>
      <c r="D29" s="11" t="s">
        <v>40</v>
      </c>
      <c r="E29" s="11" t="s">
        <v>41</v>
      </c>
      <c r="F29" s="11" t="s">
        <v>53</v>
      </c>
      <c r="G29" s="11" t="s">
        <v>47</v>
      </c>
      <c r="H29" s="11" t="s">
        <v>100</v>
      </c>
      <c r="I29" s="11" t="s">
        <v>67</v>
      </c>
      <c r="J29" s="11">
        <v>166.0</v>
      </c>
      <c r="K29" s="11">
        <v>62.0</v>
      </c>
      <c r="L29" s="11">
        <v>19.0</v>
      </c>
      <c r="M29" s="11">
        <v>176.0</v>
      </c>
      <c r="N29" s="11"/>
    </row>
    <row r="30" ht="15.75" customHeight="1">
      <c r="A30" s="13">
        <v>27.0</v>
      </c>
      <c r="B30" s="13" t="s">
        <v>101</v>
      </c>
      <c r="C30" s="13" t="s">
        <v>74</v>
      </c>
      <c r="D30" s="13" t="s">
        <v>46</v>
      </c>
      <c r="E30" s="13" t="s">
        <v>41</v>
      </c>
      <c r="F30" s="13" t="s">
        <v>37</v>
      </c>
      <c r="G30" s="13" t="s">
        <v>42</v>
      </c>
      <c r="H30" s="13" t="s">
        <v>102</v>
      </c>
      <c r="I30" s="13" t="s">
        <v>67</v>
      </c>
      <c r="J30" s="13">
        <v>178.0</v>
      </c>
      <c r="K30" s="13">
        <v>62.0</v>
      </c>
      <c r="L30" s="13">
        <v>18.0</v>
      </c>
      <c r="M30" s="13">
        <v>172.0</v>
      </c>
      <c r="N30" s="13"/>
    </row>
    <row r="31" ht="15.75" customHeight="1">
      <c r="A31" s="11">
        <v>28.0</v>
      </c>
      <c r="B31" s="11" t="s">
        <v>103</v>
      </c>
      <c r="C31" s="11" t="s">
        <v>74</v>
      </c>
      <c r="D31" s="11" t="s">
        <v>46</v>
      </c>
      <c r="E31" s="12" t="s">
        <v>41</v>
      </c>
      <c r="F31" s="11" t="s">
        <v>42</v>
      </c>
      <c r="G31" s="11" t="s">
        <v>37</v>
      </c>
      <c r="H31" s="11" t="s">
        <v>104</v>
      </c>
      <c r="I31" s="11" t="s">
        <v>69</v>
      </c>
      <c r="J31" s="11">
        <v>188.0</v>
      </c>
      <c r="K31" s="11">
        <v>62.0</v>
      </c>
      <c r="L31" s="11">
        <v>8.0</v>
      </c>
      <c r="M31" s="11">
        <v>158.0</v>
      </c>
      <c r="N31" s="11"/>
    </row>
    <row r="32" ht="15.75" customHeight="1">
      <c r="A32" s="13">
        <v>29.0</v>
      </c>
      <c r="B32" s="13" t="s">
        <v>105</v>
      </c>
      <c r="C32" s="13" t="s">
        <v>74</v>
      </c>
      <c r="D32" s="13" t="s">
        <v>46</v>
      </c>
      <c r="E32" s="14" t="s">
        <v>41</v>
      </c>
      <c r="F32" s="13" t="s">
        <v>47</v>
      </c>
      <c r="G32" s="13" t="s">
        <v>43</v>
      </c>
      <c r="H32" s="13" t="s">
        <v>106</v>
      </c>
      <c r="I32" s="13" t="s">
        <v>69</v>
      </c>
      <c r="J32" s="13">
        <v>184.0</v>
      </c>
      <c r="K32" s="13">
        <v>62.0</v>
      </c>
      <c r="L32" s="13">
        <v>8.0</v>
      </c>
      <c r="M32" s="13">
        <v>178.0</v>
      </c>
      <c r="N32" s="13"/>
    </row>
    <row r="33" ht="15.75" customHeight="1">
      <c r="A33" s="11">
        <v>30.0</v>
      </c>
      <c r="B33" s="11" t="s">
        <v>107</v>
      </c>
      <c r="C33" s="11" t="s">
        <v>74</v>
      </c>
      <c r="D33" s="11" t="s">
        <v>46</v>
      </c>
      <c r="E33" s="11" t="s">
        <v>41</v>
      </c>
      <c r="F33" s="11" t="s">
        <v>53</v>
      </c>
      <c r="G33" s="11" t="s">
        <v>43</v>
      </c>
      <c r="H33" s="11" t="s">
        <v>108</v>
      </c>
      <c r="I33" s="11" t="s">
        <v>71</v>
      </c>
      <c r="J33" s="11">
        <v>198.0</v>
      </c>
      <c r="K33" s="11">
        <v>78.0</v>
      </c>
      <c r="L33" s="11">
        <v>66.0</v>
      </c>
      <c r="M33" s="11">
        <v>142.0</v>
      </c>
      <c r="N33" s="11"/>
    </row>
    <row r="34" ht="15.75" customHeight="1">
      <c r="A34" s="13">
        <v>31.0</v>
      </c>
      <c r="B34" s="14" t="s">
        <v>109</v>
      </c>
      <c r="C34" s="13" t="s">
        <v>74</v>
      </c>
      <c r="D34" s="13" t="s">
        <v>40</v>
      </c>
      <c r="E34" s="13" t="s">
        <v>41</v>
      </c>
      <c r="F34" s="13" t="s">
        <v>32</v>
      </c>
      <c r="G34" s="13" t="s">
        <v>37</v>
      </c>
      <c r="H34" s="13" t="s">
        <v>110</v>
      </c>
      <c r="I34" s="13" t="s">
        <v>71</v>
      </c>
      <c r="J34" s="13">
        <v>188.0</v>
      </c>
      <c r="K34" s="13">
        <v>78.0</v>
      </c>
      <c r="L34" s="13">
        <v>62.0</v>
      </c>
      <c r="M34" s="13">
        <v>126.0</v>
      </c>
      <c r="N34" s="1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4" width="15.86"/>
    <col customWidth="1" min="6" max="6" width="19.86"/>
    <col customWidth="1" min="7" max="7" width="19.57"/>
  </cols>
  <sheetData>
    <row r="1">
      <c r="A1" s="15" t="s">
        <v>111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>
      <c r="A2" s="18" t="s">
        <v>14</v>
      </c>
      <c r="B2" s="18" t="s">
        <v>112</v>
      </c>
      <c r="C2" s="19" t="s">
        <v>113</v>
      </c>
      <c r="D2" s="20" t="s">
        <v>114</v>
      </c>
      <c r="E2" s="19" t="s">
        <v>115</v>
      </c>
      <c r="F2" s="19" t="s">
        <v>116</v>
      </c>
      <c r="G2" s="19" t="s">
        <v>117</v>
      </c>
      <c r="H2" s="19" t="s">
        <v>118</v>
      </c>
      <c r="I2" s="19" t="s">
        <v>119</v>
      </c>
      <c r="J2" s="20" t="s">
        <v>120</v>
      </c>
      <c r="K2" s="20" t="s">
        <v>121</v>
      </c>
      <c r="L2" s="19" t="s">
        <v>27</v>
      </c>
    </row>
    <row r="3">
      <c r="A3" s="21">
        <v>0.0</v>
      </c>
      <c r="B3" s="22" t="s">
        <v>122</v>
      </c>
      <c r="C3" s="23" t="s">
        <v>123</v>
      </c>
      <c r="D3" s="23" t="s">
        <v>124</v>
      </c>
      <c r="E3" s="24" t="s">
        <v>125</v>
      </c>
      <c r="F3" s="24" t="s">
        <v>126</v>
      </c>
      <c r="G3" s="23" t="s">
        <v>49</v>
      </c>
      <c r="H3" s="24">
        <v>5.0</v>
      </c>
      <c r="I3" s="24">
        <v>0.0</v>
      </c>
      <c r="J3" s="24">
        <v>0.0</v>
      </c>
      <c r="K3" s="24">
        <v>0.0</v>
      </c>
      <c r="L3" s="25"/>
    </row>
    <row r="4">
      <c r="A4" s="26">
        <v>1.0</v>
      </c>
      <c r="B4" s="27" t="s">
        <v>122</v>
      </c>
      <c r="C4" s="28" t="s">
        <v>127</v>
      </c>
      <c r="D4" s="28" t="s">
        <v>128</v>
      </c>
      <c r="E4" s="29" t="s">
        <v>125</v>
      </c>
      <c r="F4" s="29" t="s">
        <v>129</v>
      </c>
      <c r="G4" s="28" t="s">
        <v>52</v>
      </c>
      <c r="H4" s="29">
        <v>-5.0</v>
      </c>
      <c r="I4" s="29">
        <v>0.0</v>
      </c>
      <c r="J4" s="29">
        <v>0.0</v>
      </c>
      <c r="K4" s="29">
        <v>5.0</v>
      </c>
      <c r="L4" s="25"/>
    </row>
    <row r="5">
      <c r="A5" s="21">
        <v>2.0</v>
      </c>
      <c r="B5" s="22" t="s">
        <v>130</v>
      </c>
      <c r="C5" s="23" t="s">
        <v>131</v>
      </c>
      <c r="D5" s="22" t="s">
        <v>132</v>
      </c>
      <c r="E5" s="24" t="s">
        <v>133</v>
      </c>
      <c r="F5" s="24" t="s">
        <v>134</v>
      </c>
      <c r="G5" s="23"/>
      <c r="H5" s="24">
        <v>10.0</v>
      </c>
      <c r="I5" s="24">
        <v>0.0</v>
      </c>
      <c r="J5" s="24">
        <v>5.0</v>
      </c>
      <c r="K5" s="24">
        <v>0.0</v>
      </c>
      <c r="L5" s="25"/>
    </row>
    <row r="6">
      <c r="A6" s="26">
        <v>3.0</v>
      </c>
      <c r="B6" s="27" t="s">
        <v>130</v>
      </c>
      <c r="C6" s="28" t="s">
        <v>135</v>
      </c>
      <c r="D6" s="27" t="s">
        <v>136</v>
      </c>
      <c r="E6" s="29" t="s">
        <v>133</v>
      </c>
      <c r="F6" s="29" t="s">
        <v>137</v>
      </c>
      <c r="G6" s="28"/>
      <c r="H6" s="29">
        <v>0.0</v>
      </c>
      <c r="I6" s="29">
        <v>0.0</v>
      </c>
      <c r="J6" s="29">
        <v>0.0</v>
      </c>
      <c r="K6" s="29">
        <v>10.0</v>
      </c>
      <c r="L6" s="25"/>
    </row>
    <row r="7">
      <c r="A7" s="21">
        <v>4.0</v>
      </c>
      <c r="B7" s="22" t="s">
        <v>138</v>
      </c>
      <c r="C7" s="23" t="s">
        <v>139</v>
      </c>
      <c r="D7" s="23" t="s">
        <v>140</v>
      </c>
      <c r="E7" s="24" t="s">
        <v>141</v>
      </c>
      <c r="F7" s="24" t="s">
        <v>142</v>
      </c>
      <c r="G7" s="23" t="s">
        <v>67</v>
      </c>
      <c r="H7" s="24">
        <v>15.0</v>
      </c>
      <c r="I7" s="24">
        <v>0.0</v>
      </c>
      <c r="J7" s="24">
        <v>0.0</v>
      </c>
      <c r="K7" s="24">
        <v>0.0</v>
      </c>
      <c r="L7" s="25"/>
    </row>
    <row r="8">
      <c r="A8" s="26">
        <v>5.0</v>
      </c>
      <c r="B8" s="27" t="s">
        <v>138</v>
      </c>
      <c r="C8" s="28" t="s">
        <v>143</v>
      </c>
      <c r="D8" s="28" t="s">
        <v>144</v>
      </c>
      <c r="E8" s="29" t="s">
        <v>141</v>
      </c>
      <c r="F8" s="29" t="s">
        <v>145</v>
      </c>
      <c r="G8" s="28" t="s">
        <v>69</v>
      </c>
      <c r="H8" s="29">
        <v>5.0</v>
      </c>
      <c r="I8" s="29">
        <v>5.0</v>
      </c>
      <c r="J8" s="29">
        <v>0.0</v>
      </c>
      <c r="K8" s="29">
        <v>0.0</v>
      </c>
      <c r="L8" s="25"/>
    </row>
    <row r="14">
      <c r="F14" s="30"/>
    </row>
    <row r="15">
      <c r="F15" s="30"/>
    </row>
    <row r="16">
      <c r="F16" s="30"/>
    </row>
    <row r="17">
      <c r="F17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9.0"/>
    <col customWidth="1" min="3" max="3" width="22.0"/>
    <col customWidth="1" min="4" max="4" width="30.0"/>
    <col customWidth="1" min="5" max="5" width="22.0"/>
    <col customWidth="1" min="6" max="6" width="16.0"/>
    <col customWidth="1" min="7" max="7" width="10.0"/>
    <col customWidth="1" min="8" max="8" width="12.0"/>
    <col customWidth="1" min="9" max="13" width="10.0"/>
    <col customWidth="1" min="14" max="17" width="6.0"/>
    <col customWidth="1" min="18" max="31" width="7.0"/>
    <col customWidth="1" min="32" max="32" width="8.71"/>
  </cols>
  <sheetData>
    <row r="1" ht="18.0" customHeight="1">
      <c r="A1" s="6" t="s">
        <v>146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8"/>
    </row>
    <row r="2" ht="30.0" customHeight="1">
      <c r="A2" s="9" t="s">
        <v>14</v>
      </c>
      <c r="B2" s="9" t="s">
        <v>147</v>
      </c>
      <c r="C2" s="10" t="s">
        <v>148</v>
      </c>
      <c r="D2" s="9" t="s">
        <v>149</v>
      </c>
      <c r="E2" s="10" t="s">
        <v>150</v>
      </c>
      <c r="F2" s="9" t="s">
        <v>151</v>
      </c>
      <c r="G2" s="10" t="s">
        <v>152</v>
      </c>
      <c r="H2" s="10" t="s">
        <v>153</v>
      </c>
      <c r="I2" s="10" t="s">
        <v>154</v>
      </c>
      <c r="J2" s="31" t="s">
        <v>155</v>
      </c>
      <c r="K2" s="31" t="s">
        <v>156</v>
      </c>
      <c r="L2" s="31" t="s">
        <v>157</v>
      </c>
      <c r="M2" s="31" t="s">
        <v>158</v>
      </c>
      <c r="N2" s="10" t="s">
        <v>141</v>
      </c>
      <c r="O2" s="10" t="s">
        <v>125</v>
      </c>
      <c r="P2" s="10" t="s">
        <v>159</v>
      </c>
      <c r="Q2" s="10" t="s">
        <v>160</v>
      </c>
      <c r="R2" s="10" t="s">
        <v>129</v>
      </c>
      <c r="S2" s="10" t="s">
        <v>133</v>
      </c>
      <c r="T2" s="10" t="s">
        <v>145</v>
      </c>
      <c r="U2" s="10" t="s">
        <v>137</v>
      </c>
      <c r="V2" s="10" t="s">
        <v>126</v>
      </c>
      <c r="W2" s="10" t="s">
        <v>161</v>
      </c>
      <c r="X2" s="10" t="s">
        <v>142</v>
      </c>
      <c r="Y2" s="10" t="s">
        <v>134</v>
      </c>
      <c r="Z2" s="10" t="s">
        <v>162</v>
      </c>
      <c r="AA2" s="10" t="s">
        <v>163</v>
      </c>
      <c r="AB2" s="10" t="s">
        <v>164</v>
      </c>
      <c r="AC2" s="10" t="s">
        <v>165</v>
      </c>
      <c r="AD2" s="10" t="s">
        <v>166</v>
      </c>
      <c r="AE2" s="32" t="s">
        <v>167</v>
      </c>
      <c r="AF2" s="32" t="s">
        <v>27</v>
      </c>
    </row>
    <row r="3">
      <c r="A3" s="11">
        <v>0.0</v>
      </c>
      <c r="B3" s="11">
        <v>0.0</v>
      </c>
      <c r="C3" s="11" t="s">
        <v>28</v>
      </c>
      <c r="D3" s="11" t="s">
        <v>168</v>
      </c>
      <c r="E3" s="11"/>
      <c r="F3" s="11" t="s">
        <v>169</v>
      </c>
      <c r="G3" s="11" t="s">
        <v>170</v>
      </c>
      <c r="H3" s="11">
        <v>0.0</v>
      </c>
      <c r="I3" s="11">
        <v>0.0</v>
      </c>
      <c r="J3" s="33">
        <v>5.0</v>
      </c>
      <c r="K3" s="33">
        <v>25.0</v>
      </c>
      <c r="L3" s="11"/>
      <c r="M3" s="34" t="s">
        <v>171</v>
      </c>
      <c r="N3" s="11"/>
      <c r="O3" s="11">
        <v>14.0</v>
      </c>
      <c r="P3" s="11">
        <v>7.0</v>
      </c>
      <c r="Q3" s="11"/>
      <c r="R3" s="11">
        <v>4.0</v>
      </c>
      <c r="S3" s="11">
        <v>1.0</v>
      </c>
      <c r="T3" s="11">
        <v>3.0</v>
      </c>
      <c r="U3" s="11">
        <v>1.0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</row>
    <row r="4">
      <c r="A4" s="13">
        <v>1.0</v>
      </c>
      <c r="B4" s="13">
        <v>0.0</v>
      </c>
      <c r="C4" s="13" t="s">
        <v>28</v>
      </c>
      <c r="D4" s="13" t="s">
        <v>172</v>
      </c>
      <c r="E4" s="13" t="s">
        <v>173</v>
      </c>
      <c r="F4" s="13" t="s">
        <v>174</v>
      </c>
      <c r="G4" s="13" t="s">
        <v>175</v>
      </c>
      <c r="H4" s="13">
        <v>1.0</v>
      </c>
      <c r="I4" s="13">
        <v>1.0</v>
      </c>
      <c r="J4" s="35">
        <v>2.0</v>
      </c>
      <c r="K4" s="35">
        <v>10.0</v>
      </c>
      <c r="L4" s="13"/>
      <c r="M4" s="13"/>
      <c r="N4" s="13"/>
      <c r="O4" s="13">
        <v>4.0</v>
      </c>
      <c r="P4" s="13">
        <v>4.0</v>
      </c>
      <c r="Q4" s="13"/>
      <c r="R4" s="13">
        <v>1.0</v>
      </c>
      <c r="S4" s="13">
        <v>1.0</v>
      </c>
      <c r="T4" s="13">
        <v>3.0</v>
      </c>
      <c r="U4" s="13">
        <v>1.0</v>
      </c>
      <c r="V4" s="13"/>
      <c r="W4" s="13"/>
      <c r="X4" s="13">
        <v>1.0</v>
      </c>
      <c r="Y4" s="13"/>
      <c r="Z4" s="13"/>
      <c r="AA4" s="13"/>
      <c r="AB4" s="13"/>
      <c r="AC4" s="13"/>
      <c r="AD4" s="13"/>
      <c r="AE4" s="13"/>
      <c r="AF4" s="13"/>
    </row>
    <row r="5">
      <c r="A5" s="11">
        <v>2.0</v>
      </c>
      <c r="B5" s="11">
        <v>0.0</v>
      </c>
      <c r="C5" s="11" t="s">
        <v>28</v>
      </c>
      <c r="D5" s="11" t="s">
        <v>176</v>
      </c>
      <c r="E5" s="11"/>
      <c r="F5" s="11" t="s">
        <v>177</v>
      </c>
      <c r="G5" s="11" t="s">
        <v>175</v>
      </c>
      <c r="H5" s="11">
        <v>1.0</v>
      </c>
      <c r="I5" s="11">
        <v>2.0</v>
      </c>
      <c r="J5" s="33">
        <v>3.0</v>
      </c>
      <c r="K5" s="33">
        <v>10.0</v>
      </c>
      <c r="L5" s="11"/>
      <c r="M5" s="11"/>
      <c r="N5" s="11"/>
      <c r="O5" s="11">
        <v>4.0</v>
      </c>
      <c r="P5" s="11">
        <v>6.0</v>
      </c>
      <c r="Q5" s="11"/>
      <c r="R5" s="11">
        <v>3.0</v>
      </c>
      <c r="S5" s="11">
        <v>1.0</v>
      </c>
      <c r="T5" s="11">
        <v>3.0</v>
      </c>
      <c r="U5" s="11">
        <v>1.0</v>
      </c>
      <c r="V5" s="11"/>
      <c r="W5" s="11"/>
      <c r="X5" s="11">
        <v>1.0</v>
      </c>
      <c r="Y5" s="11">
        <v>1.0</v>
      </c>
      <c r="Z5" s="11"/>
      <c r="AA5" s="11"/>
      <c r="AB5" s="11">
        <v>1.0</v>
      </c>
      <c r="AC5" s="11"/>
      <c r="AD5" s="11"/>
      <c r="AE5" s="11"/>
      <c r="AF5" s="11"/>
    </row>
    <row r="6">
      <c r="A6" s="13">
        <v>3.0</v>
      </c>
      <c r="B6" s="13">
        <v>0.0</v>
      </c>
      <c r="C6" s="13" t="s">
        <v>28</v>
      </c>
      <c r="D6" s="13" t="s">
        <v>178</v>
      </c>
      <c r="E6" s="13"/>
      <c r="F6" s="13" t="s">
        <v>179</v>
      </c>
      <c r="G6" s="13" t="s">
        <v>175</v>
      </c>
      <c r="H6" s="13">
        <v>1.0</v>
      </c>
      <c r="I6" s="13">
        <v>3.0</v>
      </c>
      <c r="J6" s="35">
        <v>4.0</v>
      </c>
      <c r="K6" s="35">
        <v>10.0</v>
      </c>
      <c r="L6" s="13"/>
      <c r="M6" s="13"/>
      <c r="N6" s="13">
        <v>7.0</v>
      </c>
      <c r="O6" s="13">
        <v>6.0</v>
      </c>
      <c r="P6" s="13">
        <v>7.0</v>
      </c>
      <c r="Q6" s="13"/>
      <c r="R6" s="13">
        <v>3.0</v>
      </c>
      <c r="S6" s="13">
        <v>3.0</v>
      </c>
      <c r="T6" s="13">
        <v>4.0</v>
      </c>
      <c r="U6" s="13">
        <v>3.0</v>
      </c>
      <c r="V6" s="13"/>
      <c r="W6" s="13">
        <v>1.0</v>
      </c>
      <c r="X6" s="13">
        <v>1.0</v>
      </c>
      <c r="Y6" s="13">
        <v>1.0</v>
      </c>
      <c r="Z6" s="13"/>
      <c r="AA6" s="13"/>
      <c r="AB6" s="13">
        <v>1.0</v>
      </c>
      <c r="AC6" s="13"/>
      <c r="AD6" s="13">
        <v>1.0</v>
      </c>
      <c r="AE6" s="13"/>
      <c r="AF6" s="13"/>
    </row>
    <row r="7">
      <c r="A7" s="11">
        <v>4.0</v>
      </c>
      <c r="B7" s="11">
        <v>0.0</v>
      </c>
      <c r="C7" s="11" t="s">
        <v>28</v>
      </c>
      <c r="D7" s="11" t="s">
        <v>180</v>
      </c>
      <c r="E7" s="11"/>
      <c r="F7" s="11" t="s">
        <v>181</v>
      </c>
      <c r="G7" s="11" t="s">
        <v>175</v>
      </c>
      <c r="H7" s="11">
        <v>1.0</v>
      </c>
      <c r="I7" s="11">
        <v>4.0</v>
      </c>
      <c r="J7" s="33">
        <v>5.0</v>
      </c>
      <c r="K7" s="33">
        <v>10.0</v>
      </c>
      <c r="L7" s="11"/>
      <c r="M7" s="11"/>
      <c r="N7" s="11">
        <v>7.0</v>
      </c>
      <c r="O7" s="11">
        <v>7.0</v>
      </c>
      <c r="P7" s="11">
        <v>9.0</v>
      </c>
      <c r="Q7" s="11"/>
      <c r="R7" s="11">
        <v>4.0</v>
      </c>
      <c r="S7" s="11">
        <v>3.0</v>
      </c>
      <c r="T7" s="11">
        <v>6.0</v>
      </c>
      <c r="U7" s="11">
        <v>3.0</v>
      </c>
      <c r="V7" s="11"/>
      <c r="W7" s="11">
        <v>1.0</v>
      </c>
      <c r="X7" s="11">
        <v>3.0</v>
      </c>
      <c r="Y7" s="11">
        <v>3.0</v>
      </c>
      <c r="Z7" s="11"/>
      <c r="AA7" s="11"/>
      <c r="AB7" s="11">
        <v>1.0</v>
      </c>
      <c r="AC7" s="11"/>
      <c r="AD7" s="11">
        <v>1.0</v>
      </c>
      <c r="AE7" s="11"/>
      <c r="AF7" s="11"/>
    </row>
    <row r="8">
      <c r="A8" s="13">
        <v>5.0</v>
      </c>
      <c r="B8" s="13">
        <v>0.0</v>
      </c>
      <c r="C8" s="13" t="s">
        <v>28</v>
      </c>
      <c r="D8" s="13" t="s">
        <v>182</v>
      </c>
      <c r="E8" s="13" t="s">
        <v>183</v>
      </c>
      <c r="F8" s="13" t="s">
        <v>184</v>
      </c>
      <c r="G8" s="13" t="s">
        <v>175</v>
      </c>
      <c r="H8" s="13">
        <v>2.0</v>
      </c>
      <c r="I8" s="13">
        <v>1.0</v>
      </c>
      <c r="J8" s="35">
        <v>2.0</v>
      </c>
      <c r="K8" s="35">
        <v>10.0</v>
      </c>
      <c r="L8" s="13"/>
      <c r="M8" s="13"/>
      <c r="N8" s="13"/>
      <c r="O8" s="13">
        <v>6.0</v>
      </c>
      <c r="P8" s="13">
        <v>6.0</v>
      </c>
      <c r="Q8" s="13"/>
      <c r="R8" s="13">
        <v>3.0</v>
      </c>
      <c r="S8" s="13">
        <v>1.0</v>
      </c>
      <c r="T8" s="13">
        <v>1.0</v>
      </c>
      <c r="U8" s="13">
        <v>1.0</v>
      </c>
      <c r="V8" s="13"/>
      <c r="W8" s="13">
        <v>1.0</v>
      </c>
      <c r="X8" s="13"/>
      <c r="Y8" s="13"/>
      <c r="Z8" s="13"/>
      <c r="AA8" s="13"/>
      <c r="AB8" s="13"/>
      <c r="AC8" s="13"/>
      <c r="AD8" s="13"/>
      <c r="AE8" s="13"/>
      <c r="AF8" s="13"/>
    </row>
    <row r="9">
      <c r="A9" s="11">
        <v>6.0</v>
      </c>
      <c r="B9" s="11">
        <v>0.0</v>
      </c>
      <c r="C9" s="11" t="s">
        <v>28</v>
      </c>
      <c r="D9" s="11" t="s">
        <v>185</v>
      </c>
      <c r="E9" s="11"/>
      <c r="F9" s="11" t="s">
        <v>186</v>
      </c>
      <c r="G9" s="11" t="s">
        <v>175</v>
      </c>
      <c r="H9" s="11">
        <v>2.0</v>
      </c>
      <c r="I9" s="11">
        <v>2.0</v>
      </c>
      <c r="J9" s="33">
        <v>3.0</v>
      </c>
      <c r="K9" s="33">
        <v>10.0</v>
      </c>
      <c r="L9" s="11"/>
      <c r="M9" s="11"/>
      <c r="N9" s="11"/>
      <c r="O9" s="11">
        <v>7.0</v>
      </c>
      <c r="P9" s="11">
        <v>7.0</v>
      </c>
      <c r="Q9" s="11"/>
      <c r="R9" s="11">
        <v>4.0</v>
      </c>
      <c r="S9" s="11">
        <v>1.0</v>
      </c>
      <c r="T9" s="11">
        <v>1.0</v>
      </c>
      <c r="U9" s="11">
        <v>1.0</v>
      </c>
      <c r="V9" s="11"/>
      <c r="W9" s="11">
        <v>1.0</v>
      </c>
      <c r="X9" s="11"/>
      <c r="Y9" s="11">
        <v>1.0</v>
      </c>
      <c r="Z9" s="11"/>
      <c r="AA9" s="11"/>
      <c r="AB9" s="11"/>
      <c r="AC9" s="11"/>
      <c r="AD9" s="11"/>
      <c r="AE9" s="11"/>
      <c r="AF9" s="11"/>
    </row>
    <row r="10">
      <c r="A10" s="13">
        <v>7.0</v>
      </c>
      <c r="B10" s="13">
        <v>0.0</v>
      </c>
      <c r="C10" s="13" t="s">
        <v>28</v>
      </c>
      <c r="D10" s="13" t="s">
        <v>187</v>
      </c>
      <c r="E10" s="13"/>
      <c r="F10" s="13" t="s">
        <v>188</v>
      </c>
      <c r="G10" s="13" t="s">
        <v>175</v>
      </c>
      <c r="H10" s="13">
        <v>2.0</v>
      </c>
      <c r="I10" s="13">
        <v>3.0</v>
      </c>
      <c r="J10" s="35">
        <v>4.0</v>
      </c>
      <c r="K10" s="35">
        <v>10.0</v>
      </c>
      <c r="L10" s="13"/>
      <c r="M10" s="13"/>
      <c r="N10" s="13">
        <v>7.0</v>
      </c>
      <c r="O10" s="13">
        <v>9.0</v>
      </c>
      <c r="P10" s="13">
        <v>9.0</v>
      </c>
      <c r="Q10" s="13"/>
      <c r="R10" s="13">
        <v>4.0</v>
      </c>
      <c r="S10" s="13">
        <v>3.0</v>
      </c>
      <c r="T10" s="13">
        <v>2.0</v>
      </c>
      <c r="U10" s="13">
        <v>2.0</v>
      </c>
      <c r="V10" s="13"/>
      <c r="W10" s="13">
        <v>1.0</v>
      </c>
      <c r="X10" s="13"/>
      <c r="Y10" s="13">
        <v>1.0</v>
      </c>
      <c r="Z10" s="13"/>
      <c r="AA10" s="13"/>
      <c r="AB10" s="13"/>
      <c r="AC10" s="13"/>
      <c r="AD10" s="13"/>
      <c r="AE10" s="13"/>
      <c r="AF10" s="13"/>
    </row>
    <row r="11">
      <c r="A11" s="11">
        <v>8.0</v>
      </c>
      <c r="B11" s="11">
        <v>0.0</v>
      </c>
      <c r="C11" s="11" t="s">
        <v>28</v>
      </c>
      <c r="D11" s="11" t="s">
        <v>189</v>
      </c>
      <c r="E11" s="11"/>
      <c r="F11" s="11" t="s">
        <v>190</v>
      </c>
      <c r="G11" s="11" t="s">
        <v>175</v>
      </c>
      <c r="H11" s="11">
        <v>2.0</v>
      </c>
      <c r="I11" s="11">
        <v>4.0</v>
      </c>
      <c r="J11" s="33">
        <v>5.0</v>
      </c>
      <c r="K11" s="33">
        <v>10.0</v>
      </c>
      <c r="L11" s="11"/>
      <c r="M11" s="11"/>
      <c r="N11" s="11">
        <v>7.0</v>
      </c>
      <c r="O11" s="11">
        <v>10.0</v>
      </c>
      <c r="P11" s="11">
        <v>10.0</v>
      </c>
      <c r="Q11" s="11"/>
      <c r="R11" s="11">
        <v>6.0</v>
      </c>
      <c r="S11" s="11">
        <v>3.0</v>
      </c>
      <c r="T11" s="11">
        <v>2.0</v>
      </c>
      <c r="U11" s="11">
        <v>2.0</v>
      </c>
      <c r="V11" s="11"/>
      <c r="W11" s="11">
        <v>1.0</v>
      </c>
      <c r="X11" s="11"/>
      <c r="Y11" s="11">
        <v>1.0</v>
      </c>
      <c r="Z11" s="11"/>
      <c r="AA11" s="11"/>
      <c r="AB11" s="11"/>
      <c r="AC11" s="11"/>
      <c r="AD11" s="11"/>
      <c r="AE11" s="11"/>
      <c r="AF11" s="11"/>
    </row>
    <row r="12">
      <c r="A12" s="13">
        <v>9.0</v>
      </c>
      <c r="B12" s="13">
        <v>0.0</v>
      </c>
      <c r="C12" s="13" t="s">
        <v>28</v>
      </c>
      <c r="D12" s="13" t="s">
        <v>191</v>
      </c>
      <c r="E12" s="13" t="s">
        <v>192</v>
      </c>
      <c r="F12" s="13" t="s">
        <v>193</v>
      </c>
      <c r="G12" s="13" t="s">
        <v>175</v>
      </c>
      <c r="H12" s="13">
        <v>3.0</v>
      </c>
      <c r="I12" s="13">
        <v>1.0</v>
      </c>
      <c r="J12" s="35">
        <v>2.0</v>
      </c>
      <c r="K12" s="35">
        <v>10.0</v>
      </c>
      <c r="L12" s="13"/>
      <c r="M12" s="13"/>
      <c r="N12" s="13"/>
      <c r="O12" s="13">
        <v>6.0</v>
      </c>
      <c r="P12" s="13">
        <v>4.0</v>
      </c>
      <c r="Q12" s="13"/>
      <c r="R12" s="13">
        <v>4.0</v>
      </c>
      <c r="S12" s="13">
        <v>2.0</v>
      </c>
      <c r="T12" s="13">
        <v>2.0</v>
      </c>
      <c r="U12" s="13">
        <v>2.0</v>
      </c>
      <c r="V12" s="13"/>
      <c r="W12" s="13">
        <v>1.0</v>
      </c>
      <c r="X12" s="13">
        <v>1.0</v>
      </c>
      <c r="Y12" s="13"/>
      <c r="Z12" s="13"/>
      <c r="AA12" s="13"/>
      <c r="AB12" s="13"/>
      <c r="AC12" s="13"/>
      <c r="AD12" s="13"/>
      <c r="AE12" s="13"/>
      <c r="AF12" s="13"/>
    </row>
    <row r="13">
      <c r="A13" s="11">
        <v>10.0</v>
      </c>
      <c r="B13" s="11">
        <v>0.0</v>
      </c>
      <c r="C13" s="11" t="s">
        <v>28</v>
      </c>
      <c r="D13" s="11" t="s">
        <v>194</v>
      </c>
      <c r="E13" s="11"/>
      <c r="F13" s="11" t="s">
        <v>195</v>
      </c>
      <c r="G13" s="11" t="s">
        <v>175</v>
      </c>
      <c r="H13" s="11">
        <v>3.0</v>
      </c>
      <c r="I13" s="11">
        <v>2.0</v>
      </c>
      <c r="J13" s="33">
        <v>3.0</v>
      </c>
      <c r="K13" s="33">
        <v>10.0</v>
      </c>
      <c r="L13" s="11"/>
      <c r="M13" s="11"/>
      <c r="N13" s="11"/>
      <c r="O13" s="11">
        <v>7.0</v>
      </c>
      <c r="P13" s="11">
        <v>5.0</v>
      </c>
      <c r="Q13" s="11"/>
      <c r="R13" s="11">
        <v>4.0</v>
      </c>
      <c r="S13" s="11">
        <v>2.0</v>
      </c>
      <c r="T13" s="11">
        <v>2.0</v>
      </c>
      <c r="U13" s="11">
        <v>2.0</v>
      </c>
      <c r="V13" s="11"/>
      <c r="W13" s="11">
        <v>1.0</v>
      </c>
      <c r="X13" s="11">
        <v>1.0</v>
      </c>
      <c r="Y13" s="11"/>
      <c r="Z13" s="11"/>
      <c r="AA13" s="11"/>
      <c r="AB13" s="11"/>
      <c r="AC13" s="11"/>
      <c r="AD13" s="11"/>
      <c r="AE13" s="11"/>
      <c r="AF13" s="11"/>
    </row>
    <row r="14">
      <c r="A14" s="13">
        <v>11.0</v>
      </c>
      <c r="B14" s="13">
        <v>0.0</v>
      </c>
      <c r="C14" s="13" t="s">
        <v>28</v>
      </c>
      <c r="D14" s="13" t="s">
        <v>196</v>
      </c>
      <c r="E14" s="13"/>
      <c r="F14" s="13" t="s">
        <v>197</v>
      </c>
      <c r="G14" s="13" t="s">
        <v>175</v>
      </c>
      <c r="H14" s="13">
        <v>3.0</v>
      </c>
      <c r="I14" s="13">
        <v>3.0</v>
      </c>
      <c r="J14" s="35">
        <v>4.0</v>
      </c>
      <c r="K14" s="35">
        <v>10.0</v>
      </c>
      <c r="L14" s="13"/>
      <c r="M14" s="13"/>
      <c r="N14" s="13">
        <v>7.0</v>
      </c>
      <c r="O14" s="13">
        <v>9.0</v>
      </c>
      <c r="P14" s="13">
        <v>6.0</v>
      </c>
      <c r="Q14" s="13"/>
      <c r="R14" s="13">
        <v>6.0</v>
      </c>
      <c r="S14" s="13">
        <v>2.0</v>
      </c>
      <c r="T14" s="13">
        <v>3.0</v>
      </c>
      <c r="U14" s="13">
        <v>2.0</v>
      </c>
      <c r="V14" s="13"/>
      <c r="W14" s="13">
        <v>1.0</v>
      </c>
      <c r="X14" s="13">
        <v>1.0</v>
      </c>
      <c r="Y14" s="13"/>
      <c r="Z14" s="13"/>
      <c r="AA14" s="13"/>
      <c r="AB14" s="13"/>
      <c r="AC14" s="13"/>
      <c r="AD14" s="13"/>
      <c r="AE14" s="13"/>
      <c r="AF14" s="13"/>
    </row>
    <row r="15">
      <c r="A15" s="11">
        <v>12.0</v>
      </c>
      <c r="B15" s="11">
        <v>0.0</v>
      </c>
      <c r="C15" s="11" t="s">
        <v>28</v>
      </c>
      <c r="D15" s="11" t="s">
        <v>198</v>
      </c>
      <c r="E15" s="11"/>
      <c r="F15" s="11" t="s">
        <v>199</v>
      </c>
      <c r="G15" s="11" t="s">
        <v>175</v>
      </c>
      <c r="H15" s="11">
        <v>3.0</v>
      </c>
      <c r="I15" s="11">
        <v>4.0</v>
      </c>
      <c r="J15" s="33">
        <v>5.0</v>
      </c>
      <c r="K15" s="33">
        <v>10.0</v>
      </c>
      <c r="L15" s="11"/>
      <c r="M15" s="11"/>
      <c r="N15" s="11">
        <v>7.0</v>
      </c>
      <c r="O15" s="11">
        <v>10.0</v>
      </c>
      <c r="P15" s="11">
        <v>7.0</v>
      </c>
      <c r="Q15" s="11"/>
      <c r="R15" s="11">
        <v>6.0</v>
      </c>
      <c r="S15" s="11">
        <v>2.0</v>
      </c>
      <c r="T15" s="11">
        <v>3.0</v>
      </c>
      <c r="U15" s="11">
        <v>2.0</v>
      </c>
      <c r="V15" s="11"/>
      <c r="W15" s="11">
        <v>1.0</v>
      </c>
      <c r="X15" s="11">
        <v>1.0</v>
      </c>
      <c r="Y15" s="11"/>
      <c r="Z15" s="11"/>
      <c r="AA15" s="11"/>
      <c r="AB15" s="11"/>
      <c r="AC15" s="11"/>
      <c r="AD15" s="11"/>
      <c r="AE15" s="11"/>
      <c r="AF15" s="11"/>
    </row>
    <row r="16">
      <c r="A16" s="13">
        <v>13.0</v>
      </c>
      <c r="B16" s="13">
        <v>0.0</v>
      </c>
      <c r="C16" s="13" t="s">
        <v>28</v>
      </c>
      <c r="D16" s="13" t="s">
        <v>200</v>
      </c>
      <c r="E16" s="13" t="s">
        <v>201</v>
      </c>
      <c r="F16" s="13" t="s">
        <v>202</v>
      </c>
      <c r="G16" s="13" t="s">
        <v>175</v>
      </c>
      <c r="H16" s="13">
        <v>4.0</v>
      </c>
      <c r="I16" s="13">
        <v>1.0</v>
      </c>
      <c r="J16" s="35">
        <v>2.0</v>
      </c>
      <c r="K16" s="35">
        <v>10.0</v>
      </c>
      <c r="L16" s="13"/>
      <c r="M16" s="13"/>
      <c r="N16" s="13">
        <v>7.0</v>
      </c>
      <c r="O16" s="13">
        <v>6.0</v>
      </c>
      <c r="P16" s="13">
        <v>5.0</v>
      </c>
      <c r="Q16" s="13"/>
      <c r="R16" s="13">
        <v>4.0</v>
      </c>
      <c r="S16" s="13">
        <v>2.0</v>
      </c>
      <c r="T16" s="13">
        <v>3.0</v>
      </c>
      <c r="U16" s="13">
        <v>3.0</v>
      </c>
      <c r="V16" s="13"/>
      <c r="W16" s="13"/>
      <c r="X16" s="13"/>
      <c r="Y16" s="13"/>
      <c r="Z16" s="13"/>
      <c r="AA16" s="13"/>
      <c r="AB16" s="13">
        <v>1.0</v>
      </c>
      <c r="AC16" s="13"/>
      <c r="AD16" s="13"/>
      <c r="AE16" s="13"/>
      <c r="AF16" s="13"/>
    </row>
    <row r="17">
      <c r="A17" s="11">
        <v>14.0</v>
      </c>
      <c r="B17" s="11">
        <v>0.0</v>
      </c>
      <c r="C17" s="11" t="s">
        <v>28</v>
      </c>
      <c r="D17" s="11" t="s">
        <v>203</v>
      </c>
      <c r="E17" s="11"/>
      <c r="F17" s="11" t="s">
        <v>204</v>
      </c>
      <c r="G17" s="11" t="s">
        <v>175</v>
      </c>
      <c r="H17" s="11">
        <v>4.0</v>
      </c>
      <c r="I17" s="11">
        <v>2.0</v>
      </c>
      <c r="J17" s="33">
        <v>3.0</v>
      </c>
      <c r="K17" s="33">
        <v>10.0</v>
      </c>
      <c r="L17" s="11"/>
      <c r="M17" s="11"/>
      <c r="N17" s="11">
        <v>7.0</v>
      </c>
      <c r="O17" s="11">
        <v>6.0</v>
      </c>
      <c r="P17" s="11">
        <v>6.0</v>
      </c>
      <c r="Q17" s="11"/>
      <c r="R17" s="11">
        <v>4.0</v>
      </c>
      <c r="S17" s="11">
        <v>2.0</v>
      </c>
      <c r="T17" s="11">
        <v>3.0</v>
      </c>
      <c r="U17" s="11">
        <v>3.0</v>
      </c>
      <c r="V17" s="11"/>
      <c r="W17" s="11"/>
      <c r="X17" s="11"/>
      <c r="Y17" s="11"/>
      <c r="Z17" s="11"/>
      <c r="AA17" s="11"/>
      <c r="AB17" s="11">
        <v>1.0</v>
      </c>
      <c r="AC17" s="11"/>
      <c r="AD17" s="11"/>
      <c r="AE17" s="11"/>
      <c r="AF17" s="11"/>
    </row>
    <row r="18">
      <c r="A18" s="13">
        <v>15.0</v>
      </c>
      <c r="B18" s="13">
        <v>0.0</v>
      </c>
      <c r="C18" s="13" t="s">
        <v>28</v>
      </c>
      <c r="D18" s="13" t="s">
        <v>205</v>
      </c>
      <c r="E18" s="13"/>
      <c r="F18" s="13" t="s">
        <v>206</v>
      </c>
      <c r="G18" s="13" t="s">
        <v>175</v>
      </c>
      <c r="H18" s="13">
        <v>4.0</v>
      </c>
      <c r="I18" s="13">
        <v>3.0</v>
      </c>
      <c r="J18" s="35">
        <v>4.0</v>
      </c>
      <c r="K18" s="35">
        <v>10.0</v>
      </c>
      <c r="L18" s="13"/>
      <c r="M18" s="13"/>
      <c r="N18" s="13">
        <v>11.0</v>
      </c>
      <c r="O18" s="13">
        <v>7.0</v>
      </c>
      <c r="P18" s="13">
        <v>7.0</v>
      </c>
      <c r="Q18" s="13"/>
      <c r="R18" s="13">
        <v>6.0</v>
      </c>
      <c r="S18" s="13">
        <v>2.0</v>
      </c>
      <c r="T18" s="13">
        <v>4.0</v>
      </c>
      <c r="U18" s="13">
        <v>3.0</v>
      </c>
      <c r="V18" s="13"/>
      <c r="W18" s="13"/>
      <c r="X18" s="13">
        <v>1.0</v>
      </c>
      <c r="Y18" s="13"/>
      <c r="Z18" s="13"/>
      <c r="AA18" s="13"/>
      <c r="AB18" s="13">
        <v>1.0</v>
      </c>
      <c r="AC18" s="13"/>
      <c r="AD18" s="13">
        <v>1.0</v>
      </c>
      <c r="AE18" s="13"/>
      <c r="AF18" s="13"/>
    </row>
    <row r="19">
      <c r="A19" s="11">
        <v>16.0</v>
      </c>
      <c r="B19" s="11">
        <v>0.0</v>
      </c>
      <c r="C19" s="11" t="s">
        <v>28</v>
      </c>
      <c r="D19" s="11" t="s">
        <v>207</v>
      </c>
      <c r="E19" s="11"/>
      <c r="F19" s="11" t="s">
        <v>208</v>
      </c>
      <c r="G19" s="11" t="s">
        <v>175</v>
      </c>
      <c r="H19" s="11">
        <v>4.0</v>
      </c>
      <c r="I19" s="11">
        <v>4.0</v>
      </c>
      <c r="J19" s="33">
        <v>5.0</v>
      </c>
      <c r="K19" s="33">
        <v>10.0</v>
      </c>
      <c r="L19" s="11"/>
      <c r="M19" s="11"/>
      <c r="N19" s="11">
        <v>11.0</v>
      </c>
      <c r="O19" s="11">
        <v>7.0</v>
      </c>
      <c r="P19" s="11">
        <v>8.0</v>
      </c>
      <c r="Q19" s="11"/>
      <c r="R19" s="11">
        <v>6.0</v>
      </c>
      <c r="S19" s="11">
        <v>2.0</v>
      </c>
      <c r="T19" s="11">
        <v>4.0</v>
      </c>
      <c r="U19" s="11">
        <v>3.0</v>
      </c>
      <c r="V19" s="11"/>
      <c r="W19" s="11"/>
      <c r="X19" s="11">
        <v>1.0</v>
      </c>
      <c r="Y19" s="11"/>
      <c r="Z19" s="11"/>
      <c r="AA19" s="11"/>
      <c r="AB19" s="11">
        <v>1.0</v>
      </c>
      <c r="AC19" s="11"/>
      <c r="AD19" s="11">
        <v>1.0</v>
      </c>
      <c r="AE19" s="11"/>
      <c r="AF19" s="11"/>
    </row>
    <row r="20">
      <c r="A20" s="13">
        <v>17.0</v>
      </c>
      <c r="B20" s="13">
        <v>0.0</v>
      </c>
      <c r="C20" s="13" t="s">
        <v>28</v>
      </c>
      <c r="D20" s="13" t="s">
        <v>209</v>
      </c>
      <c r="E20" s="13"/>
      <c r="F20" s="13" t="s">
        <v>210</v>
      </c>
      <c r="G20" s="13" t="s">
        <v>74</v>
      </c>
      <c r="H20" s="13">
        <v>5.0</v>
      </c>
      <c r="I20" s="13">
        <v>5.0</v>
      </c>
      <c r="J20" s="35">
        <v>1.0</v>
      </c>
      <c r="K20" s="35">
        <v>65.0</v>
      </c>
      <c r="L20" s="13"/>
      <c r="M20" s="13"/>
      <c r="N20" s="13">
        <v>22.0</v>
      </c>
      <c r="O20" s="13">
        <v>11.0</v>
      </c>
      <c r="P20" s="13">
        <v>10.0</v>
      </c>
      <c r="Q20" s="13"/>
      <c r="R20" s="13">
        <v>6.0</v>
      </c>
      <c r="S20" s="13">
        <v>4.0</v>
      </c>
      <c r="T20" s="13">
        <v>5.0</v>
      </c>
      <c r="U20" s="13">
        <v>4.0</v>
      </c>
      <c r="V20" s="13"/>
      <c r="W20" s="13">
        <v>1.0</v>
      </c>
      <c r="X20" s="13">
        <v>1.0</v>
      </c>
      <c r="Y20" s="13">
        <v>1.0</v>
      </c>
      <c r="Z20" s="13"/>
      <c r="AA20" s="13"/>
      <c r="AB20" s="13">
        <v>1.0</v>
      </c>
      <c r="AC20" s="13"/>
      <c r="AD20" s="13">
        <v>2.0</v>
      </c>
      <c r="AE20" s="13"/>
      <c r="AF20" s="13"/>
    </row>
    <row r="21" ht="15.75" customHeight="1">
      <c r="A21" s="11">
        <v>18.0</v>
      </c>
      <c r="B21" s="11">
        <v>1.0</v>
      </c>
      <c r="C21" s="11" t="s">
        <v>35</v>
      </c>
      <c r="D21" s="11" t="s">
        <v>211</v>
      </c>
      <c r="E21" s="11"/>
      <c r="F21" s="11" t="s">
        <v>212</v>
      </c>
      <c r="G21" s="11" t="s">
        <v>170</v>
      </c>
      <c r="H21" s="11">
        <v>0.0</v>
      </c>
      <c r="I21" s="11">
        <v>0.0</v>
      </c>
      <c r="J21" s="33">
        <v>5.0</v>
      </c>
      <c r="K21" s="33">
        <v>25.0</v>
      </c>
      <c r="L21" s="11"/>
      <c r="M21" s="34" t="s">
        <v>213</v>
      </c>
      <c r="N21" s="11">
        <v>12.0</v>
      </c>
      <c r="O21" s="11">
        <v>9.0</v>
      </c>
      <c r="P21" s="11">
        <v>9.0</v>
      </c>
      <c r="Q21" s="11">
        <v>2.0</v>
      </c>
      <c r="R21" s="11">
        <v>3.0</v>
      </c>
      <c r="S21" s="11">
        <v>1.0</v>
      </c>
      <c r="T21" s="11">
        <v>3.0</v>
      </c>
      <c r="U21" s="11">
        <v>2.0</v>
      </c>
      <c r="V21" s="11">
        <v>1.0</v>
      </c>
      <c r="W21" s="11">
        <v>1.0</v>
      </c>
      <c r="X21" s="11">
        <v>1.0</v>
      </c>
      <c r="Y21" s="11">
        <v>1.0</v>
      </c>
      <c r="Z21" s="11"/>
      <c r="AA21" s="11">
        <v>1.0</v>
      </c>
      <c r="AB21" s="11">
        <v>1.0</v>
      </c>
      <c r="AC21" s="11"/>
      <c r="AD21" s="11"/>
      <c r="AE21" s="11">
        <v>1.0</v>
      </c>
      <c r="AF21" s="11"/>
    </row>
    <row r="22" ht="15.75" customHeight="1">
      <c r="A22" s="13">
        <v>19.0</v>
      </c>
      <c r="B22" s="13">
        <v>1.0</v>
      </c>
      <c r="C22" s="13" t="s">
        <v>35</v>
      </c>
      <c r="D22" s="13" t="s">
        <v>214</v>
      </c>
      <c r="E22" s="13" t="s">
        <v>215</v>
      </c>
      <c r="F22" s="13" t="s">
        <v>216</v>
      </c>
      <c r="G22" s="13" t="s">
        <v>175</v>
      </c>
      <c r="H22" s="13">
        <v>1.0</v>
      </c>
      <c r="I22" s="13">
        <v>1.0</v>
      </c>
      <c r="J22" s="35">
        <v>2.0</v>
      </c>
      <c r="K22" s="35">
        <v>10.0</v>
      </c>
      <c r="L22" s="13"/>
      <c r="M22" s="13"/>
      <c r="N22" s="13">
        <v>6.0</v>
      </c>
      <c r="O22" s="13">
        <v>3.0</v>
      </c>
      <c r="P22" s="13">
        <v>5.0</v>
      </c>
      <c r="Q22" s="13"/>
      <c r="R22" s="13">
        <v>2.0</v>
      </c>
      <c r="S22" s="13"/>
      <c r="T22" s="13">
        <v>3.0</v>
      </c>
      <c r="U22" s="13">
        <v>1.0</v>
      </c>
      <c r="V22" s="13"/>
      <c r="W22" s="13"/>
      <c r="X22" s="13">
        <v>1.0</v>
      </c>
      <c r="Y22" s="13">
        <v>1.0</v>
      </c>
      <c r="Z22" s="13"/>
      <c r="AA22" s="13">
        <v>1.0</v>
      </c>
      <c r="AB22" s="13">
        <v>1.0</v>
      </c>
      <c r="AC22" s="13"/>
      <c r="AD22" s="13"/>
      <c r="AE22" s="13"/>
      <c r="AF22" s="13"/>
    </row>
    <row r="23" ht="15.75" customHeight="1">
      <c r="A23" s="11">
        <v>20.0</v>
      </c>
      <c r="B23" s="11">
        <v>1.0</v>
      </c>
      <c r="C23" s="11" t="s">
        <v>35</v>
      </c>
      <c r="D23" s="11" t="s">
        <v>217</v>
      </c>
      <c r="E23" s="11"/>
      <c r="F23" s="11" t="s">
        <v>218</v>
      </c>
      <c r="G23" s="11" t="s">
        <v>175</v>
      </c>
      <c r="H23" s="11">
        <v>1.0</v>
      </c>
      <c r="I23" s="11">
        <v>2.0</v>
      </c>
      <c r="J23" s="33">
        <v>3.0</v>
      </c>
      <c r="K23" s="33">
        <v>10.0</v>
      </c>
      <c r="L23" s="11"/>
      <c r="M23" s="11"/>
      <c r="N23" s="11">
        <v>6.0</v>
      </c>
      <c r="O23" s="11">
        <v>3.0</v>
      </c>
      <c r="P23" s="11">
        <v>5.0</v>
      </c>
      <c r="Q23" s="11"/>
      <c r="R23" s="11">
        <v>2.0</v>
      </c>
      <c r="S23" s="11"/>
      <c r="T23" s="11">
        <v>3.0</v>
      </c>
      <c r="U23" s="11">
        <v>1.0</v>
      </c>
      <c r="V23" s="11"/>
      <c r="W23" s="11"/>
      <c r="X23" s="11">
        <v>1.0</v>
      </c>
      <c r="Y23" s="11">
        <v>1.0</v>
      </c>
      <c r="Z23" s="11"/>
      <c r="AA23" s="11">
        <v>1.0</v>
      </c>
      <c r="AB23" s="11">
        <v>1.0</v>
      </c>
      <c r="AC23" s="11"/>
      <c r="AD23" s="11"/>
      <c r="AE23" s="11"/>
      <c r="AF23" s="11"/>
    </row>
    <row r="24" ht="15.75" customHeight="1">
      <c r="A24" s="13">
        <v>21.0</v>
      </c>
      <c r="B24" s="13">
        <v>1.0</v>
      </c>
      <c r="C24" s="13" t="s">
        <v>35</v>
      </c>
      <c r="D24" s="13" t="s">
        <v>219</v>
      </c>
      <c r="E24" s="13"/>
      <c r="F24" s="13" t="s">
        <v>220</v>
      </c>
      <c r="G24" s="13" t="s">
        <v>175</v>
      </c>
      <c r="H24" s="13">
        <v>1.0</v>
      </c>
      <c r="I24" s="13">
        <v>3.0</v>
      </c>
      <c r="J24" s="35">
        <v>4.0</v>
      </c>
      <c r="K24" s="35">
        <v>10.0</v>
      </c>
      <c r="L24" s="13"/>
      <c r="M24" s="13"/>
      <c r="N24" s="13">
        <v>12.0</v>
      </c>
      <c r="O24" s="13">
        <v>5.0</v>
      </c>
      <c r="P24" s="13">
        <v>6.0</v>
      </c>
      <c r="Q24" s="13"/>
      <c r="R24" s="13">
        <v>3.0</v>
      </c>
      <c r="S24" s="13"/>
      <c r="T24" s="13">
        <v>3.0</v>
      </c>
      <c r="U24" s="13">
        <v>1.0</v>
      </c>
      <c r="V24" s="13"/>
      <c r="W24" s="13"/>
      <c r="X24" s="13">
        <v>2.0</v>
      </c>
      <c r="Y24" s="13">
        <v>1.0</v>
      </c>
      <c r="Z24" s="13"/>
      <c r="AA24" s="13">
        <v>1.0</v>
      </c>
      <c r="AB24" s="13">
        <v>1.0</v>
      </c>
      <c r="AC24" s="13"/>
      <c r="AD24" s="13"/>
      <c r="AE24" s="13">
        <v>1.0</v>
      </c>
      <c r="AF24" s="13"/>
    </row>
    <row r="25" ht="15.75" customHeight="1">
      <c r="A25" s="11">
        <v>22.0</v>
      </c>
      <c r="B25" s="11">
        <v>1.0</v>
      </c>
      <c r="C25" s="11" t="s">
        <v>35</v>
      </c>
      <c r="D25" s="11" t="s">
        <v>221</v>
      </c>
      <c r="E25" s="11"/>
      <c r="F25" s="11" t="s">
        <v>222</v>
      </c>
      <c r="G25" s="11" t="s">
        <v>175</v>
      </c>
      <c r="H25" s="11">
        <v>1.0</v>
      </c>
      <c r="I25" s="11">
        <v>4.0</v>
      </c>
      <c r="J25" s="33">
        <v>5.0</v>
      </c>
      <c r="K25" s="33">
        <v>10.0</v>
      </c>
      <c r="L25" s="11"/>
      <c r="M25" s="11"/>
      <c r="N25" s="11">
        <v>12.0</v>
      </c>
      <c r="O25" s="11">
        <v>5.0</v>
      </c>
      <c r="P25" s="11">
        <v>6.0</v>
      </c>
      <c r="Q25" s="11"/>
      <c r="R25" s="11">
        <v>3.0</v>
      </c>
      <c r="S25" s="11"/>
      <c r="T25" s="11">
        <v>5.0</v>
      </c>
      <c r="U25" s="11">
        <v>1.0</v>
      </c>
      <c r="V25" s="11"/>
      <c r="W25" s="11"/>
      <c r="X25" s="11">
        <v>2.0</v>
      </c>
      <c r="Y25" s="11">
        <v>1.0</v>
      </c>
      <c r="Z25" s="11"/>
      <c r="AA25" s="11">
        <v>1.0</v>
      </c>
      <c r="AB25" s="11">
        <v>1.0</v>
      </c>
      <c r="AC25" s="11"/>
      <c r="AD25" s="11"/>
      <c r="AE25" s="11">
        <v>1.0</v>
      </c>
      <c r="AF25" s="11"/>
    </row>
    <row r="26" ht="15.75" customHeight="1">
      <c r="A26" s="13">
        <v>23.0</v>
      </c>
      <c r="B26" s="13">
        <v>1.0</v>
      </c>
      <c r="C26" s="13" t="s">
        <v>35</v>
      </c>
      <c r="D26" s="13" t="s">
        <v>223</v>
      </c>
      <c r="E26" s="13" t="s">
        <v>224</v>
      </c>
      <c r="F26" s="13" t="s">
        <v>225</v>
      </c>
      <c r="G26" s="13" t="s">
        <v>175</v>
      </c>
      <c r="H26" s="13">
        <v>2.0</v>
      </c>
      <c r="I26" s="13">
        <v>1.0</v>
      </c>
      <c r="J26" s="35">
        <v>2.0</v>
      </c>
      <c r="K26" s="35">
        <v>10.0</v>
      </c>
      <c r="L26" s="13"/>
      <c r="M26" s="13"/>
      <c r="N26" s="13">
        <v>12.0</v>
      </c>
      <c r="O26" s="13">
        <v>5.0</v>
      </c>
      <c r="P26" s="13">
        <v>3.0</v>
      </c>
      <c r="Q26" s="13"/>
      <c r="R26" s="13">
        <v>3.0</v>
      </c>
      <c r="S26" s="13">
        <v>1.0</v>
      </c>
      <c r="T26" s="13">
        <v>2.0</v>
      </c>
      <c r="U26" s="13">
        <v>2.0</v>
      </c>
      <c r="V26" s="13"/>
      <c r="W26" s="13">
        <v>1.0</v>
      </c>
      <c r="X26" s="13">
        <v>1.0</v>
      </c>
      <c r="Y26" s="13">
        <v>1.0</v>
      </c>
      <c r="Z26" s="13"/>
      <c r="AA26" s="13"/>
      <c r="AB26" s="13">
        <v>1.0</v>
      </c>
      <c r="AC26" s="13"/>
      <c r="AD26" s="13"/>
      <c r="AE26" s="13">
        <v>1.0</v>
      </c>
      <c r="AF26" s="13"/>
    </row>
    <row r="27" ht="15.75" customHeight="1">
      <c r="A27" s="11">
        <v>24.0</v>
      </c>
      <c r="B27" s="11">
        <v>1.0</v>
      </c>
      <c r="C27" s="11" t="s">
        <v>35</v>
      </c>
      <c r="D27" s="11" t="s">
        <v>226</v>
      </c>
      <c r="E27" s="11"/>
      <c r="F27" s="11" t="s">
        <v>227</v>
      </c>
      <c r="G27" s="11" t="s">
        <v>175</v>
      </c>
      <c r="H27" s="11">
        <v>2.0</v>
      </c>
      <c r="I27" s="11">
        <v>2.0</v>
      </c>
      <c r="J27" s="33">
        <v>3.0</v>
      </c>
      <c r="K27" s="33">
        <v>10.0</v>
      </c>
      <c r="L27" s="11"/>
      <c r="M27" s="11"/>
      <c r="N27" s="11">
        <v>12.0</v>
      </c>
      <c r="O27" s="11">
        <v>5.0</v>
      </c>
      <c r="P27" s="11">
        <v>3.0</v>
      </c>
      <c r="Q27" s="11"/>
      <c r="R27" s="11">
        <v>3.0</v>
      </c>
      <c r="S27" s="11">
        <v>1.0</v>
      </c>
      <c r="T27" s="11">
        <v>2.0</v>
      </c>
      <c r="U27" s="11">
        <v>2.0</v>
      </c>
      <c r="V27" s="11"/>
      <c r="W27" s="11">
        <v>1.0</v>
      </c>
      <c r="X27" s="11">
        <v>1.0</v>
      </c>
      <c r="Y27" s="11">
        <v>1.0</v>
      </c>
      <c r="Z27" s="11"/>
      <c r="AA27" s="11"/>
      <c r="AB27" s="11">
        <v>1.0</v>
      </c>
      <c r="AC27" s="11"/>
      <c r="AD27" s="11"/>
      <c r="AE27" s="11">
        <v>1.0</v>
      </c>
      <c r="AF27" s="11"/>
    </row>
    <row r="28" ht="15.75" customHeight="1">
      <c r="A28" s="13">
        <v>25.0</v>
      </c>
      <c r="B28" s="13">
        <v>1.0</v>
      </c>
      <c r="C28" s="13" t="s">
        <v>35</v>
      </c>
      <c r="D28" s="13" t="s">
        <v>228</v>
      </c>
      <c r="E28" s="13"/>
      <c r="F28" s="13" t="s">
        <v>229</v>
      </c>
      <c r="G28" s="13" t="s">
        <v>175</v>
      </c>
      <c r="H28" s="13">
        <v>2.0</v>
      </c>
      <c r="I28" s="13">
        <v>3.0</v>
      </c>
      <c r="J28" s="35">
        <v>4.0</v>
      </c>
      <c r="K28" s="35">
        <v>10.0</v>
      </c>
      <c r="L28" s="13"/>
      <c r="M28" s="13"/>
      <c r="N28" s="13">
        <v>18.0</v>
      </c>
      <c r="O28" s="13">
        <v>6.0</v>
      </c>
      <c r="P28" s="13">
        <v>4.0</v>
      </c>
      <c r="Q28" s="13"/>
      <c r="R28" s="13">
        <v>4.0</v>
      </c>
      <c r="S28" s="13">
        <v>1.0</v>
      </c>
      <c r="T28" s="13">
        <v>2.0</v>
      </c>
      <c r="U28" s="13">
        <v>3.0</v>
      </c>
      <c r="V28" s="13"/>
      <c r="W28" s="13">
        <v>1.0</v>
      </c>
      <c r="X28" s="13">
        <v>1.0</v>
      </c>
      <c r="Y28" s="13">
        <v>1.0</v>
      </c>
      <c r="Z28" s="13"/>
      <c r="AA28" s="13"/>
      <c r="AB28" s="13">
        <v>1.0</v>
      </c>
      <c r="AC28" s="13"/>
      <c r="AD28" s="13"/>
      <c r="AE28" s="13">
        <v>1.0</v>
      </c>
      <c r="AF28" s="13"/>
    </row>
    <row r="29" ht="15.75" customHeight="1">
      <c r="A29" s="11">
        <v>26.0</v>
      </c>
      <c r="B29" s="11">
        <v>1.0</v>
      </c>
      <c r="C29" s="11" t="s">
        <v>35</v>
      </c>
      <c r="D29" s="11" t="s">
        <v>230</v>
      </c>
      <c r="E29" s="11"/>
      <c r="F29" s="11" t="s">
        <v>231</v>
      </c>
      <c r="G29" s="11" t="s">
        <v>175</v>
      </c>
      <c r="H29" s="11">
        <v>2.0</v>
      </c>
      <c r="I29" s="11">
        <v>4.0</v>
      </c>
      <c r="J29" s="33">
        <v>5.0</v>
      </c>
      <c r="K29" s="33">
        <v>10.0</v>
      </c>
      <c r="L29" s="11"/>
      <c r="M29" s="11"/>
      <c r="N29" s="11">
        <v>18.0</v>
      </c>
      <c r="O29" s="11">
        <v>6.0</v>
      </c>
      <c r="P29" s="11">
        <v>4.0</v>
      </c>
      <c r="Q29" s="11"/>
      <c r="R29" s="11">
        <v>4.0</v>
      </c>
      <c r="S29" s="11">
        <v>1.0</v>
      </c>
      <c r="T29" s="11">
        <v>4.0</v>
      </c>
      <c r="U29" s="11">
        <v>3.0</v>
      </c>
      <c r="V29" s="11"/>
      <c r="W29" s="11">
        <v>1.0</v>
      </c>
      <c r="X29" s="11">
        <v>1.0</v>
      </c>
      <c r="Y29" s="11">
        <v>1.0</v>
      </c>
      <c r="Z29" s="11"/>
      <c r="AA29" s="11"/>
      <c r="AB29" s="11">
        <v>1.0</v>
      </c>
      <c r="AC29" s="11"/>
      <c r="AD29" s="11"/>
      <c r="AE29" s="11">
        <v>1.0</v>
      </c>
      <c r="AF29" s="11"/>
    </row>
    <row r="30" ht="15.75" customHeight="1">
      <c r="A30" s="13">
        <v>27.0</v>
      </c>
      <c r="B30" s="13">
        <v>1.0</v>
      </c>
      <c r="C30" s="13" t="s">
        <v>35</v>
      </c>
      <c r="D30" s="13" t="s">
        <v>232</v>
      </c>
      <c r="E30" s="13" t="s">
        <v>233</v>
      </c>
      <c r="F30" s="13" t="s">
        <v>234</v>
      </c>
      <c r="G30" s="13" t="s">
        <v>175</v>
      </c>
      <c r="H30" s="13">
        <v>3.0</v>
      </c>
      <c r="I30" s="13">
        <v>1.0</v>
      </c>
      <c r="J30" s="35">
        <v>2.0</v>
      </c>
      <c r="K30" s="35">
        <v>10.0</v>
      </c>
      <c r="L30" s="13"/>
      <c r="M30" s="13"/>
      <c r="N30" s="13">
        <v>6.0</v>
      </c>
      <c r="O30" s="13">
        <v>4.0</v>
      </c>
      <c r="P30" s="13">
        <v>4.0</v>
      </c>
      <c r="Q30" s="13"/>
      <c r="R30" s="13">
        <v>2.0</v>
      </c>
      <c r="S30" s="13"/>
      <c r="T30" s="13">
        <v>2.0</v>
      </c>
      <c r="U30" s="13">
        <v>3.0</v>
      </c>
      <c r="V30" s="13"/>
      <c r="W30" s="13">
        <v>1.0</v>
      </c>
      <c r="X30" s="13">
        <v>1.0</v>
      </c>
      <c r="Y30" s="13">
        <v>1.0</v>
      </c>
      <c r="Z30" s="13"/>
      <c r="AA30" s="13">
        <v>1.0</v>
      </c>
      <c r="AB30" s="13">
        <v>1.0</v>
      </c>
      <c r="AC30" s="13"/>
      <c r="AD30" s="13"/>
      <c r="AE30" s="13">
        <v>1.0</v>
      </c>
      <c r="AF30" s="13"/>
    </row>
    <row r="31" ht="15.75" customHeight="1">
      <c r="A31" s="11">
        <v>28.0</v>
      </c>
      <c r="B31" s="11">
        <v>1.0</v>
      </c>
      <c r="C31" s="11" t="s">
        <v>35</v>
      </c>
      <c r="D31" s="11" t="s">
        <v>235</v>
      </c>
      <c r="E31" s="11"/>
      <c r="F31" s="11" t="s">
        <v>236</v>
      </c>
      <c r="G31" s="11" t="s">
        <v>175</v>
      </c>
      <c r="H31" s="11">
        <v>3.0</v>
      </c>
      <c r="I31" s="11">
        <v>2.0</v>
      </c>
      <c r="J31" s="33">
        <v>3.0</v>
      </c>
      <c r="K31" s="33">
        <v>10.0</v>
      </c>
      <c r="L31" s="11"/>
      <c r="M31" s="11"/>
      <c r="N31" s="11">
        <v>6.0</v>
      </c>
      <c r="O31" s="11">
        <v>4.0</v>
      </c>
      <c r="P31" s="11">
        <v>4.0</v>
      </c>
      <c r="Q31" s="11"/>
      <c r="R31" s="11">
        <v>2.0</v>
      </c>
      <c r="S31" s="11"/>
      <c r="T31" s="11">
        <v>2.0</v>
      </c>
      <c r="U31" s="11">
        <v>3.0</v>
      </c>
      <c r="V31" s="11"/>
      <c r="W31" s="11">
        <v>1.0</v>
      </c>
      <c r="X31" s="11">
        <v>1.0</v>
      </c>
      <c r="Y31" s="11">
        <v>1.0</v>
      </c>
      <c r="Z31" s="11"/>
      <c r="AA31" s="11">
        <v>1.0</v>
      </c>
      <c r="AB31" s="11">
        <v>1.0</v>
      </c>
      <c r="AC31" s="11"/>
      <c r="AD31" s="11"/>
      <c r="AE31" s="11">
        <v>1.0</v>
      </c>
      <c r="AF31" s="11"/>
    </row>
    <row r="32" ht="15.75" customHeight="1">
      <c r="A32" s="13">
        <v>29.0</v>
      </c>
      <c r="B32" s="13">
        <v>1.0</v>
      </c>
      <c r="C32" s="13" t="s">
        <v>35</v>
      </c>
      <c r="D32" s="13" t="s">
        <v>237</v>
      </c>
      <c r="E32" s="13"/>
      <c r="F32" s="13" t="s">
        <v>238</v>
      </c>
      <c r="G32" s="13" t="s">
        <v>175</v>
      </c>
      <c r="H32" s="13">
        <v>3.0</v>
      </c>
      <c r="I32" s="13">
        <v>3.0</v>
      </c>
      <c r="J32" s="35">
        <v>4.0</v>
      </c>
      <c r="K32" s="35">
        <v>10.0</v>
      </c>
      <c r="L32" s="13"/>
      <c r="M32" s="13"/>
      <c r="N32" s="13">
        <v>12.0</v>
      </c>
      <c r="O32" s="13">
        <v>5.0</v>
      </c>
      <c r="P32" s="13">
        <v>5.0</v>
      </c>
      <c r="Q32" s="13"/>
      <c r="R32" s="13">
        <v>3.0</v>
      </c>
      <c r="S32" s="13"/>
      <c r="T32" s="13">
        <v>2.0</v>
      </c>
      <c r="U32" s="13">
        <v>4.0</v>
      </c>
      <c r="V32" s="13"/>
      <c r="W32" s="13">
        <v>1.0</v>
      </c>
      <c r="X32" s="13">
        <v>1.0</v>
      </c>
      <c r="Y32" s="13">
        <v>1.0</v>
      </c>
      <c r="Z32" s="13"/>
      <c r="AA32" s="13">
        <v>1.0</v>
      </c>
      <c r="AB32" s="13">
        <v>1.0</v>
      </c>
      <c r="AC32" s="13"/>
      <c r="AD32" s="13"/>
      <c r="AE32" s="13">
        <v>1.0</v>
      </c>
      <c r="AF32" s="13"/>
    </row>
    <row r="33" ht="15.75" customHeight="1">
      <c r="A33" s="11">
        <v>30.0</v>
      </c>
      <c r="B33" s="11">
        <v>1.0</v>
      </c>
      <c r="C33" s="11" t="s">
        <v>35</v>
      </c>
      <c r="D33" s="11" t="s">
        <v>239</v>
      </c>
      <c r="E33" s="11"/>
      <c r="F33" s="11" t="s">
        <v>240</v>
      </c>
      <c r="G33" s="11" t="s">
        <v>175</v>
      </c>
      <c r="H33" s="11">
        <v>3.0</v>
      </c>
      <c r="I33" s="11">
        <v>4.0</v>
      </c>
      <c r="J33" s="33">
        <v>5.0</v>
      </c>
      <c r="K33" s="33">
        <v>10.0</v>
      </c>
      <c r="L33" s="11"/>
      <c r="M33" s="11"/>
      <c r="N33" s="11">
        <v>12.0</v>
      </c>
      <c r="O33" s="11">
        <v>5.0</v>
      </c>
      <c r="P33" s="11">
        <v>5.0</v>
      </c>
      <c r="Q33" s="11"/>
      <c r="R33" s="11">
        <v>3.0</v>
      </c>
      <c r="S33" s="11"/>
      <c r="T33" s="11">
        <v>4.0</v>
      </c>
      <c r="U33" s="11">
        <v>4.0</v>
      </c>
      <c r="V33" s="11"/>
      <c r="W33" s="11">
        <v>1.0</v>
      </c>
      <c r="X33" s="11">
        <v>1.0</v>
      </c>
      <c r="Y33" s="11">
        <v>1.0</v>
      </c>
      <c r="Z33" s="11"/>
      <c r="AA33" s="11">
        <v>1.0</v>
      </c>
      <c r="AB33" s="11">
        <v>1.0</v>
      </c>
      <c r="AC33" s="11"/>
      <c r="AD33" s="11"/>
      <c r="AE33" s="11">
        <v>1.0</v>
      </c>
      <c r="AF33" s="11"/>
    </row>
    <row r="34" ht="15.75" customHeight="1">
      <c r="A34" s="13">
        <v>31.0</v>
      </c>
      <c r="B34" s="13">
        <v>1.0</v>
      </c>
      <c r="C34" s="13" t="s">
        <v>35</v>
      </c>
      <c r="D34" s="13" t="s">
        <v>241</v>
      </c>
      <c r="E34" s="13" t="s">
        <v>242</v>
      </c>
      <c r="F34" s="13" t="s">
        <v>243</v>
      </c>
      <c r="G34" s="13" t="s">
        <v>175</v>
      </c>
      <c r="H34" s="13">
        <v>4.0</v>
      </c>
      <c r="I34" s="13">
        <v>1.0</v>
      </c>
      <c r="J34" s="35">
        <v>2.0</v>
      </c>
      <c r="K34" s="35">
        <v>10.0</v>
      </c>
      <c r="L34" s="13"/>
      <c r="M34" s="13"/>
      <c r="N34" s="13">
        <v>6.0</v>
      </c>
      <c r="O34" s="13">
        <v>3.0</v>
      </c>
      <c r="P34" s="13">
        <v>4.0</v>
      </c>
      <c r="Q34" s="13">
        <v>1.0</v>
      </c>
      <c r="R34" s="13">
        <v>2.0</v>
      </c>
      <c r="S34" s="13">
        <v>1.0</v>
      </c>
      <c r="T34" s="13">
        <v>2.0</v>
      </c>
      <c r="U34" s="13">
        <v>2.0</v>
      </c>
      <c r="V34" s="13"/>
      <c r="W34" s="13">
        <v>1.0</v>
      </c>
      <c r="X34" s="13">
        <v>1.0</v>
      </c>
      <c r="Y34" s="13">
        <v>1.0</v>
      </c>
      <c r="Z34" s="13"/>
      <c r="AA34" s="13">
        <v>1.0</v>
      </c>
      <c r="AB34" s="13">
        <v>1.0</v>
      </c>
      <c r="AC34" s="13"/>
      <c r="AD34" s="13"/>
      <c r="AE34" s="13">
        <v>1.0</v>
      </c>
      <c r="AF34" s="13"/>
    </row>
    <row r="35" ht="15.75" customHeight="1">
      <c r="A35" s="11">
        <v>32.0</v>
      </c>
      <c r="B35" s="11">
        <v>1.0</v>
      </c>
      <c r="C35" s="11" t="s">
        <v>35</v>
      </c>
      <c r="D35" s="11" t="s">
        <v>244</v>
      </c>
      <c r="E35" s="11"/>
      <c r="F35" s="11" t="s">
        <v>245</v>
      </c>
      <c r="G35" s="11" t="s">
        <v>175</v>
      </c>
      <c r="H35" s="11">
        <v>4.0</v>
      </c>
      <c r="I35" s="11">
        <v>2.0</v>
      </c>
      <c r="J35" s="33">
        <v>3.0</v>
      </c>
      <c r="K35" s="33">
        <v>10.0</v>
      </c>
      <c r="L35" s="11"/>
      <c r="M35" s="11"/>
      <c r="N35" s="11">
        <v>6.0</v>
      </c>
      <c r="O35" s="11">
        <v>3.0</v>
      </c>
      <c r="P35" s="11">
        <v>4.0</v>
      </c>
      <c r="Q35" s="11">
        <v>1.0</v>
      </c>
      <c r="R35" s="11">
        <v>2.0</v>
      </c>
      <c r="S35" s="11">
        <v>1.0</v>
      </c>
      <c r="T35" s="11">
        <v>2.0</v>
      </c>
      <c r="U35" s="11">
        <v>2.0</v>
      </c>
      <c r="V35" s="11"/>
      <c r="W35" s="11">
        <v>1.0</v>
      </c>
      <c r="X35" s="11">
        <v>1.0</v>
      </c>
      <c r="Y35" s="11">
        <v>1.0</v>
      </c>
      <c r="Z35" s="11"/>
      <c r="AA35" s="11">
        <v>1.0</v>
      </c>
      <c r="AB35" s="11">
        <v>1.0</v>
      </c>
      <c r="AC35" s="11"/>
      <c r="AD35" s="11"/>
      <c r="AE35" s="11">
        <v>1.0</v>
      </c>
      <c r="AF35" s="11"/>
    </row>
    <row r="36" ht="15.75" customHeight="1">
      <c r="A36" s="13">
        <v>33.0</v>
      </c>
      <c r="B36" s="13">
        <v>1.0</v>
      </c>
      <c r="C36" s="13" t="s">
        <v>35</v>
      </c>
      <c r="D36" s="13" t="s">
        <v>246</v>
      </c>
      <c r="E36" s="13"/>
      <c r="F36" s="13" t="s">
        <v>247</v>
      </c>
      <c r="G36" s="13" t="s">
        <v>175</v>
      </c>
      <c r="H36" s="13">
        <v>4.0</v>
      </c>
      <c r="I36" s="13">
        <v>3.0</v>
      </c>
      <c r="J36" s="35">
        <v>4.0</v>
      </c>
      <c r="K36" s="35">
        <v>10.0</v>
      </c>
      <c r="L36" s="13"/>
      <c r="M36" s="13"/>
      <c r="N36" s="13">
        <v>12.0</v>
      </c>
      <c r="O36" s="13">
        <v>5.0</v>
      </c>
      <c r="P36" s="13">
        <v>5.0</v>
      </c>
      <c r="Q36" s="13">
        <v>1.0</v>
      </c>
      <c r="R36" s="13">
        <v>3.0</v>
      </c>
      <c r="S36" s="13">
        <v>1.0</v>
      </c>
      <c r="T36" s="13">
        <v>2.0</v>
      </c>
      <c r="U36" s="13">
        <v>2.0</v>
      </c>
      <c r="V36" s="13"/>
      <c r="W36" s="13">
        <v>1.0</v>
      </c>
      <c r="X36" s="13">
        <v>2.0</v>
      </c>
      <c r="Y36" s="13">
        <v>1.0</v>
      </c>
      <c r="Z36" s="13"/>
      <c r="AA36" s="13">
        <v>1.0</v>
      </c>
      <c r="AB36" s="13">
        <v>1.0</v>
      </c>
      <c r="AC36" s="13"/>
      <c r="AD36" s="13"/>
      <c r="AE36" s="13">
        <v>1.0</v>
      </c>
      <c r="AF36" s="13"/>
    </row>
    <row r="37" ht="15.75" customHeight="1">
      <c r="A37" s="11">
        <v>34.0</v>
      </c>
      <c r="B37" s="11">
        <v>1.0</v>
      </c>
      <c r="C37" s="11" t="s">
        <v>35</v>
      </c>
      <c r="D37" s="11" t="s">
        <v>248</v>
      </c>
      <c r="E37" s="11"/>
      <c r="F37" s="11" t="s">
        <v>249</v>
      </c>
      <c r="G37" s="11" t="s">
        <v>175</v>
      </c>
      <c r="H37" s="11">
        <v>4.0</v>
      </c>
      <c r="I37" s="11">
        <v>4.0</v>
      </c>
      <c r="J37" s="33">
        <v>5.0</v>
      </c>
      <c r="K37" s="33">
        <v>10.0</v>
      </c>
      <c r="L37" s="11"/>
      <c r="M37" s="11"/>
      <c r="N37" s="11">
        <v>12.0</v>
      </c>
      <c r="O37" s="11">
        <v>5.0</v>
      </c>
      <c r="P37" s="11">
        <v>5.0</v>
      </c>
      <c r="Q37" s="11">
        <v>1.0</v>
      </c>
      <c r="R37" s="11">
        <v>3.0</v>
      </c>
      <c r="S37" s="11">
        <v>1.0</v>
      </c>
      <c r="T37" s="11">
        <v>2.0</v>
      </c>
      <c r="U37" s="11">
        <v>2.0</v>
      </c>
      <c r="V37" s="11"/>
      <c r="W37" s="11">
        <v>1.0</v>
      </c>
      <c r="X37" s="11">
        <v>2.0</v>
      </c>
      <c r="Y37" s="11">
        <v>1.0</v>
      </c>
      <c r="Z37" s="11"/>
      <c r="AA37" s="11">
        <v>1.0</v>
      </c>
      <c r="AB37" s="11">
        <v>1.0</v>
      </c>
      <c r="AC37" s="11"/>
      <c r="AD37" s="11"/>
      <c r="AE37" s="11">
        <v>1.0</v>
      </c>
      <c r="AF37" s="11"/>
    </row>
    <row r="38" ht="15.75" customHeight="1">
      <c r="A38" s="13">
        <v>35.0</v>
      </c>
      <c r="B38" s="13">
        <v>1.0</v>
      </c>
      <c r="C38" s="13" t="s">
        <v>35</v>
      </c>
      <c r="D38" s="13" t="s">
        <v>250</v>
      </c>
      <c r="E38" s="13"/>
      <c r="F38" s="13" t="s">
        <v>251</v>
      </c>
      <c r="G38" s="13" t="s">
        <v>74</v>
      </c>
      <c r="H38" s="13">
        <v>5.0</v>
      </c>
      <c r="I38" s="13">
        <v>5.0</v>
      </c>
      <c r="J38" s="35">
        <v>1.0</v>
      </c>
      <c r="K38" s="35">
        <v>65.0</v>
      </c>
      <c r="L38" s="13"/>
      <c r="M38" s="13"/>
      <c r="N38" s="13">
        <v>24.0</v>
      </c>
      <c r="O38" s="13">
        <v>8.0</v>
      </c>
      <c r="P38" s="13">
        <v>8.0</v>
      </c>
      <c r="Q38" s="13">
        <v>3.0</v>
      </c>
      <c r="R38" s="13">
        <v>4.0</v>
      </c>
      <c r="S38" s="13">
        <v>2.0</v>
      </c>
      <c r="T38" s="13">
        <v>4.0</v>
      </c>
      <c r="U38" s="13">
        <v>4.0</v>
      </c>
      <c r="V38" s="13">
        <v>1.0</v>
      </c>
      <c r="W38" s="13">
        <v>2.0</v>
      </c>
      <c r="X38" s="13">
        <v>2.0</v>
      </c>
      <c r="Y38" s="13">
        <v>2.0</v>
      </c>
      <c r="Z38" s="13"/>
      <c r="AA38" s="13">
        <v>2.0</v>
      </c>
      <c r="AB38" s="13">
        <v>2.0</v>
      </c>
      <c r="AC38" s="13"/>
      <c r="AD38" s="13">
        <v>1.0</v>
      </c>
      <c r="AE38" s="13">
        <v>2.0</v>
      </c>
      <c r="AF38" s="13"/>
    </row>
    <row r="39" ht="15.75" customHeight="1">
      <c r="A39" s="11">
        <v>36.0</v>
      </c>
      <c r="B39" s="11">
        <v>2.0</v>
      </c>
      <c r="C39" s="11" t="s">
        <v>39</v>
      </c>
      <c r="D39" s="11" t="s">
        <v>252</v>
      </c>
      <c r="E39" s="11"/>
      <c r="F39" s="11" t="s">
        <v>253</v>
      </c>
      <c r="G39" s="11" t="s">
        <v>170</v>
      </c>
      <c r="H39" s="11">
        <v>0.0</v>
      </c>
      <c r="I39" s="11">
        <v>0.0</v>
      </c>
      <c r="J39" s="33">
        <v>5.0</v>
      </c>
      <c r="K39" s="33">
        <v>25.0</v>
      </c>
      <c r="L39" s="11"/>
      <c r="M39" s="34" t="s">
        <v>254</v>
      </c>
      <c r="N39" s="11">
        <v>14.0</v>
      </c>
      <c r="O39" s="11">
        <v>6.0</v>
      </c>
      <c r="P39" s="11">
        <v>4.0</v>
      </c>
      <c r="Q39" s="11">
        <v>16.0</v>
      </c>
      <c r="R39" s="11">
        <v>1.0</v>
      </c>
      <c r="S39" s="11">
        <v>1.0</v>
      </c>
      <c r="T39" s="11">
        <v>3.0</v>
      </c>
      <c r="U39" s="11">
        <v>3.0</v>
      </c>
      <c r="V39" s="11">
        <v>6.0</v>
      </c>
      <c r="W39" s="11">
        <v>5.0</v>
      </c>
      <c r="X39" s="11">
        <v>5.0</v>
      </c>
      <c r="Y39" s="11">
        <v>4.0</v>
      </c>
      <c r="Z39" s="11">
        <v>1.0</v>
      </c>
      <c r="AA39" s="11">
        <v>3.0</v>
      </c>
      <c r="AB39" s="11">
        <v>3.0</v>
      </c>
      <c r="AC39" s="11"/>
      <c r="AD39" s="11">
        <v>3.0</v>
      </c>
      <c r="AE39" s="11"/>
      <c r="AF39" s="11"/>
    </row>
    <row r="40" ht="15.75" customHeight="1">
      <c r="A40" s="13">
        <v>37.0</v>
      </c>
      <c r="B40" s="13">
        <v>2.0</v>
      </c>
      <c r="C40" s="13" t="s">
        <v>39</v>
      </c>
      <c r="D40" s="13" t="s">
        <v>255</v>
      </c>
      <c r="E40" s="13" t="s">
        <v>256</v>
      </c>
      <c r="F40" s="13" t="s">
        <v>257</v>
      </c>
      <c r="G40" s="13" t="s">
        <v>175</v>
      </c>
      <c r="H40" s="13">
        <v>1.0</v>
      </c>
      <c r="I40" s="13">
        <v>1.0</v>
      </c>
      <c r="J40" s="35">
        <v>2.0</v>
      </c>
      <c r="K40" s="35">
        <v>10.0</v>
      </c>
      <c r="L40" s="13"/>
      <c r="M40" s="13"/>
      <c r="N40" s="13">
        <v>5.0</v>
      </c>
      <c r="O40" s="13">
        <v>2.0</v>
      </c>
      <c r="P40" s="13"/>
      <c r="Q40" s="13">
        <v>9.0</v>
      </c>
      <c r="R40" s="13"/>
      <c r="S40" s="13"/>
      <c r="T40" s="13">
        <v>1.0</v>
      </c>
      <c r="U40" s="13"/>
      <c r="V40" s="13">
        <v>4.0</v>
      </c>
      <c r="W40" s="13">
        <v>1.0</v>
      </c>
      <c r="X40" s="13">
        <v>3.0</v>
      </c>
      <c r="Y40" s="13">
        <v>1.0</v>
      </c>
      <c r="Z40" s="13">
        <v>1.0</v>
      </c>
      <c r="AA40" s="13">
        <v>2.0</v>
      </c>
      <c r="AB40" s="13">
        <v>1.0</v>
      </c>
      <c r="AC40" s="13"/>
      <c r="AD40" s="13">
        <v>1.0</v>
      </c>
      <c r="AE40" s="13"/>
      <c r="AF40" s="13"/>
    </row>
    <row r="41" ht="15.75" customHeight="1">
      <c r="A41" s="11">
        <v>38.0</v>
      </c>
      <c r="B41" s="11">
        <v>2.0</v>
      </c>
      <c r="C41" s="11" t="s">
        <v>39</v>
      </c>
      <c r="D41" s="11" t="s">
        <v>258</v>
      </c>
      <c r="E41" s="11"/>
      <c r="F41" s="11" t="s">
        <v>259</v>
      </c>
      <c r="G41" s="11" t="s">
        <v>175</v>
      </c>
      <c r="H41" s="11">
        <v>1.0</v>
      </c>
      <c r="I41" s="11">
        <v>2.0</v>
      </c>
      <c r="J41" s="33">
        <v>3.0</v>
      </c>
      <c r="K41" s="33">
        <v>10.0</v>
      </c>
      <c r="L41" s="11"/>
      <c r="M41" s="11"/>
      <c r="N41" s="11">
        <v>5.0</v>
      </c>
      <c r="O41" s="11">
        <v>2.0</v>
      </c>
      <c r="P41" s="11"/>
      <c r="Q41" s="11">
        <v>9.0</v>
      </c>
      <c r="R41" s="11"/>
      <c r="S41" s="11"/>
      <c r="T41" s="11">
        <v>1.0</v>
      </c>
      <c r="U41" s="11"/>
      <c r="V41" s="11">
        <v>5.0</v>
      </c>
      <c r="W41" s="11">
        <v>1.0</v>
      </c>
      <c r="X41" s="11">
        <v>3.0</v>
      </c>
      <c r="Y41" s="11">
        <v>1.0</v>
      </c>
      <c r="Z41" s="11">
        <v>1.0</v>
      </c>
      <c r="AA41" s="11">
        <v>2.0</v>
      </c>
      <c r="AB41" s="11">
        <v>1.0</v>
      </c>
      <c r="AC41" s="11"/>
      <c r="AD41" s="11">
        <v>1.0</v>
      </c>
      <c r="AE41" s="11"/>
      <c r="AF41" s="11"/>
    </row>
    <row r="42" ht="15.75" customHeight="1">
      <c r="A42" s="13">
        <v>39.0</v>
      </c>
      <c r="B42" s="13">
        <v>2.0</v>
      </c>
      <c r="C42" s="13" t="s">
        <v>39</v>
      </c>
      <c r="D42" s="13" t="s">
        <v>260</v>
      </c>
      <c r="E42" s="13"/>
      <c r="F42" s="13" t="s">
        <v>261</v>
      </c>
      <c r="G42" s="13" t="s">
        <v>175</v>
      </c>
      <c r="H42" s="13">
        <v>1.0</v>
      </c>
      <c r="I42" s="13">
        <v>3.0</v>
      </c>
      <c r="J42" s="35">
        <v>4.0</v>
      </c>
      <c r="K42" s="35">
        <v>10.0</v>
      </c>
      <c r="L42" s="13"/>
      <c r="M42" s="13"/>
      <c r="N42" s="13">
        <v>9.0</v>
      </c>
      <c r="O42" s="13">
        <v>3.0</v>
      </c>
      <c r="P42" s="13"/>
      <c r="Q42" s="13">
        <v>8.0</v>
      </c>
      <c r="R42" s="13"/>
      <c r="S42" s="13"/>
      <c r="T42" s="13">
        <v>1.0</v>
      </c>
      <c r="U42" s="13"/>
      <c r="V42" s="13">
        <v>6.0</v>
      </c>
      <c r="W42" s="13">
        <v>1.0</v>
      </c>
      <c r="X42" s="13">
        <v>3.0</v>
      </c>
      <c r="Y42" s="13">
        <v>1.0</v>
      </c>
      <c r="Z42" s="13">
        <v>2.0</v>
      </c>
      <c r="AA42" s="13">
        <v>2.0</v>
      </c>
      <c r="AB42" s="13">
        <v>1.0</v>
      </c>
      <c r="AC42" s="13"/>
      <c r="AD42" s="13">
        <v>1.0</v>
      </c>
      <c r="AE42" s="13">
        <v>1.0</v>
      </c>
      <c r="AF42" s="13"/>
    </row>
    <row r="43" ht="15.75" customHeight="1">
      <c r="A43" s="11">
        <v>40.0</v>
      </c>
      <c r="B43" s="11">
        <v>2.0</v>
      </c>
      <c r="C43" s="11" t="s">
        <v>39</v>
      </c>
      <c r="D43" s="11" t="s">
        <v>262</v>
      </c>
      <c r="E43" s="11"/>
      <c r="F43" s="11" t="s">
        <v>263</v>
      </c>
      <c r="G43" s="11" t="s">
        <v>175</v>
      </c>
      <c r="H43" s="11">
        <v>1.0</v>
      </c>
      <c r="I43" s="11">
        <v>4.0</v>
      </c>
      <c r="J43" s="33">
        <v>5.0</v>
      </c>
      <c r="K43" s="33">
        <v>10.0</v>
      </c>
      <c r="L43" s="11"/>
      <c r="M43" s="11"/>
      <c r="N43" s="11">
        <v>9.0</v>
      </c>
      <c r="O43" s="11">
        <v>3.0</v>
      </c>
      <c r="P43" s="11"/>
      <c r="Q43" s="11">
        <v>9.0</v>
      </c>
      <c r="R43" s="11"/>
      <c r="S43" s="11"/>
      <c r="T43" s="11">
        <v>1.0</v>
      </c>
      <c r="U43" s="11"/>
      <c r="V43" s="11">
        <v>7.0</v>
      </c>
      <c r="W43" s="11">
        <v>1.0</v>
      </c>
      <c r="X43" s="11">
        <v>3.0</v>
      </c>
      <c r="Y43" s="11">
        <v>1.0</v>
      </c>
      <c r="Z43" s="11">
        <v>2.0</v>
      </c>
      <c r="AA43" s="11">
        <v>2.0</v>
      </c>
      <c r="AB43" s="11">
        <v>1.0</v>
      </c>
      <c r="AC43" s="11"/>
      <c r="AD43" s="11">
        <v>1.0</v>
      </c>
      <c r="AE43" s="11">
        <v>1.0</v>
      </c>
      <c r="AF43" s="11"/>
    </row>
    <row r="44" ht="15.75" customHeight="1">
      <c r="A44" s="13">
        <v>41.0</v>
      </c>
      <c r="B44" s="13">
        <v>2.0</v>
      </c>
      <c r="C44" s="13" t="s">
        <v>39</v>
      </c>
      <c r="D44" s="13" t="s">
        <v>264</v>
      </c>
      <c r="E44" s="13" t="s">
        <v>44</v>
      </c>
      <c r="F44" s="13" t="s">
        <v>265</v>
      </c>
      <c r="G44" s="13" t="s">
        <v>175</v>
      </c>
      <c r="H44" s="13">
        <v>2.0</v>
      </c>
      <c r="I44" s="13">
        <v>1.0</v>
      </c>
      <c r="J44" s="35">
        <v>2.0</v>
      </c>
      <c r="K44" s="35">
        <v>10.0</v>
      </c>
      <c r="L44" s="13"/>
      <c r="M44" s="13"/>
      <c r="N44" s="13">
        <v>5.0</v>
      </c>
      <c r="O44" s="13">
        <v>1.0</v>
      </c>
      <c r="P44" s="13">
        <v>1.0</v>
      </c>
      <c r="Q44" s="13">
        <v>6.0</v>
      </c>
      <c r="R44" s="13"/>
      <c r="S44" s="13">
        <v>1.0</v>
      </c>
      <c r="T44" s="13">
        <v>1.0</v>
      </c>
      <c r="U44" s="13">
        <v>1.0</v>
      </c>
      <c r="V44" s="13">
        <v>3.0</v>
      </c>
      <c r="W44" s="13">
        <v>3.0</v>
      </c>
      <c r="X44" s="13">
        <v>3.0</v>
      </c>
      <c r="Y44" s="13">
        <v>3.0</v>
      </c>
      <c r="Z44" s="13"/>
      <c r="AA44" s="13">
        <v>1.0</v>
      </c>
      <c r="AB44" s="13">
        <v>2.0</v>
      </c>
      <c r="AC44" s="13"/>
      <c r="AD44" s="13">
        <v>2.0</v>
      </c>
      <c r="AE44" s="13"/>
      <c r="AF44" s="13"/>
    </row>
    <row r="45" ht="15.75" customHeight="1">
      <c r="A45" s="11">
        <v>42.0</v>
      </c>
      <c r="B45" s="11">
        <v>2.0</v>
      </c>
      <c r="C45" s="11" t="s">
        <v>39</v>
      </c>
      <c r="D45" s="11" t="s">
        <v>266</v>
      </c>
      <c r="E45" s="11"/>
      <c r="F45" s="11" t="s">
        <v>267</v>
      </c>
      <c r="G45" s="11" t="s">
        <v>175</v>
      </c>
      <c r="H45" s="11">
        <v>2.0</v>
      </c>
      <c r="I45" s="11">
        <v>2.0</v>
      </c>
      <c r="J45" s="33">
        <v>3.0</v>
      </c>
      <c r="K45" s="33">
        <v>10.0</v>
      </c>
      <c r="L45" s="11"/>
      <c r="M45" s="11"/>
      <c r="N45" s="11">
        <v>5.0</v>
      </c>
      <c r="O45" s="11">
        <v>1.0</v>
      </c>
      <c r="P45" s="11">
        <v>1.0</v>
      </c>
      <c r="Q45" s="11">
        <v>6.0</v>
      </c>
      <c r="R45" s="11"/>
      <c r="S45" s="11">
        <v>1.0</v>
      </c>
      <c r="T45" s="11">
        <v>1.0</v>
      </c>
      <c r="U45" s="11">
        <v>1.0</v>
      </c>
      <c r="V45" s="11">
        <v>3.0</v>
      </c>
      <c r="W45" s="11">
        <v>3.0</v>
      </c>
      <c r="X45" s="11">
        <v>3.0</v>
      </c>
      <c r="Y45" s="11">
        <v>3.0</v>
      </c>
      <c r="Z45" s="11"/>
      <c r="AA45" s="11">
        <v>1.0</v>
      </c>
      <c r="AB45" s="11">
        <v>2.0</v>
      </c>
      <c r="AC45" s="11"/>
      <c r="AD45" s="11">
        <v>2.0</v>
      </c>
      <c r="AE45" s="11"/>
      <c r="AF45" s="11"/>
    </row>
    <row r="46" ht="15.75" customHeight="1">
      <c r="A46" s="13">
        <v>43.0</v>
      </c>
      <c r="B46" s="13">
        <v>2.0</v>
      </c>
      <c r="C46" s="13" t="s">
        <v>39</v>
      </c>
      <c r="D46" s="13" t="s">
        <v>268</v>
      </c>
      <c r="E46" s="13"/>
      <c r="F46" s="13" t="s">
        <v>269</v>
      </c>
      <c r="G46" s="13" t="s">
        <v>175</v>
      </c>
      <c r="H46" s="13">
        <v>2.0</v>
      </c>
      <c r="I46" s="13">
        <v>3.0</v>
      </c>
      <c r="J46" s="35">
        <v>4.0</v>
      </c>
      <c r="K46" s="35">
        <v>10.0</v>
      </c>
      <c r="L46" s="13"/>
      <c r="M46" s="13"/>
      <c r="N46" s="13">
        <v>8.0</v>
      </c>
      <c r="O46" s="13">
        <v>2.0</v>
      </c>
      <c r="P46" s="13">
        <v>1.0</v>
      </c>
      <c r="Q46" s="13">
        <v>7.0</v>
      </c>
      <c r="R46" s="13"/>
      <c r="S46" s="13">
        <v>1.0</v>
      </c>
      <c r="T46" s="13">
        <v>1.0</v>
      </c>
      <c r="U46" s="13">
        <v>1.0</v>
      </c>
      <c r="V46" s="13">
        <v>4.0</v>
      </c>
      <c r="W46" s="13">
        <v>3.0</v>
      </c>
      <c r="X46" s="13">
        <v>3.0</v>
      </c>
      <c r="Y46" s="13">
        <v>3.0</v>
      </c>
      <c r="Z46" s="13"/>
      <c r="AA46" s="13">
        <v>1.0</v>
      </c>
      <c r="AB46" s="13">
        <v>2.0</v>
      </c>
      <c r="AC46" s="13"/>
      <c r="AD46" s="13">
        <v>3.0</v>
      </c>
      <c r="AE46" s="13"/>
      <c r="AF46" s="13"/>
    </row>
    <row r="47" ht="15.75" customHeight="1">
      <c r="A47" s="11">
        <v>44.0</v>
      </c>
      <c r="B47" s="11">
        <v>2.0</v>
      </c>
      <c r="C47" s="11" t="s">
        <v>39</v>
      </c>
      <c r="D47" s="11" t="s">
        <v>270</v>
      </c>
      <c r="E47" s="11"/>
      <c r="F47" s="11" t="s">
        <v>271</v>
      </c>
      <c r="G47" s="11" t="s">
        <v>175</v>
      </c>
      <c r="H47" s="11">
        <v>2.0</v>
      </c>
      <c r="I47" s="11">
        <v>4.0</v>
      </c>
      <c r="J47" s="33">
        <v>5.0</v>
      </c>
      <c r="K47" s="33">
        <v>10.0</v>
      </c>
      <c r="L47" s="11"/>
      <c r="M47" s="11"/>
      <c r="N47" s="11">
        <v>8.0</v>
      </c>
      <c r="O47" s="11">
        <v>2.0</v>
      </c>
      <c r="P47" s="11">
        <v>1.0</v>
      </c>
      <c r="Q47" s="11">
        <v>8.0</v>
      </c>
      <c r="R47" s="11"/>
      <c r="S47" s="11">
        <v>1.0</v>
      </c>
      <c r="T47" s="11">
        <v>1.0</v>
      </c>
      <c r="U47" s="11">
        <v>1.0</v>
      </c>
      <c r="V47" s="11">
        <v>4.0</v>
      </c>
      <c r="W47" s="11">
        <v>3.0</v>
      </c>
      <c r="X47" s="11">
        <v>3.0</v>
      </c>
      <c r="Y47" s="11">
        <v>3.0</v>
      </c>
      <c r="Z47" s="11"/>
      <c r="AA47" s="11">
        <v>1.0</v>
      </c>
      <c r="AB47" s="11">
        <v>2.0</v>
      </c>
      <c r="AC47" s="11"/>
      <c r="AD47" s="11">
        <v>3.0</v>
      </c>
      <c r="AE47" s="11"/>
      <c r="AF47" s="11"/>
    </row>
    <row r="48" ht="15.75" customHeight="1">
      <c r="A48" s="13">
        <v>45.0</v>
      </c>
      <c r="B48" s="13">
        <v>2.0</v>
      </c>
      <c r="C48" s="13" t="s">
        <v>39</v>
      </c>
      <c r="D48" s="13" t="s">
        <v>272</v>
      </c>
      <c r="E48" s="13" t="s">
        <v>273</v>
      </c>
      <c r="F48" s="13" t="s">
        <v>274</v>
      </c>
      <c r="G48" s="13" t="s">
        <v>175</v>
      </c>
      <c r="H48" s="13">
        <v>3.0</v>
      </c>
      <c r="I48" s="13">
        <v>1.0</v>
      </c>
      <c r="J48" s="35">
        <v>2.0</v>
      </c>
      <c r="K48" s="35">
        <v>10.0</v>
      </c>
      <c r="L48" s="13"/>
      <c r="M48" s="13"/>
      <c r="N48" s="13">
        <v>7.0</v>
      </c>
      <c r="O48" s="13">
        <v>2.0</v>
      </c>
      <c r="P48" s="13"/>
      <c r="Q48" s="13">
        <v>7.0</v>
      </c>
      <c r="R48" s="13"/>
      <c r="S48" s="13"/>
      <c r="T48" s="13">
        <v>1.0</v>
      </c>
      <c r="U48" s="13">
        <v>1.0</v>
      </c>
      <c r="V48" s="13">
        <v>3.0</v>
      </c>
      <c r="W48" s="13">
        <v>1.0</v>
      </c>
      <c r="X48" s="13">
        <v>3.0</v>
      </c>
      <c r="Y48" s="13">
        <v>1.0</v>
      </c>
      <c r="Z48" s="13">
        <v>1.0</v>
      </c>
      <c r="AA48" s="13">
        <v>3.0</v>
      </c>
      <c r="AB48" s="13">
        <v>2.0</v>
      </c>
      <c r="AC48" s="13"/>
      <c r="AD48" s="13">
        <v>1.0</v>
      </c>
      <c r="AE48" s="13">
        <v>1.0</v>
      </c>
      <c r="AF48" s="13"/>
    </row>
    <row r="49" ht="15.75" customHeight="1">
      <c r="A49" s="11">
        <v>46.0</v>
      </c>
      <c r="B49" s="11">
        <v>2.0</v>
      </c>
      <c r="C49" s="11" t="s">
        <v>39</v>
      </c>
      <c r="D49" s="11" t="s">
        <v>275</v>
      </c>
      <c r="E49" s="11"/>
      <c r="F49" s="11" t="s">
        <v>276</v>
      </c>
      <c r="G49" s="11" t="s">
        <v>175</v>
      </c>
      <c r="H49" s="11">
        <v>3.0</v>
      </c>
      <c r="I49" s="11">
        <v>2.0</v>
      </c>
      <c r="J49" s="33">
        <v>3.0</v>
      </c>
      <c r="K49" s="33">
        <v>10.0</v>
      </c>
      <c r="L49" s="11"/>
      <c r="M49" s="11"/>
      <c r="N49" s="11">
        <v>7.0</v>
      </c>
      <c r="O49" s="11">
        <v>2.0</v>
      </c>
      <c r="P49" s="11"/>
      <c r="Q49" s="11">
        <v>8.0</v>
      </c>
      <c r="R49" s="11"/>
      <c r="S49" s="11"/>
      <c r="T49" s="11">
        <v>1.0</v>
      </c>
      <c r="U49" s="11">
        <v>1.0</v>
      </c>
      <c r="V49" s="11">
        <v>3.0</v>
      </c>
      <c r="W49" s="11">
        <v>1.0</v>
      </c>
      <c r="X49" s="11">
        <v>3.0</v>
      </c>
      <c r="Y49" s="11">
        <v>1.0</v>
      </c>
      <c r="Z49" s="11">
        <v>1.0</v>
      </c>
      <c r="AA49" s="11">
        <v>3.0</v>
      </c>
      <c r="AB49" s="11">
        <v>2.0</v>
      </c>
      <c r="AC49" s="11"/>
      <c r="AD49" s="11">
        <v>1.0</v>
      </c>
      <c r="AE49" s="11">
        <v>1.0</v>
      </c>
      <c r="AF49" s="11"/>
    </row>
    <row r="50" ht="15.75" customHeight="1">
      <c r="A50" s="13">
        <v>47.0</v>
      </c>
      <c r="B50" s="13">
        <v>2.0</v>
      </c>
      <c r="C50" s="13" t="s">
        <v>39</v>
      </c>
      <c r="D50" s="13" t="s">
        <v>277</v>
      </c>
      <c r="E50" s="13"/>
      <c r="F50" s="13" t="s">
        <v>278</v>
      </c>
      <c r="G50" s="13" t="s">
        <v>175</v>
      </c>
      <c r="H50" s="13">
        <v>3.0</v>
      </c>
      <c r="I50" s="13">
        <v>3.0</v>
      </c>
      <c r="J50" s="35">
        <v>4.0</v>
      </c>
      <c r="K50" s="35">
        <v>10.0</v>
      </c>
      <c r="L50" s="13"/>
      <c r="M50" s="13"/>
      <c r="N50" s="13">
        <v>11.0</v>
      </c>
      <c r="O50" s="13">
        <v>3.0</v>
      </c>
      <c r="P50" s="13"/>
      <c r="Q50" s="13">
        <v>9.0</v>
      </c>
      <c r="R50" s="13"/>
      <c r="S50" s="13"/>
      <c r="T50" s="13">
        <v>1.0</v>
      </c>
      <c r="U50" s="13">
        <v>1.0</v>
      </c>
      <c r="V50" s="13">
        <v>4.0</v>
      </c>
      <c r="W50" s="13">
        <v>1.0</v>
      </c>
      <c r="X50" s="13">
        <v>3.0</v>
      </c>
      <c r="Y50" s="13">
        <v>1.0</v>
      </c>
      <c r="Z50" s="13">
        <v>1.0</v>
      </c>
      <c r="AA50" s="13">
        <v>3.0</v>
      </c>
      <c r="AB50" s="13">
        <v>2.0</v>
      </c>
      <c r="AC50" s="13"/>
      <c r="AD50" s="13">
        <v>2.0</v>
      </c>
      <c r="AE50" s="13">
        <v>1.0</v>
      </c>
      <c r="AF50" s="13"/>
    </row>
    <row r="51" ht="15.75" customHeight="1">
      <c r="A51" s="11">
        <v>48.0</v>
      </c>
      <c r="B51" s="11">
        <v>2.0</v>
      </c>
      <c r="C51" s="11" t="s">
        <v>39</v>
      </c>
      <c r="D51" s="11" t="s">
        <v>279</v>
      </c>
      <c r="E51" s="11"/>
      <c r="F51" s="11" t="s">
        <v>280</v>
      </c>
      <c r="G51" s="11" t="s">
        <v>175</v>
      </c>
      <c r="H51" s="11">
        <v>3.0</v>
      </c>
      <c r="I51" s="11">
        <v>4.0</v>
      </c>
      <c r="J51" s="33">
        <v>5.0</v>
      </c>
      <c r="K51" s="33">
        <v>10.0</v>
      </c>
      <c r="L51" s="11"/>
      <c r="M51" s="11"/>
      <c r="N51" s="11">
        <v>11.0</v>
      </c>
      <c r="O51" s="11">
        <v>3.0</v>
      </c>
      <c r="P51" s="11"/>
      <c r="Q51" s="11">
        <v>10.0</v>
      </c>
      <c r="R51" s="11"/>
      <c r="S51" s="11"/>
      <c r="T51" s="11">
        <v>1.0</v>
      </c>
      <c r="U51" s="11">
        <v>1.0</v>
      </c>
      <c r="V51" s="11">
        <v>4.0</v>
      </c>
      <c r="W51" s="11">
        <v>1.0</v>
      </c>
      <c r="X51" s="11">
        <v>3.0</v>
      </c>
      <c r="Y51" s="11">
        <v>1.0</v>
      </c>
      <c r="Z51" s="11">
        <v>1.0</v>
      </c>
      <c r="AA51" s="11">
        <v>3.0</v>
      </c>
      <c r="AB51" s="11">
        <v>2.0</v>
      </c>
      <c r="AC51" s="11"/>
      <c r="AD51" s="11">
        <v>2.0</v>
      </c>
      <c r="AE51" s="11">
        <v>1.0</v>
      </c>
      <c r="AF51" s="11"/>
    </row>
    <row r="52" ht="15.75" customHeight="1">
      <c r="A52" s="13">
        <v>49.0</v>
      </c>
      <c r="B52" s="13">
        <v>2.0</v>
      </c>
      <c r="C52" s="13" t="s">
        <v>39</v>
      </c>
      <c r="D52" s="13" t="s">
        <v>281</v>
      </c>
      <c r="E52" s="13" t="s">
        <v>282</v>
      </c>
      <c r="F52" s="13" t="s">
        <v>283</v>
      </c>
      <c r="G52" s="13" t="s">
        <v>175</v>
      </c>
      <c r="H52" s="13">
        <v>4.0</v>
      </c>
      <c r="I52" s="13">
        <v>1.0</v>
      </c>
      <c r="J52" s="35">
        <v>2.0</v>
      </c>
      <c r="K52" s="35">
        <v>10.0</v>
      </c>
      <c r="L52" s="13"/>
      <c r="M52" s="13"/>
      <c r="N52" s="13">
        <v>5.0</v>
      </c>
      <c r="O52" s="13">
        <v>2.0</v>
      </c>
      <c r="P52" s="13"/>
      <c r="Q52" s="13">
        <v>7.0</v>
      </c>
      <c r="R52" s="13"/>
      <c r="S52" s="13"/>
      <c r="T52" s="13">
        <v>1.0</v>
      </c>
      <c r="U52" s="13">
        <v>1.0</v>
      </c>
      <c r="V52" s="13">
        <v>2.0</v>
      </c>
      <c r="W52" s="13">
        <v>2.0</v>
      </c>
      <c r="X52" s="13">
        <v>3.0</v>
      </c>
      <c r="Y52" s="13">
        <v>1.0</v>
      </c>
      <c r="Z52" s="13">
        <v>1.0</v>
      </c>
      <c r="AA52" s="13">
        <v>2.0</v>
      </c>
      <c r="AB52" s="13">
        <v>2.0</v>
      </c>
      <c r="AC52" s="13">
        <v>1.0</v>
      </c>
      <c r="AD52" s="13">
        <v>1.0</v>
      </c>
      <c r="AE52" s="13">
        <v>1.0</v>
      </c>
      <c r="AF52" s="13"/>
    </row>
    <row r="53" ht="15.75" customHeight="1">
      <c r="A53" s="11">
        <v>50.0</v>
      </c>
      <c r="B53" s="11">
        <v>2.0</v>
      </c>
      <c r="C53" s="11" t="s">
        <v>39</v>
      </c>
      <c r="D53" s="11" t="s">
        <v>284</v>
      </c>
      <c r="E53" s="11"/>
      <c r="F53" s="11" t="s">
        <v>285</v>
      </c>
      <c r="G53" s="11" t="s">
        <v>175</v>
      </c>
      <c r="H53" s="11">
        <v>4.0</v>
      </c>
      <c r="I53" s="11">
        <v>2.0</v>
      </c>
      <c r="J53" s="33">
        <v>3.0</v>
      </c>
      <c r="K53" s="33">
        <v>10.0</v>
      </c>
      <c r="L53" s="11"/>
      <c r="M53" s="11"/>
      <c r="N53" s="11">
        <v>5.0</v>
      </c>
      <c r="O53" s="11">
        <v>2.0</v>
      </c>
      <c r="P53" s="11"/>
      <c r="Q53" s="11">
        <v>8.0</v>
      </c>
      <c r="R53" s="11"/>
      <c r="S53" s="11"/>
      <c r="T53" s="11">
        <v>1.0</v>
      </c>
      <c r="U53" s="11">
        <v>1.0</v>
      </c>
      <c r="V53" s="11">
        <v>2.0</v>
      </c>
      <c r="W53" s="11">
        <v>2.0</v>
      </c>
      <c r="X53" s="11">
        <v>3.0</v>
      </c>
      <c r="Y53" s="11">
        <v>1.0</v>
      </c>
      <c r="Z53" s="11">
        <v>1.0</v>
      </c>
      <c r="AA53" s="11">
        <v>2.0</v>
      </c>
      <c r="AB53" s="11">
        <v>2.0</v>
      </c>
      <c r="AC53" s="11">
        <v>1.0</v>
      </c>
      <c r="AD53" s="11">
        <v>1.0</v>
      </c>
      <c r="AE53" s="11">
        <v>1.0</v>
      </c>
      <c r="AF53" s="11"/>
    </row>
    <row r="54" ht="15.75" customHeight="1">
      <c r="A54" s="13">
        <v>51.0</v>
      </c>
      <c r="B54" s="13">
        <v>2.0</v>
      </c>
      <c r="C54" s="13" t="s">
        <v>39</v>
      </c>
      <c r="D54" s="13" t="s">
        <v>286</v>
      </c>
      <c r="E54" s="13"/>
      <c r="F54" s="13" t="s">
        <v>287</v>
      </c>
      <c r="G54" s="13" t="s">
        <v>175</v>
      </c>
      <c r="H54" s="13">
        <v>4.0</v>
      </c>
      <c r="I54" s="13">
        <v>3.0</v>
      </c>
      <c r="J54" s="35">
        <v>4.0</v>
      </c>
      <c r="K54" s="35">
        <v>10.0</v>
      </c>
      <c r="L54" s="13"/>
      <c r="M54" s="13"/>
      <c r="N54" s="13">
        <v>9.0</v>
      </c>
      <c r="O54" s="13">
        <v>3.0</v>
      </c>
      <c r="P54" s="13"/>
      <c r="Q54" s="13">
        <v>9.0</v>
      </c>
      <c r="R54" s="13"/>
      <c r="S54" s="13"/>
      <c r="T54" s="13">
        <v>1.0</v>
      </c>
      <c r="U54" s="13">
        <v>1.0</v>
      </c>
      <c r="V54" s="13">
        <v>3.0</v>
      </c>
      <c r="W54" s="13">
        <v>2.0</v>
      </c>
      <c r="X54" s="13">
        <v>3.0</v>
      </c>
      <c r="Y54" s="13">
        <v>1.0</v>
      </c>
      <c r="Z54" s="13">
        <v>1.0</v>
      </c>
      <c r="AA54" s="13">
        <v>2.0</v>
      </c>
      <c r="AB54" s="13">
        <v>2.0</v>
      </c>
      <c r="AC54" s="13">
        <v>1.0</v>
      </c>
      <c r="AD54" s="13">
        <v>2.0</v>
      </c>
      <c r="AE54" s="13">
        <v>1.0</v>
      </c>
      <c r="AF54" s="13"/>
    </row>
    <row r="55" ht="15.75" customHeight="1">
      <c r="A55" s="11">
        <v>52.0</v>
      </c>
      <c r="B55" s="11">
        <v>2.0</v>
      </c>
      <c r="C55" s="11" t="s">
        <v>39</v>
      </c>
      <c r="D55" s="11" t="s">
        <v>288</v>
      </c>
      <c r="E55" s="11"/>
      <c r="F55" s="11" t="s">
        <v>289</v>
      </c>
      <c r="G55" s="11" t="s">
        <v>175</v>
      </c>
      <c r="H55" s="11">
        <v>4.0</v>
      </c>
      <c r="I55" s="11">
        <v>4.0</v>
      </c>
      <c r="J55" s="33">
        <v>5.0</v>
      </c>
      <c r="K55" s="33">
        <v>10.0</v>
      </c>
      <c r="L55" s="11"/>
      <c r="M55" s="11"/>
      <c r="N55" s="11">
        <v>9.0</v>
      </c>
      <c r="O55" s="11">
        <v>3.0</v>
      </c>
      <c r="P55" s="11"/>
      <c r="Q55" s="11">
        <v>10.0</v>
      </c>
      <c r="R55" s="11"/>
      <c r="S55" s="11"/>
      <c r="T55" s="11">
        <v>1.0</v>
      </c>
      <c r="U55" s="11">
        <v>1.0</v>
      </c>
      <c r="V55" s="11">
        <v>3.0</v>
      </c>
      <c r="W55" s="11">
        <v>2.0</v>
      </c>
      <c r="X55" s="11">
        <v>3.0</v>
      </c>
      <c r="Y55" s="11">
        <v>1.0</v>
      </c>
      <c r="Z55" s="11">
        <v>1.0</v>
      </c>
      <c r="AA55" s="11">
        <v>2.0</v>
      </c>
      <c r="AB55" s="11">
        <v>2.0</v>
      </c>
      <c r="AC55" s="11">
        <v>1.0</v>
      </c>
      <c r="AD55" s="11">
        <v>2.0</v>
      </c>
      <c r="AE55" s="11">
        <v>1.0</v>
      </c>
      <c r="AF55" s="11"/>
    </row>
    <row r="56" ht="15.75" customHeight="1">
      <c r="A56" s="13">
        <v>53.0</v>
      </c>
      <c r="B56" s="13">
        <v>2.0</v>
      </c>
      <c r="C56" s="13" t="s">
        <v>39</v>
      </c>
      <c r="D56" s="13" t="s">
        <v>290</v>
      </c>
      <c r="E56" s="13"/>
      <c r="F56" s="13" t="s">
        <v>291</v>
      </c>
      <c r="G56" s="13" t="s">
        <v>74</v>
      </c>
      <c r="H56" s="13">
        <v>5.0</v>
      </c>
      <c r="I56" s="13">
        <v>5.0</v>
      </c>
      <c r="J56" s="35">
        <v>1.0</v>
      </c>
      <c r="K56" s="35">
        <v>65.0</v>
      </c>
      <c r="L56" s="13"/>
      <c r="M56" s="13"/>
      <c r="N56" s="13">
        <v>22.0</v>
      </c>
      <c r="O56" s="13">
        <v>8.0</v>
      </c>
      <c r="P56" s="13">
        <v>5.0</v>
      </c>
      <c r="Q56" s="13">
        <v>20.0</v>
      </c>
      <c r="R56" s="13">
        <v>1.0</v>
      </c>
      <c r="S56" s="13">
        <v>2.0</v>
      </c>
      <c r="T56" s="13">
        <v>4.0</v>
      </c>
      <c r="U56" s="13">
        <v>4.0</v>
      </c>
      <c r="V56" s="13">
        <v>8.0</v>
      </c>
      <c r="W56" s="13">
        <v>7.0</v>
      </c>
      <c r="X56" s="13">
        <v>6.0</v>
      </c>
      <c r="Y56" s="13">
        <v>5.0</v>
      </c>
      <c r="Z56" s="13">
        <v>2.0</v>
      </c>
      <c r="AA56" s="13">
        <v>4.0</v>
      </c>
      <c r="AB56" s="13">
        <v>4.0</v>
      </c>
      <c r="AC56" s="13">
        <v>1.0</v>
      </c>
      <c r="AD56" s="13">
        <v>4.0</v>
      </c>
      <c r="AE56" s="13">
        <v>1.0</v>
      </c>
      <c r="AF56" s="13"/>
    </row>
    <row r="57" ht="15.75" customHeight="1">
      <c r="A57" s="11">
        <v>54.0</v>
      </c>
      <c r="B57" s="11">
        <v>3.0</v>
      </c>
      <c r="C57" s="11" t="s">
        <v>45</v>
      </c>
      <c r="D57" s="11" t="s">
        <v>292</v>
      </c>
      <c r="E57" s="11"/>
      <c r="F57" s="11" t="s">
        <v>293</v>
      </c>
      <c r="G57" s="11" t="s">
        <v>170</v>
      </c>
      <c r="H57" s="11">
        <v>0.0</v>
      </c>
      <c r="I57" s="11">
        <v>0.0</v>
      </c>
      <c r="J57" s="33">
        <v>5.0</v>
      </c>
      <c r="K57" s="33">
        <v>25.0</v>
      </c>
      <c r="L57" s="11"/>
      <c r="M57" s="34" t="s">
        <v>294</v>
      </c>
      <c r="N57" s="11">
        <v>18.0</v>
      </c>
      <c r="O57" s="11">
        <v>5.0</v>
      </c>
      <c r="P57" s="11">
        <v>4.0</v>
      </c>
      <c r="Q57" s="11">
        <v>11.0</v>
      </c>
      <c r="R57" s="11">
        <v>2.0</v>
      </c>
      <c r="S57" s="11">
        <v>2.0</v>
      </c>
      <c r="T57" s="11">
        <v>3.0</v>
      </c>
      <c r="U57" s="11">
        <v>2.0</v>
      </c>
      <c r="V57" s="11">
        <v>4.0</v>
      </c>
      <c r="W57" s="11">
        <v>4.0</v>
      </c>
      <c r="X57" s="11">
        <v>3.0</v>
      </c>
      <c r="Y57" s="11">
        <v>3.0</v>
      </c>
      <c r="Z57" s="11"/>
      <c r="AA57" s="11">
        <v>3.0</v>
      </c>
      <c r="AB57" s="11">
        <v>1.0</v>
      </c>
      <c r="AC57" s="11"/>
      <c r="AD57" s="11">
        <v>3.0</v>
      </c>
      <c r="AE57" s="11">
        <v>1.0</v>
      </c>
      <c r="AF57" s="11"/>
    </row>
    <row r="58" ht="15.75" customHeight="1">
      <c r="A58" s="13">
        <v>55.0</v>
      </c>
      <c r="B58" s="13">
        <v>3.0</v>
      </c>
      <c r="C58" s="13" t="s">
        <v>45</v>
      </c>
      <c r="D58" s="13" t="s">
        <v>295</v>
      </c>
      <c r="E58" s="13" t="s">
        <v>296</v>
      </c>
      <c r="F58" s="13" t="s">
        <v>297</v>
      </c>
      <c r="G58" s="13" t="s">
        <v>175</v>
      </c>
      <c r="H58" s="13">
        <v>1.0</v>
      </c>
      <c r="I58" s="13">
        <v>1.0</v>
      </c>
      <c r="J58" s="35">
        <v>2.0</v>
      </c>
      <c r="K58" s="35">
        <v>10.0</v>
      </c>
      <c r="L58" s="13"/>
      <c r="M58" s="13"/>
      <c r="N58" s="13">
        <v>5.0</v>
      </c>
      <c r="O58" s="13">
        <v>2.0</v>
      </c>
      <c r="P58" s="13"/>
      <c r="Q58" s="13">
        <v>5.0</v>
      </c>
      <c r="R58" s="13"/>
      <c r="S58" s="13">
        <v>1.0</v>
      </c>
      <c r="T58" s="13">
        <v>1.0</v>
      </c>
      <c r="U58" s="13"/>
      <c r="V58" s="13">
        <v>3.0</v>
      </c>
      <c r="W58" s="13">
        <v>2.0</v>
      </c>
      <c r="X58" s="13">
        <v>2.0</v>
      </c>
      <c r="Y58" s="13">
        <v>1.0</v>
      </c>
      <c r="Z58" s="13"/>
      <c r="AA58" s="13">
        <v>3.0</v>
      </c>
      <c r="AB58" s="13">
        <v>1.0</v>
      </c>
      <c r="AC58" s="13"/>
      <c r="AD58" s="13">
        <v>3.0</v>
      </c>
      <c r="AE58" s="13"/>
      <c r="AF58" s="13"/>
    </row>
    <row r="59" ht="15.75" customHeight="1">
      <c r="A59" s="11">
        <v>56.0</v>
      </c>
      <c r="B59" s="11">
        <v>3.0</v>
      </c>
      <c r="C59" s="11" t="s">
        <v>45</v>
      </c>
      <c r="D59" s="11" t="s">
        <v>298</v>
      </c>
      <c r="E59" s="11"/>
      <c r="F59" s="11" t="s">
        <v>299</v>
      </c>
      <c r="G59" s="11" t="s">
        <v>175</v>
      </c>
      <c r="H59" s="11">
        <v>1.0</v>
      </c>
      <c r="I59" s="11">
        <v>2.0</v>
      </c>
      <c r="J59" s="33">
        <v>3.0</v>
      </c>
      <c r="K59" s="33">
        <v>10.0</v>
      </c>
      <c r="L59" s="11"/>
      <c r="M59" s="11"/>
      <c r="N59" s="11">
        <v>5.0</v>
      </c>
      <c r="O59" s="11">
        <v>2.0</v>
      </c>
      <c r="P59" s="11"/>
      <c r="Q59" s="11">
        <v>6.0</v>
      </c>
      <c r="R59" s="11"/>
      <c r="S59" s="11">
        <v>1.0</v>
      </c>
      <c r="T59" s="11">
        <v>1.0</v>
      </c>
      <c r="U59" s="11"/>
      <c r="V59" s="11">
        <v>3.0</v>
      </c>
      <c r="W59" s="11">
        <v>2.0</v>
      </c>
      <c r="X59" s="11">
        <v>2.0</v>
      </c>
      <c r="Y59" s="11">
        <v>1.0</v>
      </c>
      <c r="Z59" s="11"/>
      <c r="AA59" s="11">
        <v>3.0</v>
      </c>
      <c r="AB59" s="11">
        <v>1.0</v>
      </c>
      <c r="AC59" s="11"/>
      <c r="AD59" s="11">
        <v>3.0</v>
      </c>
      <c r="AE59" s="11"/>
      <c r="AF59" s="11"/>
    </row>
    <row r="60" ht="15.75" customHeight="1">
      <c r="A60" s="13">
        <v>57.0</v>
      </c>
      <c r="B60" s="13">
        <v>3.0</v>
      </c>
      <c r="C60" s="13" t="s">
        <v>45</v>
      </c>
      <c r="D60" s="13" t="s">
        <v>300</v>
      </c>
      <c r="E60" s="13"/>
      <c r="F60" s="13" t="s">
        <v>301</v>
      </c>
      <c r="G60" s="13" t="s">
        <v>175</v>
      </c>
      <c r="H60" s="13">
        <v>1.0</v>
      </c>
      <c r="I60" s="13">
        <v>3.0</v>
      </c>
      <c r="J60" s="35">
        <v>4.0</v>
      </c>
      <c r="K60" s="35">
        <v>10.0</v>
      </c>
      <c r="L60" s="13"/>
      <c r="M60" s="13"/>
      <c r="N60" s="13">
        <v>9.0</v>
      </c>
      <c r="O60" s="13">
        <v>3.0</v>
      </c>
      <c r="P60" s="13"/>
      <c r="Q60" s="13">
        <v>7.0</v>
      </c>
      <c r="R60" s="13"/>
      <c r="S60" s="13">
        <v>1.0</v>
      </c>
      <c r="T60" s="13">
        <v>1.0</v>
      </c>
      <c r="U60" s="13"/>
      <c r="V60" s="13">
        <v>4.0</v>
      </c>
      <c r="W60" s="13">
        <v>3.0</v>
      </c>
      <c r="X60" s="13">
        <v>3.0</v>
      </c>
      <c r="Y60" s="13">
        <v>1.0</v>
      </c>
      <c r="Z60" s="13"/>
      <c r="AA60" s="13">
        <v>3.0</v>
      </c>
      <c r="AB60" s="13">
        <v>1.0</v>
      </c>
      <c r="AC60" s="13"/>
      <c r="AD60" s="13">
        <v>4.0</v>
      </c>
      <c r="AE60" s="13"/>
      <c r="AF60" s="13"/>
    </row>
    <row r="61" ht="15.75" customHeight="1">
      <c r="A61" s="11">
        <v>58.0</v>
      </c>
      <c r="B61" s="11">
        <v>3.0</v>
      </c>
      <c r="C61" s="11" t="s">
        <v>45</v>
      </c>
      <c r="D61" s="11" t="s">
        <v>302</v>
      </c>
      <c r="E61" s="11"/>
      <c r="F61" s="11" t="s">
        <v>303</v>
      </c>
      <c r="G61" s="11" t="s">
        <v>175</v>
      </c>
      <c r="H61" s="11">
        <v>1.0</v>
      </c>
      <c r="I61" s="11">
        <v>4.0</v>
      </c>
      <c r="J61" s="33">
        <v>5.0</v>
      </c>
      <c r="K61" s="33">
        <v>10.0</v>
      </c>
      <c r="L61" s="11"/>
      <c r="M61" s="11"/>
      <c r="N61" s="11">
        <v>9.0</v>
      </c>
      <c r="O61" s="11">
        <v>3.0</v>
      </c>
      <c r="P61" s="11"/>
      <c r="Q61" s="11">
        <v>8.0</v>
      </c>
      <c r="R61" s="11"/>
      <c r="S61" s="11">
        <v>1.0</v>
      </c>
      <c r="T61" s="11">
        <v>1.0</v>
      </c>
      <c r="U61" s="11"/>
      <c r="V61" s="11">
        <v>4.0</v>
      </c>
      <c r="W61" s="11">
        <v>3.0</v>
      </c>
      <c r="X61" s="11">
        <v>3.0</v>
      </c>
      <c r="Y61" s="11">
        <v>1.0</v>
      </c>
      <c r="Z61" s="11"/>
      <c r="AA61" s="11">
        <v>3.0</v>
      </c>
      <c r="AB61" s="11">
        <v>1.0</v>
      </c>
      <c r="AC61" s="11"/>
      <c r="AD61" s="11">
        <v>4.0</v>
      </c>
      <c r="AE61" s="11"/>
      <c r="AF61" s="11"/>
    </row>
    <row r="62" ht="15.75" customHeight="1">
      <c r="A62" s="13">
        <v>59.0</v>
      </c>
      <c r="B62" s="13">
        <v>3.0</v>
      </c>
      <c r="C62" s="13" t="s">
        <v>45</v>
      </c>
      <c r="D62" s="13" t="s">
        <v>304</v>
      </c>
      <c r="E62" s="13" t="s">
        <v>305</v>
      </c>
      <c r="F62" s="13" t="s">
        <v>306</v>
      </c>
      <c r="G62" s="13" t="s">
        <v>175</v>
      </c>
      <c r="H62" s="13">
        <v>2.0</v>
      </c>
      <c r="I62" s="13">
        <v>1.0</v>
      </c>
      <c r="J62" s="35">
        <v>2.0</v>
      </c>
      <c r="K62" s="35">
        <v>10.0</v>
      </c>
      <c r="L62" s="13"/>
      <c r="M62" s="13"/>
      <c r="N62" s="13">
        <v>5.0</v>
      </c>
      <c r="O62" s="13">
        <v>2.0</v>
      </c>
      <c r="P62" s="13"/>
      <c r="Q62" s="13">
        <v>4.0</v>
      </c>
      <c r="R62" s="13">
        <v>1.0</v>
      </c>
      <c r="S62" s="13">
        <v>1.0</v>
      </c>
      <c r="T62" s="13">
        <v>2.0</v>
      </c>
      <c r="U62" s="13"/>
      <c r="V62" s="13">
        <v>2.0</v>
      </c>
      <c r="W62" s="13">
        <v>2.0</v>
      </c>
      <c r="X62" s="13">
        <v>2.0</v>
      </c>
      <c r="Y62" s="13">
        <v>1.0</v>
      </c>
      <c r="Z62" s="13"/>
      <c r="AA62" s="13">
        <v>2.0</v>
      </c>
      <c r="AB62" s="13">
        <v>1.0</v>
      </c>
      <c r="AC62" s="13"/>
      <c r="AD62" s="13">
        <v>3.0</v>
      </c>
      <c r="AE62" s="13"/>
      <c r="AF62" s="13"/>
    </row>
    <row r="63" ht="15.75" customHeight="1">
      <c r="A63" s="11">
        <v>60.0</v>
      </c>
      <c r="B63" s="11">
        <v>3.0</v>
      </c>
      <c r="C63" s="11" t="s">
        <v>45</v>
      </c>
      <c r="D63" s="11" t="s">
        <v>307</v>
      </c>
      <c r="E63" s="11"/>
      <c r="F63" s="11" t="s">
        <v>308</v>
      </c>
      <c r="G63" s="11" t="s">
        <v>175</v>
      </c>
      <c r="H63" s="11">
        <v>2.0</v>
      </c>
      <c r="I63" s="11">
        <v>2.0</v>
      </c>
      <c r="J63" s="33">
        <v>3.0</v>
      </c>
      <c r="K63" s="33">
        <v>10.0</v>
      </c>
      <c r="L63" s="11"/>
      <c r="M63" s="11"/>
      <c r="N63" s="11">
        <v>5.0</v>
      </c>
      <c r="O63" s="11">
        <v>2.0</v>
      </c>
      <c r="P63" s="11"/>
      <c r="Q63" s="11">
        <v>5.0</v>
      </c>
      <c r="R63" s="11">
        <v>1.0</v>
      </c>
      <c r="S63" s="11">
        <v>1.0</v>
      </c>
      <c r="T63" s="11">
        <v>2.0</v>
      </c>
      <c r="U63" s="11"/>
      <c r="V63" s="11">
        <v>3.0</v>
      </c>
      <c r="W63" s="11">
        <v>2.0</v>
      </c>
      <c r="X63" s="11">
        <v>2.0</v>
      </c>
      <c r="Y63" s="11">
        <v>1.0</v>
      </c>
      <c r="Z63" s="11"/>
      <c r="AA63" s="11">
        <v>2.0</v>
      </c>
      <c r="AB63" s="11">
        <v>1.0</v>
      </c>
      <c r="AC63" s="11"/>
      <c r="AD63" s="11">
        <v>3.0</v>
      </c>
      <c r="AE63" s="11"/>
      <c r="AF63" s="11"/>
    </row>
    <row r="64" ht="15.75" customHeight="1">
      <c r="A64" s="13">
        <v>61.0</v>
      </c>
      <c r="B64" s="13">
        <v>3.0</v>
      </c>
      <c r="C64" s="13" t="s">
        <v>45</v>
      </c>
      <c r="D64" s="13" t="s">
        <v>309</v>
      </c>
      <c r="E64" s="13"/>
      <c r="F64" s="13" t="s">
        <v>310</v>
      </c>
      <c r="G64" s="13" t="s">
        <v>175</v>
      </c>
      <c r="H64" s="13">
        <v>2.0</v>
      </c>
      <c r="I64" s="13">
        <v>3.0</v>
      </c>
      <c r="J64" s="35">
        <v>4.0</v>
      </c>
      <c r="K64" s="35">
        <v>10.0</v>
      </c>
      <c r="L64" s="13"/>
      <c r="M64" s="13"/>
      <c r="N64" s="13">
        <v>9.0</v>
      </c>
      <c r="O64" s="13">
        <v>3.0</v>
      </c>
      <c r="P64" s="13"/>
      <c r="Q64" s="13">
        <v>6.0</v>
      </c>
      <c r="R64" s="13">
        <v>1.0</v>
      </c>
      <c r="S64" s="13">
        <v>1.0</v>
      </c>
      <c r="T64" s="13">
        <v>2.0</v>
      </c>
      <c r="U64" s="13"/>
      <c r="V64" s="13">
        <v>4.0</v>
      </c>
      <c r="W64" s="13">
        <v>2.0</v>
      </c>
      <c r="X64" s="13">
        <v>3.0</v>
      </c>
      <c r="Y64" s="13">
        <v>1.0</v>
      </c>
      <c r="Z64" s="13"/>
      <c r="AA64" s="13">
        <v>2.0</v>
      </c>
      <c r="AB64" s="13">
        <v>1.0</v>
      </c>
      <c r="AC64" s="13"/>
      <c r="AD64" s="13">
        <v>4.0</v>
      </c>
      <c r="AE64" s="13"/>
      <c r="AF64" s="13"/>
    </row>
    <row r="65" ht="15.75" customHeight="1">
      <c r="A65" s="11">
        <v>62.0</v>
      </c>
      <c r="B65" s="11">
        <v>3.0</v>
      </c>
      <c r="C65" s="11" t="s">
        <v>45</v>
      </c>
      <c r="D65" s="11" t="s">
        <v>311</v>
      </c>
      <c r="E65" s="11"/>
      <c r="F65" s="11" t="s">
        <v>312</v>
      </c>
      <c r="G65" s="11" t="s">
        <v>175</v>
      </c>
      <c r="H65" s="11">
        <v>2.0</v>
      </c>
      <c r="I65" s="11">
        <v>4.0</v>
      </c>
      <c r="J65" s="33">
        <v>5.0</v>
      </c>
      <c r="K65" s="33">
        <v>10.0</v>
      </c>
      <c r="L65" s="11"/>
      <c r="M65" s="11"/>
      <c r="N65" s="11">
        <v>9.0</v>
      </c>
      <c r="O65" s="11">
        <v>3.0</v>
      </c>
      <c r="P65" s="11"/>
      <c r="Q65" s="11">
        <v>7.0</v>
      </c>
      <c r="R65" s="11">
        <v>1.0</v>
      </c>
      <c r="S65" s="11">
        <v>1.0</v>
      </c>
      <c r="T65" s="11">
        <v>2.0</v>
      </c>
      <c r="U65" s="11"/>
      <c r="V65" s="11">
        <v>4.0</v>
      </c>
      <c r="W65" s="11">
        <v>2.0</v>
      </c>
      <c r="X65" s="11">
        <v>3.0</v>
      </c>
      <c r="Y65" s="11">
        <v>1.0</v>
      </c>
      <c r="Z65" s="11"/>
      <c r="AA65" s="11">
        <v>2.0</v>
      </c>
      <c r="AB65" s="11">
        <v>1.0</v>
      </c>
      <c r="AC65" s="11"/>
      <c r="AD65" s="11">
        <v>4.0</v>
      </c>
      <c r="AE65" s="11"/>
      <c r="AF65" s="11"/>
    </row>
    <row r="66" ht="15.75" customHeight="1">
      <c r="A66" s="13">
        <v>63.0</v>
      </c>
      <c r="B66" s="13">
        <v>3.0</v>
      </c>
      <c r="C66" s="13" t="s">
        <v>45</v>
      </c>
      <c r="D66" s="13" t="s">
        <v>313</v>
      </c>
      <c r="E66" s="13" t="s">
        <v>314</v>
      </c>
      <c r="F66" s="13" t="s">
        <v>315</v>
      </c>
      <c r="G66" s="13" t="s">
        <v>175</v>
      </c>
      <c r="H66" s="13">
        <v>3.0</v>
      </c>
      <c r="I66" s="13">
        <v>1.0</v>
      </c>
      <c r="J66" s="35">
        <v>2.0</v>
      </c>
      <c r="K66" s="35">
        <v>10.0</v>
      </c>
      <c r="L66" s="13"/>
      <c r="M66" s="13"/>
      <c r="N66" s="13">
        <v>5.0</v>
      </c>
      <c r="O66" s="13">
        <v>2.0</v>
      </c>
      <c r="P66" s="13"/>
      <c r="Q66" s="13">
        <v>3.0</v>
      </c>
      <c r="R66" s="13">
        <v>1.0</v>
      </c>
      <c r="S66" s="13"/>
      <c r="T66" s="13">
        <v>2.0</v>
      </c>
      <c r="U66" s="13">
        <v>1.0</v>
      </c>
      <c r="V66" s="13">
        <v>2.0</v>
      </c>
      <c r="W66" s="13">
        <v>1.0</v>
      </c>
      <c r="X66" s="13">
        <v>2.0</v>
      </c>
      <c r="Y66" s="13">
        <v>1.0</v>
      </c>
      <c r="Z66" s="13"/>
      <c r="AA66" s="13">
        <v>1.0</v>
      </c>
      <c r="AB66" s="13">
        <v>1.0</v>
      </c>
      <c r="AC66" s="13"/>
      <c r="AD66" s="13"/>
      <c r="AE66" s="13">
        <v>2.0</v>
      </c>
      <c r="AF66" s="13"/>
    </row>
    <row r="67" ht="15.75" customHeight="1">
      <c r="A67" s="11">
        <v>64.0</v>
      </c>
      <c r="B67" s="11">
        <v>3.0</v>
      </c>
      <c r="C67" s="11" t="s">
        <v>45</v>
      </c>
      <c r="D67" s="11" t="s">
        <v>316</v>
      </c>
      <c r="E67" s="11"/>
      <c r="F67" s="11" t="s">
        <v>317</v>
      </c>
      <c r="G67" s="11" t="s">
        <v>175</v>
      </c>
      <c r="H67" s="11">
        <v>3.0</v>
      </c>
      <c r="I67" s="11">
        <v>2.0</v>
      </c>
      <c r="J67" s="33">
        <v>3.0</v>
      </c>
      <c r="K67" s="33">
        <v>10.0</v>
      </c>
      <c r="L67" s="11"/>
      <c r="M67" s="11"/>
      <c r="N67" s="11">
        <v>5.0</v>
      </c>
      <c r="O67" s="11">
        <v>2.0</v>
      </c>
      <c r="P67" s="11"/>
      <c r="Q67" s="11">
        <v>4.0</v>
      </c>
      <c r="R67" s="11">
        <v>1.0</v>
      </c>
      <c r="S67" s="11"/>
      <c r="T67" s="11">
        <v>2.0</v>
      </c>
      <c r="U67" s="11">
        <v>1.0</v>
      </c>
      <c r="V67" s="11">
        <v>2.0</v>
      </c>
      <c r="W67" s="11">
        <v>1.0</v>
      </c>
      <c r="X67" s="11">
        <v>2.0</v>
      </c>
      <c r="Y67" s="11">
        <v>1.0</v>
      </c>
      <c r="Z67" s="11"/>
      <c r="AA67" s="11">
        <v>1.0</v>
      </c>
      <c r="AB67" s="11">
        <v>1.0</v>
      </c>
      <c r="AC67" s="11"/>
      <c r="AD67" s="11"/>
      <c r="AE67" s="11">
        <v>2.0</v>
      </c>
      <c r="AF67" s="11"/>
    </row>
    <row r="68" ht="15.75" customHeight="1">
      <c r="A68" s="13">
        <v>65.0</v>
      </c>
      <c r="B68" s="13">
        <v>3.0</v>
      </c>
      <c r="C68" s="13" t="s">
        <v>45</v>
      </c>
      <c r="D68" s="13" t="s">
        <v>318</v>
      </c>
      <c r="E68" s="13"/>
      <c r="F68" s="13" t="s">
        <v>319</v>
      </c>
      <c r="G68" s="13" t="s">
        <v>175</v>
      </c>
      <c r="H68" s="13">
        <v>3.0</v>
      </c>
      <c r="I68" s="13">
        <v>3.0</v>
      </c>
      <c r="J68" s="35">
        <v>4.0</v>
      </c>
      <c r="K68" s="35">
        <v>10.0</v>
      </c>
      <c r="L68" s="13"/>
      <c r="M68" s="13"/>
      <c r="N68" s="13">
        <v>9.0</v>
      </c>
      <c r="O68" s="13">
        <v>3.0</v>
      </c>
      <c r="P68" s="13"/>
      <c r="Q68" s="13">
        <v>5.0</v>
      </c>
      <c r="R68" s="13">
        <v>1.0</v>
      </c>
      <c r="S68" s="13"/>
      <c r="T68" s="13">
        <v>2.0</v>
      </c>
      <c r="U68" s="13">
        <v>1.0</v>
      </c>
      <c r="V68" s="13">
        <v>3.0</v>
      </c>
      <c r="W68" s="13">
        <v>1.0</v>
      </c>
      <c r="X68" s="13">
        <v>3.0</v>
      </c>
      <c r="Y68" s="13">
        <v>1.0</v>
      </c>
      <c r="Z68" s="13"/>
      <c r="AA68" s="13">
        <v>1.0</v>
      </c>
      <c r="AB68" s="13">
        <v>1.0</v>
      </c>
      <c r="AC68" s="13"/>
      <c r="AD68" s="13"/>
      <c r="AE68" s="13">
        <v>3.0</v>
      </c>
      <c r="AF68" s="13"/>
    </row>
    <row r="69" ht="15.75" customHeight="1">
      <c r="A69" s="11">
        <v>66.0</v>
      </c>
      <c r="B69" s="11">
        <v>3.0</v>
      </c>
      <c r="C69" s="11" t="s">
        <v>45</v>
      </c>
      <c r="D69" s="11" t="s">
        <v>320</v>
      </c>
      <c r="E69" s="11"/>
      <c r="F69" s="11" t="s">
        <v>321</v>
      </c>
      <c r="G69" s="11" t="s">
        <v>175</v>
      </c>
      <c r="H69" s="11">
        <v>3.0</v>
      </c>
      <c r="I69" s="11">
        <v>4.0</v>
      </c>
      <c r="J69" s="33">
        <v>5.0</v>
      </c>
      <c r="K69" s="33">
        <v>10.0</v>
      </c>
      <c r="L69" s="11"/>
      <c r="M69" s="11"/>
      <c r="N69" s="11">
        <v>9.0</v>
      </c>
      <c r="O69" s="11">
        <v>3.0</v>
      </c>
      <c r="P69" s="11"/>
      <c r="Q69" s="11">
        <v>6.0</v>
      </c>
      <c r="R69" s="11">
        <v>1.0</v>
      </c>
      <c r="S69" s="11"/>
      <c r="T69" s="11">
        <v>2.0</v>
      </c>
      <c r="U69" s="11">
        <v>1.0</v>
      </c>
      <c r="V69" s="11">
        <v>3.0</v>
      </c>
      <c r="W69" s="11">
        <v>1.0</v>
      </c>
      <c r="X69" s="11">
        <v>3.0</v>
      </c>
      <c r="Y69" s="11">
        <v>1.0</v>
      </c>
      <c r="Z69" s="11"/>
      <c r="AA69" s="11">
        <v>1.0</v>
      </c>
      <c r="AB69" s="11">
        <v>1.0</v>
      </c>
      <c r="AC69" s="11"/>
      <c r="AD69" s="11"/>
      <c r="AE69" s="11">
        <v>3.0</v>
      </c>
      <c r="AF69" s="11"/>
    </row>
    <row r="70" ht="15.75" customHeight="1">
      <c r="A70" s="13">
        <v>67.0</v>
      </c>
      <c r="B70" s="13">
        <v>3.0</v>
      </c>
      <c r="C70" s="13" t="s">
        <v>45</v>
      </c>
      <c r="D70" s="13" t="s">
        <v>322</v>
      </c>
      <c r="E70" s="13" t="s">
        <v>323</v>
      </c>
      <c r="F70" s="13" t="s">
        <v>324</v>
      </c>
      <c r="G70" s="13" t="s">
        <v>175</v>
      </c>
      <c r="H70" s="13">
        <v>4.0</v>
      </c>
      <c r="I70" s="13">
        <v>1.0</v>
      </c>
      <c r="J70" s="35">
        <v>2.0</v>
      </c>
      <c r="K70" s="35">
        <v>10.0</v>
      </c>
      <c r="L70" s="13"/>
      <c r="M70" s="13"/>
      <c r="N70" s="13">
        <v>7.0</v>
      </c>
      <c r="O70" s="13">
        <v>3.0</v>
      </c>
      <c r="P70" s="13">
        <v>2.0</v>
      </c>
      <c r="Q70" s="13">
        <v>3.0</v>
      </c>
      <c r="R70" s="13">
        <v>2.0</v>
      </c>
      <c r="S70" s="13">
        <v>1.0</v>
      </c>
      <c r="T70" s="13">
        <v>2.0</v>
      </c>
      <c r="U70" s="13">
        <v>3.0</v>
      </c>
      <c r="V70" s="13">
        <v>1.0</v>
      </c>
      <c r="W70" s="13">
        <v>2.0</v>
      </c>
      <c r="X70" s="13">
        <v>2.0</v>
      </c>
      <c r="Y70" s="13">
        <v>2.0</v>
      </c>
      <c r="Z70" s="13"/>
      <c r="AA70" s="13">
        <v>2.0</v>
      </c>
      <c r="AB70" s="13">
        <v>2.0</v>
      </c>
      <c r="AC70" s="13"/>
      <c r="AD70" s="13">
        <v>1.0</v>
      </c>
      <c r="AE70" s="13">
        <v>1.0</v>
      </c>
      <c r="AF70" s="13"/>
    </row>
    <row r="71" ht="15.75" customHeight="1">
      <c r="A71" s="11">
        <v>68.0</v>
      </c>
      <c r="B71" s="11">
        <v>3.0</v>
      </c>
      <c r="C71" s="11" t="s">
        <v>45</v>
      </c>
      <c r="D71" s="11" t="s">
        <v>325</v>
      </c>
      <c r="E71" s="11"/>
      <c r="F71" s="11" t="s">
        <v>326</v>
      </c>
      <c r="G71" s="11" t="s">
        <v>175</v>
      </c>
      <c r="H71" s="11">
        <v>4.0</v>
      </c>
      <c r="I71" s="11">
        <v>2.0</v>
      </c>
      <c r="J71" s="33">
        <v>3.0</v>
      </c>
      <c r="K71" s="33">
        <v>10.0</v>
      </c>
      <c r="L71" s="11"/>
      <c r="M71" s="11"/>
      <c r="N71" s="11">
        <v>7.0</v>
      </c>
      <c r="O71" s="11">
        <v>3.0</v>
      </c>
      <c r="P71" s="11">
        <v>2.0</v>
      </c>
      <c r="Q71" s="11">
        <v>4.0</v>
      </c>
      <c r="R71" s="11">
        <v>2.0</v>
      </c>
      <c r="S71" s="11">
        <v>1.0</v>
      </c>
      <c r="T71" s="11">
        <v>2.0</v>
      </c>
      <c r="U71" s="11">
        <v>3.0</v>
      </c>
      <c r="V71" s="11">
        <v>1.0</v>
      </c>
      <c r="W71" s="11">
        <v>2.0</v>
      </c>
      <c r="X71" s="11">
        <v>2.0</v>
      </c>
      <c r="Y71" s="11">
        <v>2.0</v>
      </c>
      <c r="Z71" s="11"/>
      <c r="AA71" s="11">
        <v>2.0</v>
      </c>
      <c r="AB71" s="11">
        <v>2.0</v>
      </c>
      <c r="AC71" s="11"/>
      <c r="AD71" s="11">
        <v>1.0</v>
      </c>
      <c r="AE71" s="11">
        <v>1.0</v>
      </c>
      <c r="AF71" s="11"/>
    </row>
    <row r="72" ht="15.75" customHeight="1">
      <c r="A72" s="13">
        <v>69.0</v>
      </c>
      <c r="B72" s="13">
        <v>3.0</v>
      </c>
      <c r="C72" s="13" t="s">
        <v>45</v>
      </c>
      <c r="D72" s="13" t="s">
        <v>327</v>
      </c>
      <c r="E72" s="13"/>
      <c r="F72" s="13" t="s">
        <v>328</v>
      </c>
      <c r="G72" s="13" t="s">
        <v>175</v>
      </c>
      <c r="H72" s="13">
        <v>4.0</v>
      </c>
      <c r="I72" s="13">
        <v>3.0</v>
      </c>
      <c r="J72" s="35">
        <v>4.0</v>
      </c>
      <c r="K72" s="35">
        <v>10.0</v>
      </c>
      <c r="L72" s="13"/>
      <c r="M72" s="13"/>
      <c r="N72" s="13">
        <v>11.0</v>
      </c>
      <c r="O72" s="13">
        <v>4.0</v>
      </c>
      <c r="P72" s="13">
        <v>3.0</v>
      </c>
      <c r="Q72" s="13">
        <v>5.0</v>
      </c>
      <c r="R72" s="13">
        <v>2.0</v>
      </c>
      <c r="S72" s="13">
        <v>1.0</v>
      </c>
      <c r="T72" s="13">
        <v>3.0</v>
      </c>
      <c r="U72" s="13">
        <v>3.0</v>
      </c>
      <c r="V72" s="13">
        <v>2.0</v>
      </c>
      <c r="W72" s="13">
        <v>2.0</v>
      </c>
      <c r="X72" s="13">
        <v>2.0</v>
      </c>
      <c r="Y72" s="13">
        <v>2.0</v>
      </c>
      <c r="Z72" s="13"/>
      <c r="AA72" s="13">
        <v>2.0</v>
      </c>
      <c r="AB72" s="13">
        <v>2.0</v>
      </c>
      <c r="AC72" s="13"/>
      <c r="AD72" s="13">
        <v>2.0</v>
      </c>
      <c r="AE72" s="13">
        <v>1.0</v>
      </c>
      <c r="AF72" s="13"/>
    </row>
    <row r="73" ht="15.75" customHeight="1">
      <c r="A73" s="11">
        <v>70.0</v>
      </c>
      <c r="B73" s="11">
        <v>3.0</v>
      </c>
      <c r="C73" s="11" t="s">
        <v>45</v>
      </c>
      <c r="D73" s="11" t="s">
        <v>329</v>
      </c>
      <c r="E73" s="11"/>
      <c r="F73" s="11" t="s">
        <v>330</v>
      </c>
      <c r="G73" s="11" t="s">
        <v>175</v>
      </c>
      <c r="H73" s="11">
        <v>4.0</v>
      </c>
      <c r="I73" s="11">
        <v>4.0</v>
      </c>
      <c r="J73" s="33">
        <v>5.0</v>
      </c>
      <c r="K73" s="33">
        <v>10.0</v>
      </c>
      <c r="L73" s="11"/>
      <c r="M73" s="11"/>
      <c r="N73" s="11">
        <v>11.0</v>
      </c>
      <c r="O73" s="11">
        <v>4.0</v>
      </c>
      <c r="P73" s="11">
        <v>3.0</v>
      </c>
      <c r="Q73" s="11">
        <v>6.0</v>
      </c>
      <c r="R73" s="11">
        <v>2.0</v>
      </c>
      <c r="S73" s="11">
        <v>1.0</v>
      </c>
      <c r="T73" s="11">
        <v>3.0</v>
      </c>
      <c r="U73" s="11">
        <v>3.0</v>
      </c>
      <c r="V73" s="11">
        <v>2.0</v>
      </c>
      <c r="W73" s="11">
        <v>2.0</v>
      </c>
      <c r="X73" s="11">
        <v>2.0</v>
      </c>
      <c r="Y73" s="11">
        <v>2.0</v>
      </c>
      <c r="Z73" s="11"/>
      <c r="AA73" s="11">
        <v>2.0</v>
      </c>
      <c r="AB73" s="11">
        <v>2.0</v>
      </c>
      <c r="AC73" s="11"/>
      <c r="AD73" s="11">
        <v>2.0</v>
      </c>
      <c r="AE73" s="11">
        <v>1.0</v>
      </c>
      <c r="AF73" s="11"/>
    </row>
    <row r="74" ht="15.75" customHeight="1">
      <c r="A74" s="13">
        <v>71.0</v>
      </c>
      <c r="B74" s="13">
        <v>3.0</v>
      </c>
      <c r="C74" s="13" t="s">
        <v>45</v>
      </c>
      <c r="D74" s="13" t="s">
        <v>331</v>
      </c>
      <c r="E74" s="13"/>
      <c r="F74" s="13" t="s">
        <v>332</v>
      </c>
      <c r="G74" s="13" t="s">
        <v>74</v>
      </c>
      <c r="H74" s="13">
        <v>5.0</v>
      </c>
      <c r="I74" s="13">
        <v>5.0</v>
      </c>
      <c r="J74" s="35">
        <v>1.0</v>
      </c>
      <c r="K74" s="35">
        <v>65.0</v>
      </c>
      <c r="L74" s="13"/>
      <c r="M74" s="13"/>
      <c r="N74" s="13">
        <v>28.0</v>
      </c>
      <c r="O74" s="13">
        <v>8.0</v>
      </c>
      <c r="P74" s="13">
        <v>5.0</v>
      </c>
      <c r="Q74" s="13">
        <v>17.0</v>
      </c>
      <c r="R74" s="13">
        <v>3.0</v>
      </c>
      <c r="S74" s="13">
        <v>3.0</v>
      </c>
      <c r="T74" s="13">
        <v>4.0</v>
      </c>
      <c r="U74" s="13">
        <v>4.0</v>
      </c>
      <c r="V74" s="13">
        <v>7.0</v>
      </c>
      <c r="W74" s="13">
        <v>5.0</v>
      </c>
      <c r="X74" s="13">
        <v>4.0</v>
      </c>
      <c r="Y74" s="13">
        <v>4.0</v>
      </c>
      <c r="Z74" s="13"/>
      <c r="AA74" s="13">
        <v>4.0</v>
      </c>
      <c r="AB74" s="13">
        <v>2.0</v>
      </c>
      <c r="AC74" s="13"/>
      <c r="AD74" s="13">
        <v>6.0</v>
      </c>
      <c r="AE74" s="13">
        <v>2.0</v>
      </c>
      <c r="AF74" s="13"/>
    </row>
    <row r="75" ht="15.75" customHeight="1">
      <c r="A75" s="11">
        <v>72.0</v>
      </c>
      <c r="B75" s="11">
        <v>4.0</v>
      </c>
      <c r="C75" s="11" t="s">
        <v>49</v>
      </c>
      <c r="D75" s="11" t="s">
        <v>333</v>
      </c>
      <c r="E75" s="11"/>
      <c r="F75" s="11" t="s">
        <v>334</v>
      </c>
      <c r="G75" s="11" t="s">
        <v>170</v>
      </c>
      <c r="H75" s="11">
        <v>0.0</v>
      </c>
      <c r="I75" s="11">
        <v>0.0</v>
      </c>
      <c r="J75" s="33">
        <v>10.0</v>
      </c>
      <c r="K75" s="33">
        <v>75.0</v>
      </c>
      <c r="L75" s="11"/>
      <c r="M75" s="34" t="s">
        <v>335</v>
      </c>
      <c r="N75" s="11">
        <v>31.0</v>
      </c>
      <c r="O75" s="11">
        <v>5.0</v>
      </c>
      <c r="P75" s="11">
        <v>12.0</v>
      </c>
      <c r="Q75" s="11"/>
      <c r="R75" s="11">
        <v>3.0</v>
      </c>
      <c r="S75" s="11">
        <v>6.0</v>
      </c>
      <c r="T75" s="11">
        <v>2.0</v>
      </c>
      <c r="U75" s="11"/>
      <c r="V75" s="11"/>
      <c r="W75" s="11">
        <v>3.0</v>
      </c>
      <c r="X75" s="11">
        <v>2.0</v>
      </c>
      <c r="Y75" s="11"/>
      <c r="Z75" s="11"/>
      <c r="AA75" s="11"/>
      <c r="AB75" s="11"/>
      <c r="AC75" s="11">
        <v>2.0</v>
      </c>
      <c r="AD75" s="11"/>
      <c r="AE75" s="11"/>
      <c r="AF75" s="11"/>
    </row>
    <row r="76" ht="15.75" customHeight="1">
      <c r="A76" s="13">
        <v>73.0</v>
      </c>
      <c r="B76" s="13">
        <v>4.0</v>
      </c>
      <c r="C76" s="13" t="s">
        <v>49</v>
      </c>
      <c r="D76" s="13" t="s">
        <v>336</v>
      </c>
      <c r="E76" s="13" t="s">
        <v>337</v>
      </c>
      <c r="F76" s="13" t="s">
        <v>338</v>
      </c>
      <c r="G76" s="13" t="s">
        <v>175</v>
      </c>
      <c r="H76" s="13">
        <v>1.0</v>
      </c>
      <c r="I76" s="13">
        <v>1.0</v>
      </c>
      <c r="J76" s="35">
        <v>5.0</v>
      </c>
      <c r="K76" s="35">
        <v>20.0</v>
      </c>
      <c r="L76" s="13"/>
      <c r="M76" s="13"/>
      <c r="N76" s="13">
        <v>23.0</v>
      </c>
      <c r="O76" s="13"/>
      <c r="P76" s="13"/>
      <c r="Q76" s="13"/>
      <c r="R76" s="13"/>
      <c r="S76" s="13">
        <v>6.0</v>
      </c>
      <c r="T76" s="13"/>
      <c r="U76" s="13"/>
      <c r="V76" s="13"/>
      <c r="W76" s="13">
        <v>5.0</v>
      </c>
      <c r="X76" s="13"/>
      <c r="Y76" s="13"/>
      <c r="Z76" s="13"/>
      <c r="AA76" s="13"/>
      <c r="AB76" s="13"/>
      <c r="AC76" s="13">
        <v>2.0</v>
      </c>
      <c r="AD76" s="13">
        <v>2.0</v>
      </c>
      <c r="AE76" s="13"/>
      <c r="AF76" s="13"/>
    </row>
    <row r="77" ht="15.75" customHeight="1">
      <c r="A77" s="11">
        <v>74.0</v>
      </c>
      <c r="B77" s="11">
        <v>4.0</v>
      </c>
      <c r="C77" s="11" t="s">
        <v>49</v>
      </c>
      <c r="D77" s="11" t="s">
        <v>339</v>
      </c>
      <c r="E77" s="11"/>
      <c r="F77" s="11" t="s">
        <v>340</v>
      </c>
      <c r="G77" s="11" t="s">
        <v>175</v>
      </c>
      <c r="H77" s="11">
        <v>1.0</v>
      </c>
      <c r="I77" s="11">
        <v>2.0</v>
      </c>
      <c r="J77" s="33">
        <v>4.0</v>
      </c>
      <c r="K77" s="33">
        <v>20.0</v>
      </c>
      <c r="L77" s="11"/>
      <c r="M77" s="11"/>
      <c r="N77" s="11">
        <v>23.0</v>
      </c>
      <c r="O77" s="11"/>
      <c r="P77" s="11"/>
      <c r="Q77" s="11"/>
      <c r="R77" s="11"/>
      <c r="S77" s="11">
        <v>8.0</v>
      </c>
      <c r="T77" s="11"/>
      <c r="U77" s="11"/>
      <c r="V77" s="11"/>
      <c r="W77" s="11">
        <v>5.0</v>
      </c>
      <c r="X77" s="11"/>
      <c r="Y77" s="11"/>
      <c r="Z77" s="11"/>
      <c r="AA77" s="11"/>
      <c r="AB77" s="11"/>
      <c r="AC77" s="11">
        <v>2.0</v>
      </c>
      <c r="AD77" s="11">
        <v>2.0</v>
      </c>
      <c r="AE77" s="11"/>
      <c r="AF77" s="11"/>
    </row>
    <row r="78" ht="15.75" customHeight="1">
      <c r="A78" s="13">
        <v>75.0</v>
      </c>
      <c r="B78" s="13">
        <v>4.0</v>
      </c>
      <c r="C78" s="13" t="s">
        <v>49</v>
      </c>
      <c r="D78" s="13" t="s">
        <v>341</v>
      </c>
      <c r="E78" s="13"/>
      <c r="F78" s="13" t="s">
        <v>342</v>
      </c>
      <c r="G78" s="13" t="s">
        <v>175</v>
      </c>
      <c r="H78" s="13">
        <v>1.0</v>
      </c>
      <c r="I78" s="13">
        <v>3.0</v>
      </c>
      <c r="J78" s="35">
        <v>3.0</v>
      </c>
      <c r="K78" s="35">
        <v>20.0</v>
      </c>
      <c r="L78" s="13"/>
      <c r="M78" s="13"/>
      <c r="N78" s="13">
        <v>31.0</v>
      </c>
      <c r="O78" s="13"/>
      <c r="P78" s="13"/>
      <c r="Q78" s="13"/>
      <c r="R78" s="13">
        <v>2.0</v>
      </c>
      <c r="S78" s="13">
        <v>8.0</v>
      </c>
      <c r="T78" s="13"/>
      <c r="U78" s="13"/>
      <c r="V78" s="13"/>
      <c r="W78" s="13">
        <v>6.0</v>
      </c>
      <c r="X78" s="13"/>
      <c r="Y78" s="13"/>
      <c r="Z78" s="13"/>
      <c r="AA78" s="13"/>
      <c r="AB78" s="13"/>
      <c r="AC78" s="13">
        <v>2.0</v>
      </c>
      <c r="AD78" s="13">
        <v>3.0</v>
      </c>
      <c r="AE78" s="13"/>
      <c r="AF78" s="13"/>
    </row>
    <row r="79" ht="15.75" customHeight="1">
      <c r="A79" s="11">
        <v>76.0</v>
      </c>
      <c r="B79" s="11">
        <v>4.0</v>
      </c>
      <c r="C79" s="11" t="s">
        <v>49</v>
      </c>
      <c r="D79" s="11" t="s">
        <v>343</v>
      </c>
      <c r="E79" s="11"/>
      <c r="F79" s="11" t="s">
        <v>344</v>
      </c>
      <c r="G79" s="11" t="s">
        <v>175</v>
      </c>
      <c r="H79" s="11">
        <v>1.0</v>
      </c>
      <c r="I79" s="11">
        <v>4.0</v>
      </c>
      <c r="J79" s="33">
        <v>2.0</v>
      </c>
      <c r="K79" s="33">
        <v>20.0</v>
      </c>
      <c r="L79" s="11"/>
      <c r="M79" s="11"/>
      <c r="N79" s="11">
        <v>39.0</v>
      </c>
      <c r="O79" s="11"/>
      <c r="P79" s="11"/>
      <c r="Q79" s="11"/>
      <c r="R79" s="11">
        <v>2.0</v>
      </c>
      <c r="S79" s="11">
        <v>9.0</v>
      </c>
      <c r="T79" s="11"/>
      <c r="U79" s="11"/>
      <c r="V79" s="11"/>
      <c r="W79" s="11">
        <v>6.0</v>
      </c>
      <c r="X79" s="11"/>
      <c r="Y79" s="11"/>
      <c r="Z79" s="11"/>
      <c r="AA79" s="11"/>
      <c r="AB79" s="11"/>
      <c r="AC79" s="11">
        <v>2.0</v>
      </c>
      <c r="AD79" s="11">
        <v>3.0</v>
      </c>
      <c r="AE79" s="11"/>
      <c r="AF79" s="11"/>
    </row>
    <row r="80" ht="15.75" customHeight="1">
      <c r="A80" s="13">
        <v>77.0</v>
      </c>
      <c r="B80" s="13">
        <v>4.0</v>
      </c>
      <c r="C80" s="13" t="s">
        <v>49</v>
      </c>
      <c r="D80" s="13" t="s">
        <v>345</v>
      </c>
      <c r="E80" s="13" t="s">
        <v>346</v>
      </c>
      <c r="F80" s="13" t="s">
        <v>347</v>
      </c>
      <c r="G80" s="13" t="s">
        <v>175</v>
      </c>
      <c r="H80" s="13">
        <v>2.0</v>
      </c>
      <c r="I80" s="13">
        <v>1.0</v>
      </c>
      <c r="J80" s="35">
        <v>5.0</v>
      </c>
      <c r="K80" s="35">
        <v>20.0</v>
      </c>
      <c r="L80" s="13"/>
      <c r="M80" s="13"/>
      <c r="N80" s="13">
        <v>15.0</v>
      </c>
      <c r="O80" s="13"/>
      <c r="P80" s="13"/>
      <c r="Q80" s="13"/>
      <c r="R80" s="13">
        <v>2.0</v>
      </c>
      <c r="S80" s="13">
        <v>3.0</v>
      </c>
      <c r="T80" s="13">
        <v>3.0</v>
      </c>
      <c r="U80" s="13"/>
      <c r="V80" s="13"/>
      <c r="W80" s="13">
        <v>3.0</v>
      </c>
      <c r="X80" s="13">
        <v>3.0</v>
      </c>
      <c r="Y80" s="13"/>
      <c r="Z80" s="13"/>
      <c r="AA80" s="13"/>
      <c r="AB80" s="13"/>
      <c r="AC80" s="13"/>
      <c r="AD80" s="13">
        <v>2.0</v>
      </c>
      <c r="AE80" s="13"/>
      <c r="AF80" s="13"/>
    </row>
    <row r="81" ht="15.75" customHeight="1">
      <c r="A81" s="11">
        <v>78.0</v>
      </c>
      <c r="B81" s="11">
        <v>4.0</v>
      </c>
      <c r="C81" s="11" t="s">
        <v>49</v>
      </c>
      <c r="D81" s="11" t="s">
        <v>348</v>
      </c>
      <c r="E81" s="11"/>
      <c r="F81" s="11" t="s">
        <v>349</v>
      </c>
      <c r="G81" s="11" t="s">
        <v>175</v>
      </c>
      <c r="H81" s="11">
        <v>2.0</v>
      </c>
      <c r="I81" s="11">
        <v>2.0</v>
      </c>
      <c r="J81" s="33">
        <v>4.0</v>
      </c>
      <c r="K81" s="33">
        <v>20.0</v>
      </c>
      <c r="L81" s="11"/>
      <c r="M81" s="11"/>
      <c r="N81" s="11">
        <v>15.0</v>
      </c>
      <c r="O81" s="11"/>
      <c r="P81" s="11"/>
      <c r="Q81" s="11"/>
      <c r="R81" s="11">
        <v>2.0</v>
      </c>
      <c r="S81" s="11">
        <v>5.0</v>
      </c>
      <c r="T81" s="11">
        <v>3.0</v>
      </c>
      <c r="U81" s="11"/>
      <c r="V81" s="11"/>
      <c r="W81" s="11">
        <v>3.0</v>
      </c>
      <c r="X81" s="11">
        <v>3.0</v>
      </c>
      <c r="Y81" s="11">
        <v>2.0</v>
      </c>
      <c r="Z81" s="11"/>
      <c r="AA81" s="11"/>
      <c r="AB81" s="11"/>
      <c r="AC81" s="11"/>
      <c r="AD81" s="11">
        <v>2.0</v>
      </c>
      <c r="AE81" s="11"/>
      <c r="AF81" s="11"/>
    </row>
    <row r="82" ht="15.75" customHeight="1">
      <c r="A82" s="13">
        <v>79.0</v>
      </c>
      <c r="B82" s="13">
        <v>4.0</v>
      </c>
      <c r="C82" s="13" t="s">
        <v>49</v>
      </c>
      <c r="D82" s="13" t="s">
        <v>350</v>
      </c>
      <c r="E82" s="13"/>
      <c r="F82" s="13" t="s">
        <v>351</v>
      </c>
      <c r="G82" s="13" t="s">
        <v>175</v>
      </c>
      <c r="H82" s="13">
        <v>2.0</v>
      </c>
      <c r="I82" s="13">
        <v>3.0</v>
      </c>
      <c r="J82" s="35">
        <v>3.0</v>
      </c>
      <c r="K82" s="35">
        <v>20.0</v>
      </c>
      <c r="L82" s="13"/>
      <c r="M82" s="13"/>
      <c r="N82" s="13">
        <v>23.0</v>
      </c>
      <c r="O82" s="13"/>
      <c r="P82" s="13"/>
      <c r="Q82" s="13"/>
      <c r="R82" s="13">
        <v>2.0</v>
      </c>
      <c r="S82" s="13">
        <v>5.0</v>
      </c>
      <c r="T82" s="13">
        <v>5.0</v>
      </c>
      <c r="U82" s="13"/>
      <c r="V82" s="13"/>
      <c r="W82" s="13">
        <v>5.0</v>
      </c>
      <c r="X82" s="13">
        <v>5.0</v>
      </c>
      <c r="Y82" s="13">
        <v>2.0</v>
      </c>
      <c r="Z82" s="13"/>
      <c r="AA82" s="13"/>
      <c r="AB82" s="13"/>
      <c r="AC82" s="13"/>
      <c r="AD82" s="13">
        <v>2.0</v>
      </c>
      <c r="AE82" s="13"/>
      <c r="AF82" s="13"/>
    </row>
    <row r="83" ht="15.75" customHeight="1">
      <c r="A83" s="11">
        <v>80.0</v>
      </c>
      <c r="B83" s="11">
        <v>4.0</v>
      </c>
      <c r="C83" s="11" t="s">
        <v>49</v>
      </c>
      <c r="D83" s="11" t="s">
        <v>352</v>
      </c>
      <c r="E83" s="11"/>
      <c r="F83" s="11" t="s">
        <v>353</v>
      </c>
      <c r="G83" s="11" t="s">
        <v>175</v>
      </c>
      <c r="H83" s="11">
        <v>2.0</v>
      </c>
      <c r="I83" s="11">
        <v>4.0</v>
      </c>
      <c r="J83" s="33">
        <v>2.0</v>
      </c>
      <c r="K83" s="33">
        <v>20.0</v>
      </c>
      <c r="L83" s="11"/>
      <c r="M83" s="11"/>
      <c r="N83" s="11">
        <v>31.0</v>
      </c>
      <c r="O83" s="11"/>
      <c r="P83" s="11"/>
      <c r="Q83" s="11"/>
      <c r="R83" s="11">
        <v>3.0</v>
      </c>
      <c r="S83" s="11">
        <v>5.0</v>
      </c>
      <c r="T83" s="11">
        <v>5.0</v>
      </c>
      <c r="U83" s="11"/>
      <c r="V83" s="11"/>
      <c r="W83" s="11">
        <v>5.0</v>
      </c>
      <c r="X83" s="11">
        <v>5.0</v>
      </c>
      <c r="Y83" s="11">
        <v>3.0</v>
      </c>
      <c r="Z83" s="11"/>
      <c r="AA83" s="11"/>
      <c r="AB83" s="11"/>
      <c r="AC83" s="11"/>
      <c r="AD83" s="11">
        <v>2.0</v>
      </c>
      <c r="AE83" s="11"/>
      <c r="AF83" s="11"/>
    </row>
    <row r="84" ht="15.75" customHeight="1">
      <c r="A84" s="13">
        <v>81.0</v>
      </c>
      <c r="B84" s="13">
        <v>4.0</v>
      </c>
      <c r="C84" s="13" t="s">
        <v>49</v>
      </c>
      <c r="D84" s="13" t="s">
        <v>354</v>
      </c>
      <c r="E84" s="13" t="s">
        <v>355</v>
      </c>
      <c r="F84" s="13" t="s">
        <v>356</v>
      </c>
      <c r="G84" s="13" t="s">
        <v>175</v>
      </c>
      <c r="H84" s="13">
        <v>3.0</v>
      </c>
      <c r="I84" s="13">
        <v>1.0</v>
      </c>
      <c r="J84" s="35">
        <v>5.0</v>
      </c>
      <c r="K84" s="35">
        <v>20.0</v>
      </c>
      <c r="L84" s="13"/>
      <c r="M84" s="13"/>
      <c r="N84" s="13"/>
      <c r="O84" s="13">
        <v>3.0</v>
      </c>
      <c r="P84" s="13">
        <v>8.0</v>
      </c>
      <c r="Q84" s="13"/>
      <c r="R84" s="13">
        <v>3.0</v>
      </c>
      <c r="S84" s="13"/>
      <c r="T84" s="13">
        <v>5.0</v>
      </c>
      <c r="U84" s="13">
        <v>2.0</v>
      </c>
      <c r="V84" s="13"/>
      <c r="W84" s="13"/>
      <c r="X84" s="13">
        <v>2.0</v>
      </c>
      <c r="Y84" s="13">
        <v>2.0</v>
      </c>
      <c r="Z84" s="13"/>
      <c r="AA84" s="13"/>
      <c r="AB84" s="13">
        <v>3.0</v>
      </c>
      <c r="AC84" s="13"/>
      <c r="AD84" s="13"/>
      <c r="AE84" s="13"/>
      <c r="AF84" s="13"/>
    </row>
    <row r="85" ht="15.75" customHeight="1">
      <c r="A85" s="11">
        <v>82.0</v>
      </c>
      <c r="B85" s="11">
        <v>4.0</v>
      </c>
      <c r="C85" s="11" t="s">
        <v>49</v>
      </c>
      <c r="D85" s="11" t="s">
        <v>357</v>
      </c>
      <c r="E85" s="11"/>
      <c r="F85" s="11" t="s">
        <v>358</v>
      </c>
      <c r="G85" s="11" t="s">
        <v>175</v>
      </c>
      <c r="H85" s="11">
        <v>3.0</v>
      </c>
      <c r="I85" s="11">
        <v>2.0</v>
      </c>
      <c r="J85" s="33">
        <v>4.0</v>
      </c>
      <c r="K85" s="33">
        <v>20.0</v>
      </c>
      <c r="L85" s="11"/>
      <c r="M85" s="11"/>
      <c r="N85" s="11"/>
      <c r="O85" s="11">
        <v>3.0</v>
      </c>
      <c r="P85" s="11">
        <v>9.0</v>
      </c>
      <c r="Q85" s="11"/>
      <c r="R85" s="11">
        <v>3.0</v>
      </c>
      <c r="S85" s="11"/>
      <c r="T85" s="11">
        <v>5.0</v>
      </c>
      <c r="U85" s="11">
        <v>2.0</v>
      </c>
      <c r="V85" s="11"/>
      <c r="W85" s="11"/>
      <c r="X85" s="11">
        <v>2.0</v>
      </c>
      <c r="Y85" s="11">
        <v>2.0</v>
      </c>
      <c r="Z85" s="11"/>
      <c r="AA85" s="11"/>
      <c r="AB85" s="11">
        <v>3.0</v>
      </c>
      <c r="AC85" s="11"/>
      <c r="AD85" s="11"/>
      <c r="AE85" s="11"/>
      <c r="AF85" s="11"/>
    </row>
    <row r="86" ht="15.75" customHeight="1">
      <c r="A86" s="13">
        <v>83.0</v>
      </c>
      <c r="B86" s="13">
        <v>4.0</v>
      </c>
      <c r="C86" s="13" t="s">
        <v>49</v>
      </c>
      <c r="D86" s="13" t="s">
        <v>359</v>
      </c>
      <c r="E86" s="13"/>
      <c r="F86" s="13" t="s">
        <v>360</v>
      </c>
      <c r="G86" s="13" t="s">
        <v>175</v>
      </c>
      <c r="H86" s="13">
        <v>3.0</v>
      </c>
      <c r="I86" s="13">
        <v>3.0</v>
      </c>
      <c r="J86" s="35">
        <v>3.0</v>
      </c>
      <c r="K86" s="35">
        <v>20.0</v>
      </c>
      <c r="L86" s="13"/>
      <c r="M86" s="13"/>
      <c r="N86" s="13">
        <v>8.0</v>
      </c>
      <c r="O86" s="13">
        <v>5.0</v>
      </c>
      <c r="P86" s="13">
        <v>11.0</v>
      </c>
      <c r="Q86" s="13"/>
      <c r="R86" s="13">
        <v>5.0</v>
      </c>
      <c r="S86" s="13">
        <v>2.0</v>
      </c>
      <c r="T86" s="13">
        <v>5.0</v>
      </c>
      <c r="U86" s="13">
        <v>3.0</v>
      </c>
      <c r="V86" s="13"/>
      <c r="W86" s="13">
        <v>2.0</v>
      </c>
      <c r="X86" s="13">
        <v>2.0</v>
      </c>
      <c r="Y86" s="13">
        <v>2.0</v>
      </c>
      <c r="Z86" s="13"/>
      <c r="AA86" s="13"/>
      <c r="AB86" s="13">
        <v>3.0</v>
      </c>
      <c r="AC86" s="13"/>
      <c r="AD86" s="13"/>
      <c r="AE86" s="13"/>
      <c r="AF86" s="13"/>
    </row>
    <row r="87" ht="15.75" customHeight="1">
      <c r="A87" s="11">
        <v>84.0</v>
      </c>
      <c r="B87" s="11">
        <v>4.0</v>
      </c>
      <c r="C87" s="11" t="s">
        <v>49</v>
      </c>
      <c r="D87" s="11" t="s">
        <v>361</v>
      </c>
      <c r="E87" s="11"/>
      <c r="F87" s="11" t="s">
        <v>362</v>
      </c>
      <c r="G87" s="11" t="s">
        <v>175</v>
      </c>
      <c r="H87" s="11">
        <v>3.0</v>
      </c>
      <c r="I87" s="11">
        <v>4.0</v>
      </c>
      <c r="J87" s="33">
        <v>2.0</v>
      </c>
      <c r="K87" s="33">
        <v>20.0</v>
      </c>
      <c r="L87" s="11"/>
      <c r="M87" s="11"/>
      <c r="N87" s="11">
        <v>8.0</v>
      </c>
      <c r="O87" s="11">
        <v>5.0</v>
      </c>
      <c r="P87" s="11">
        <v>12.0</v>
      </c>
      <c r="Q87" s="11"/>
      <c r="R87" s="11">
        <v>6.0</v>
      </c>
      <c r="S87" s="11">
        <v>2.0</v>
      </c>
      <c r="T87" s="11">
        <v>6.0</v>
      </c>
      <c r="U87" s="11">
        <v>3.0</v>
      </c>
      <c r="V87" s="11"/>
      <c r="W87" s="11">
        <v>2.0</v>
      </c>
      <c r="X87" s="11">
        <v>3.0</v>
      </c>
      <c r="Y87" s="11">
        <v>2.0</v>
      </c>
      <c r="Z87" s="11"/>
      <c r="AA87" s="11"/>
      <c r="AB87" s="11">
        <v>3.0</v>
      </c>
      <c r="AC87" s="11"/>
      <c r="AD87" s="11"/>
      <c r="AE87" s="11"/>
      <c r="AF87" s="11"/>
    </row>
    <row r="88" ht="15.75" customHeight="1">
      <c r="A88" s="13">
        <v>85.0</v>
      </c>
      <c r="B88" s="13">
        <v>4.0</v>
      </c>
      <c r="C88" s="13" t="s">
        <v>49</v>
      </c>
      <c r="D88" s="13" t="s">
        <v>363</v>
      </c>
      <c r="E88" s="13" t="s">
        <v>364</v>
      </c>
      <c r="F88" s="13" t="s">
        <v>365</v>
      </c>
      <c r="G88" s="13" t="s">
        <v>175</v>
      </c>
      <c r="H88" s="13">
        <v>4.0</v>
      </c>
      <c r="I88" s="13">
        <v>1.0</v>
      </c>
      <c r="J88" s="35">
        <v>5.0</v>
      </c>
      <c r="K88" s="35">
        <v>20.0</v>
      </c>
      <c r="L88" s="13"/>
      <c r="M88" s="13"/>
      <c r="N88" s="13">
        <v>8.0</v>
      </c>
      <c r="O88" s="13"/>
      <c r="P88" s="13">
        <v>6.0</v>
      </c>
      <c r="Q88" s="13"/>
      <c r="R88" s="13">
        <v>2.0</v>
      </c>
      <c r="S88" s="13">
        <v>3.0</v>
      </c>
      <c r="T88" s="13">
        <v>2.0</v>
      </c>
      <c r="U88" s="13">
        <v>2.0</v>
      </c>
      <c r="V88" s="13"/>
      <c r="W88" s="13">
        <v>3.0</v>
      </c>
      <c r="X88" s="13">
        <v>2.0</v>
      </c>
      <c r="Y88" s="13"/>
      <c r="Z88" s="13"/>
      <c r="AA88" s="13"/>
      <c r="AB88" s="13">
        <v>2.0</v>
      </c>
      <c r="AC88" s="13"/>
      <c r="AD88" s="13"/>
      <c r="AE88" s="13"/>
      <c r="AF88" s="13"/>
    </row>
    <row r="89" ht="15.75" customHeight="1">
      <c r="A89" s="11">
        <v>86.0</v>
      </c>
      <c r="B89" s="11">
        <v>4.0</v>
      </c>
      <c r="C89" s="11" t="s">
        <v>49</v>
      </c>
      <c r="D89" s="11" t="s">
        <v>366</v>
      </c>
      <c r="E89" s="11"/>
      <c r="F89" s="11" t="s">
        <v>367</v>
      </c>
      <c r="G89" s="11" t="s">
        <v>175</v>
      </c>
      <c r="H89" s="11">
        <v>4.0</v>
      </c>
      <c r="I89" s="11">
        <v>2.0</v>
      </c>
      <c r="J89" s="33">
        <v>4.0</v>
      </c>
      <c r="K89" s="33">
        <v>20.0</v>
      </c>
      <c r="L89" s="11"/>
      <c r="M89" s="11"/>
      <c r="N89" s="11">
        <v>8.0</v>
      </c>
      <c r="O89" s="11"/>
      <c r="P89" s="11">
        <v>8.0</v>
      </c>
      <c r="Q89" s="11"/>
      <c r="R89" s="11">
        <v>2.0</v>
      </c>
      <c r="S89" s="11">
        <v>3.0</v>
      </c>
      <c r="T89" s="11">
        <v>2.0</v>
      </c>
      <c r="U89" s="11">
        <v>2.0</v>
      </c>
      <c r="V89" s="11"/>
      <c r="W89" s="11">
        <v>3.0</v>
      </c>
      <c r="X89" s="11">
        <v>2.0</v>
      </c>
      <c r="Y89" s="11">
        <v>2.0</v>
      </c>
      <c r="Z89" s="11"/>
      <c r="AA89" s="11"/>
      <c r="AB89" s="11">
        <v>2.0</v>
      </c>
      <c r="AC89" s="11"/>
      <c r="AD89" s="11"/>
      <c r="AE89" s="11"/>
      <c r="AF89" s="11"/>
    </row>
    <row r="90" ht="15.75" customHeight="1">
      <c r="A90" s="13">
        <v>87.0</v>
      </c>
      <c r="B90" s="13">
        <v>4.0</v>
      </c>
      <c r="C90" s="13" t="s">
        <v>49</v>
      </c>
      <c r="D90" s="13" t="s">
        <v>368</v>
      </c>
      <c r="E90" s="13"/>
      <c r="F90" s="13" t="s">
        <v>369</v>
      </c>
      <c r="G90" s="13" t="s">
        <v>175</v>
      </c>
      <c r="H90" s="13">
        <v>4.0</v>
      </c>
      <c r="I90" s="13">
        <v>3.0</v>
      </c>
      <c r="J90" s="35">
        <v>3.0</v>
      </c>
      <c r="K90" s="35">
        <v>20.0</v>
      </c>
      <c r="L90" s="13"/>
      <c r="M90" s="13"/>
      <c r="N90" s="13">
        <v>15.0</v>
      </c>
      <c r="O90" s="13"/>
      <c r="P90" s="13">
        <v>9.0</v>
      </c>
      <c r="Q90" s="13"/>
      <c r="R90" s="13">
        <v>3.0</v>
      </c>
      <c r="S90" s="13">
        <v>5.0</v>
      </c>
      <c r="T90" s="13">
        <v>2.0</v>
      </c>
      <c r="U90" s="13">
        <v>2.0</v>
      </c>
      <c r="V90" s="13"/>
      <c r="W90" s="13">
        <v>5.0</v>
      </c>
      <c r="X90" s="13">
        <v>2.0</v>
      </c>
      <c r="Y90" s="13">
        <v>2.0</v>
      </c>
      <c r="Z90" s="13"/>
      <c r="AA90" s="13"/>
      <c r="AB90" s="13">
        <v>2.0</v>
      </c>
      <c r="AC90" s="13"/>
      <c r="AD90" s="13"/>
      <c r="AE90" s="13"/>
      <c r="AF90" s="13"/>
    </row>
    <row r="91" ht="15.75" customHeight="1">
      <c r="A91" s="11">
        <v>88.0</v>
      </c>
      <c r="B91" s="11">
        <v>4.0</v>
      </c>
      <c r="C91" s="11" t="s">
        <v>49</v>
      </c>
      <c r="D91" s="11" t="s">
        <v>370</v>
      </c>
      <c r="E91" s="11"/>
      <c r="F91" s="11" t="s">
        <v>371</v>
      </c>
      <c r="G91" s="11" t="s">
        <v>175</v>
      </c>
      <c r="H91" s="11">
        <v>4.0</v>
      </c>
      <c r="I91" s="11">
        <v>4.0</v>
      </c>
      <c r="J91" s="33">
        <v>2.0</v>
      </c>
      <c r="K91" s="33">
        <v>20.0</v>
      </c>
      <c r="L91" s="11"/>
      <c r="M91" s="11"/>
      <c r="N91" s="11">
        <v>15.0</v>
      </c>
      <c r="O91" s="11"/>
      <c r="P91" s="11">
        <v>11.0</v>
      </c>
      <c r="Q91" s="11"/>
      <c r="R91" s="11">
        <v>3.0</v>
      </c>
      <c r="S91" s="11">
        <v>5.0</v>
      </c>
      <c r="T91" s="11">
        <v>3.0</v>
      </c>
      <c r="U91" s="11">
        <v>3.0</v>
      </c>
      <c r="V91" s="11"/>
      <c r="W91" s="11">
        <v>5.0</v>
      </c>
      <c r="X91" s="11">
        <v>2.0</v>
      </c>
      <c r="Y91" s="11">
        <v>2.0</v>
      </c>
      <c r="Z91" s="11"/>
      <c r="AA91" s="11"/>
      <c r="AB91" s="11">
        <v>2.0</v>
      </c>
      <c r="AC91" s="11"/>
      <c r="AD91" s="11"/>
      <c r="AE91" s="11"/>
      <c r="AF91" s="11"/>
    </row>
    <row r="92" ht="15.75" customHeight="1">
      <c r="A92" s="13">
        <v>89.0</v>
      </c>
      <c r="B92" s="13">
        <v>4.0</v>
      </c>
      <c r="C92" s="13" t="s">
        <v>49</v>
      </c>
      <c r="D92" s="13" t="s">
        <v>372</v>
      </c>
      <c r="E92" s="13"/>
      <c r="F92" s="13" t="s">
        <v>373</v>
      </c>
      <c r="G92" s="13" t="s">
        <v>74</v>
      </c>
      <c r="H92" s="13">
        <v>5.0</v>
      </c>
      <c r="I92" s="13">
        <v>5.0</v>
      </c>
      <c r="J92" s="35">
        <v>1.0</v>
      </c>
      <c r="K92" s="35">
        <v>105.0</v>
      </c>
      <c r="L92" s="13"/>
      <c r="M92" s="13"/>
      <c r="N92" s="13">
        <v>54.0</v>
      </c>
      <c r="O92" s="13">
        <v>8.0</v>
      </c>
      <c r="P92" s="13">
        <v>15.0</v>
      </c>
      <c r="Q92" s="13"/>
      <c r="R92" s="13">
        <v>6.0</v>
      </c>
      <c r="S92" s="13">
        <v>14.0</v>
      </c>
      <c r="T92" s="13">
        <v>5.0</v>
      </c>
      <c r="U92" s="13">
        <v>2.0</v>
      </c>
      <c r="V92" s="13"/>
      <c r="W92" s="13">
        <v>9.0</v>
      </c>
      <c r="X92" s="13">
        <v>3.0</v>
      </c>
      <c r="Y92" s="13">
        <v>2.0</v>
      </c>
      <c r="Z92" s="13"/>
      <c r="AA92" s="13"/>
      <c r="AB92" s="13">
        <v>2.0</v>
      </c>
      <c r="AC92" s="13">
        <v>3.0</v>
      </c>
      <c r="AD92" s="13">
        <v>3.0</v>
      </c>
      <c r="AE92" s="13"/>
      <c r="AF92" s="13"/>
    </row>
    <row r="93" ht="15.75" customHeight="1">
      <c r="A93" s="11">
        <v>90.0</v>
      </c>
      <c r="B93" s="11">
        <v>5.0</v>
      </c>
      <c r="C93" s="11" t="s">
        <v>52</v>
      </c>
      <c r="D93" s="11" t="s">
        <v>374</v>
      </c>
      <c r="E93" s="11"/>
      <c r="F93" s="11" t="s">
        <v>169</v>
      </c>
      <c r="G93" s="11" t="s">
        <v>170</v>
      </c>
      <c r="H93" s="11">
        <v>0.0</v>
      </c>
      <c r="I93" s="11">
        <v>0.0</v>
      </c>
      <c r="J93" s="33">
        <v>10.0</v>
      </c>
      <c r="K93" s="33">
        <v>75.0</v>
      </c>
      <c r="L93" s="11"/>
      <c r="M93" s="34" t="s">
        <v>375</v>
      </c>
      <c r="N93" s="11">
        <v>30.0</v>
      </c>
      <c r="O93" s="11">
        <v>8.0</v>
      </c>
      <c r="P93" s="11">
        <v>8.0</v>
      </c>
      <c r="Q93" s="11"/>
      <c r="R93" s="11">
        <v>7.0</v>
      </c>
      <c r="S93" s="11">
        <v>2.0</v>
      </c>
      <c r="T93" s="11">
        <v>3.0</v>
      </c>
      <c r="U93" s="11">
        <v>2.0</v>
      </c>
      <c r="V93" s="11"/>
      <c r="W93" s="11">
        <v>1.0</v>
      </c>
      <c r="X93" s="11">
        <v>1.0</v>
      </c>
      <c r="Y93" s="11"/>
      <c r="Z93" s="11"/>
      <c r="AA93" s="11">
        <v>1.0</v>
      </c>
      <c r="AB93" s="11"/>
      <c r="AC93" s="11"/>
      <c r="AD93" s="11"/>
      <c r="AE93" s="11">
        <v>1.0</v>
      </c>
      <c r="AF93" s="11"/>
    </row>
    <row r="94" ht="15.75" customHeight="1">
      <c r="A94" s="13">
        <v>91.0</v>
      </c>
      <c r="B94" s="13">
        <v>5.0</v>
      </c>
      <c r="C94" s="13" t="s">
        <v>52</v>
      </c>
      <c r="D94" s="13" t="s">
        <v>376</v>
      </c>
      <c r="E94" s="13" t="s">
        <v>377</v>
      </c>
      <c r="F94" s="13" t="s">
        <v>174</v>
      </c>
      <c r="G94" s="13" t="s">
        <v>175</v>
      </c>
      <c r="H94" s="13">
        <v>1.0</v>
      </c>
      <c r="I94" s="13">
        <v>1.0</v>
      </c>
      <c r="J94" s="35">
        <v>5.0</v>
      </c>
      <c r="K94" s="35">
        <v>20.0</v>
      </c>
      <c r="L94" s="13"/>
      <c r="M94" s="13"/>
      <c r="N94" s="13">
        <v>10.0</v>
      </c>
      <c r="O94" s="13">
        <v>3.0</v>
      </c>
      <c r="P94" s="13">
        <v>3.0</v>
      </c>
      <c r="Q94" s="13"/>
      <c r="R94" s="13">
        <v>6.0</v>
      </c>
      <c r="S94" s="13">
        <v>2.0</v>
      </c>
      <c r="T94" s="13">
        <v>3.0</v>
      </c>
      <c r="U94" s="13">
        <v>1.0</v>
      </c>
      <c r="V94" s="13"/>
      <c r="W94" s="13"/>
      <c r="X94" s="13">
        <v>1.0</v>
      </c>
      <c r="Y94" s="13"/>
      <c r="Z94" s="13"/>
      <c r="AA94" s="13"/>
      <c r="AB94" s="13"/>
      <c r="AC94" s="13"/>
      <c r="AD94" s="13"/>
      <c r="AE94" s="13">
        <v>1.0</v>
      </c>
      <c r="AF94" s="13"/>
    </row>
    <row r="95" ht="15.75" customHeight="1">
      <c r="A95" s="11">
        <v>92.0</v>
      </c>
      <c r="B95" s="11">
        <v>5.0</v>
      </c>
      <c r="C95" s="11" t="s">
        <v>52</v>
      </c>
      <c r="D95" s="11" t="s">
        <v>378</v>
      </c>
      <c r="E95" s="11"/>
      <c r="F95" s="11" t="s">
        <v>177</v>
      </c>
      <c r="G95" s="11" t="s">
        <v>175</v>
      </c>
      <c r="H95" s="11">
        <v>1.0</v>
      </c>
      <c r="I95" s="11">
        <v>2.0</v>
      </c>
      <c r="J95" s="33">
        <v>4.0</v>
      </c>
      <c r="K95" s="33">
        <v>20.0</v>
      </c>
      <c r="L95" s="11"/>
      <c r="M95" s="11"/>
      <c r="N95" s="11">
        <v>10.0</v>
      </c>
      <c r="O95" s="11">
        <v>3.0</v>
      </c>
      <c r="P95" s="11">
        <v>3.0</v>
      </c>
      <c r="Q95" s="11"/>
      <c r="R95" s="11">
        <v>6.0</v>
      </c>
      <c r="S95" s="11">
        <v>2.0</v>
      </c>
      <c r="T95" s="11">
        <v>3.0</v>
      </c>
      <c r="U95" s="11">
        <v>1.0</v>
      </c>
      <c r="V95" s="11"/>
      <c r="W95" s="11"/>
      <c r="X95" s="11">
        <v>1.0</v>
      </c>
      <c r="Y95" s="11"/>
      <c r="Z95" s="11"/>
      <c r="AA95" s="11"/>
      <c r="AB95" s="11"/>
      <c r="AC95" s="11"/>
      <c r="AD95" s="11"/>
      <c r="AE95" s="11">
        <v>1.0</v>
      </c>
      <c r="AF95" s="11"/>
    </row>
    <row r="96" ht="15.75" customHeight="1">
      <c r="A96" s="13">
        <v>93.0</v>
      </c>
      <c r="B96" s="13">
        <v>5.0</v>
      </c>
      <c r="C96" s="13" t="s">
        <v>52</v>
      </c>
      <c r="D96" s="13" t="s">
        <v>379</v>
      </c>
      <c r="E96" s="13"/>
      <c r="F96" s="13" t="s">
        <v>179</v>
      </c>
      <c r="G96" s="13" t="s">
        <v>175</v>
      </c>
      <c r="H96" s="13">
        <v>1.0</v>
      </c>
      <c r="I96" s="13">
        <v>3.0</v>
      </c>
      <c r="J96" s="35">
        <v>3.0</v>
      </c>
      <c r="K96" s="35">
        <v>20.0</v>
      </c>
      <c r="L96" s="13"/>
      <c r="M96" s="13"/>
      <c r="N96" s="13">
        <v>16.0</v>
      </c>
      <c r="O96" s="13">
        <v>4.0</v>
      </c>
      <c r="P96" s="13">
        <v>4.0</v>
      </c>
      <c r="Q96" s="13"/>
      <c r="R96" s="13">
        <v>7.0</v>
      </c>
      <c r="S96" s="13">
        <v>2.0</v>
      </c>
      <c r="T96" s="13">
        <v>3.0</v>
      </c>
      <c r="U96" s="13">
        <v>1.0</v>
      </c>
      <c r="V96" s="13"/>
      <c r="W96" s="13"/>
      <c r="X96" s="13">
        <v>1.0</v>
      </c>
      <c r="Y96" s="13"/>
      <c r="Z96" s="13"/>
      <c r="AA96" s="13"/>
      <c r="AB96" s="13"/>
      <c r="AC96" s="13"/>
      <c r="AD96" s="13"/>
      <c r="AE96" s="13">
        <v>1.0</v>
      </c>
      <c r="AF96" s="13"/>
    </row>
    <row r="97" ht="15.75" customHeight="1">
      <c r="A97" s="11">
        <v>94.0</v>
      </c>
      <c r="B97" s="11">
        <v>5.0</v>
      </c>
      <c r="C97" s="11" t="s">
        <v>52</v>
      </c>
      <c r="D97" s="11" t="s">
        <v>380</v>
      </c>
      <c r="E97" s="11"/>
      <c r="F97" s="11" t="s">
        <v>181</v>
      </c>
      <c r="G97" s="11" t="s">
        <v>175</v>
      </c>
      <c r="H97" s="11">
        <v>1.0</v>
      </c>
      <c r="I97" s="11">
        <v>4.0</v>
      </c>
      <c r="J97" s="33">
        <v>2.0</v>
      </c>
      <c r="K97" s="33">
        <v>20.0</v>
      </c>
      <c r="L97" s="11"/>
      <c r="M97" s="11"/>
      <c r="N97" s="11">
        <v>16.0</v>
      </c>
      <c r="O97" s="11">
        <v>4.0</v>
      </c>
      <c r="P97" s="11">
        <v>4.0</v>
      </c>
      <c r="Q97" s="11"/>
      <c r="R97" s="11">
        <v>7.0</v>
      </c>
      <c r="S97" s="11">
        <v>2.0</v>
      </c>
      <c r="T97" s="11">
        <v>3.0</v>
      </c>
      <c r="U97" s="11">
        <v>1.0</v>
      </c>
      <c r="V97" s="11"/>
      <c r="W97" s="11"/>
      <c r="X97" s="11">
        <v>1.0</v>
      </c>
      <c r="Y97" s="11"/>
      <c r="Z97" s="11"/>
      <c r="AA97" s="11"/>
      <c r="AB97" s="11"/>
      <c r="AC97" s="11"/>
      <c r="AD97" s="11"/>
      <c r="AE97" s="11">
        <v>1.0</v>
      </c>
      <c r="AF97" s="11"/>
    </row>
    <row r="98" ht="15.75" customHeight="1">
      <c r="A98" s="13">
        <v>95.0</v>
      </c>
      <c r="B98" s="13">
        <v>5.0</v>
      </c>
      <c r="C98" s="13" t="s">
        <v>52</v>
      </c>
      <c r="D98" s="13" t="s">
        <v>381</v>
      </c>
      <c r="E98" s="13" t="s">
        <v>382</v>
      </c>
      <c r="F98" s="13" t="s">
        <v>184</v>
      </c>
      <c r="G98" s="13" t="s">
        <v>175</v>
      </c>
      <c r="H98" s="13">
        <v>2.0</v>
      </c>
      <c r="I98" s="13">
        <v>1.0</v>
      </c>
      <c r="J98" s="35">
        <v>5.0</v>
      </c>
      <c r="K98" s="35">
        <v>20.0</v>
      </c>
      <c r="L98" s="13"/>
      <c r="M98" s="13"/>
      <c r="N98" s="13">
        <v>8.0</v>
      </c>
      <c r="O98" s="13">
        <v>3.0</v>
      </c>
      <c r="P98" s="13">
        <v>3.0</v>
      </c>
      <c r="Q98" s="13"/>
      <c r="R98" s="13">
        <v>6.0</v>
      </c>
      <c r="S98" s="13">
        <v>1.0</v>
      </c>
      <c r="T98" s="13">
        <v>2.0</v>
      </c>
      <c r="U98" s="13">
        <v>2.0</v>
      </c>
      <c r="V98" s="13"/>
      <c r="W98" s="13">
        <v>1.0</v>
      </c>
      <c r="X98" s="13"/>
      <c r="Y98" s="13"/>
      <c r="Z98" s="13"/>
      <c r="AA98" s="13">
        <v>1.0</v>
      </c>
      <c r="AB98" s="13"/>
      <c r="AC98" s="13"/>
      <c r="AD98" s="13"/>
      <c r="AE98" s="13">
        <v>1.0</v>
      </c>
      <c r="AF98" s="13"/>
    </row>
    <row r="99" ht="15.75" customHeight="1">
      <c r="A99" s="11">
        <v>96.0</v>
      </c>
      <c r="B99" s="11">
        <v>5.0</v>
      </c>
      <c r="C99" s="11" t="s">
        <v>52</v>
      </c>
      <c r="D99" s="11" t="s">
        <v>383</v>
      </c>
      <c r="E99" s="11"/>
      <c r="F99" s="11" t="s">
        <v>186</v>
      </c>
      <c r="G99" s="11" t="s">
        <v>175</v>
      </c>
      <c r="H99" s="11">
        <v>2.0</v>
      </c>
      <c r="I99" s="11">
        <v>2.0</v>
      </c>
      <c r="J99" s="33">
        <v>4.0</v>
      </c>
      <c r="K99" s="33">
        <v>20.0</v>
      </c>
      <c r="L99" s="11"/>
      <c r="M99" s="11"/>
      <c r="N99" s="11">
        <v>8.0</v>
      </c>
      <c r="O99" s="11">
        <v>3.0</v>
      </c>
      <c r="P99" s="11">
        <v>3.0</v>
      </c>
      <c r="Q99" s="11"/>
      <c r="R99" s="11">
        <v>6.0</v>
      </c>
      <c r="S99" s="11">
        <v>1.0</v>
      </c>
      <c r="T99" s="11">
        <v>2.0</v>
      </c>
      <c r="U99" s="11">
        <v>2.0</v>
      </c>
      <c r="V99" s="11"/>
      <c r="W99" s="11">
        <v>1.0</v>
      </c>
      <c r="X99" s="11"/>
      <c r="Y99" s="11"/>
      <c r="Z99" s="11"/>
      <c r="AA99" s="11">
        <v>1.0</v>
      </c>
      <c r="AB99" s="11"/>
      <c r="AC99" s="11"/>
      <c r="AD99" s="11"/>
      <c r="AE99" s="11">
        <v>1.0</v>
      </c>
      <c r="AF99" s="11"/>
    </row>
    <row r="100" ht="15.75" customHeight="1">
      <c r="A100" s="13">
        <v>97.0</v>
      </c>
      <c r="B100" s="13">
        <v>5.0</v>
      </c>
      <c r="C100" s="13" t="s">
        <v>52</v>
      </c>
      <c r="D100" s="13" t="s">
        <v>384</v>
      </c>
      <c r="E100" s="13"/>
      <c r="F100" s="13" t="s">
        <v>188</v>
      </c>
      <c r="G100" s="13" t="s">
        <v>175</v>
      </c>
      <c r="H100" s="13">
        <v>2.0</v>
      </c>
      <c r="I100" s="13">
        <v>3.0</v>
      </c>
      <c r="J100" s="35">
        <v>3.0</v>
      </c>
      <c r="K100" s="35">
        <v>20.0</v>
      </c>
      <c r="L100" s="13"/>
      <c r="M100" s="13"/>
      <c r="N100" s="13">
        <v>12.0</v>
      </c>
      <c r="O100" s="13">
        <v>4.0</v>
      </c>
      <c r="P100" s="13">
        <v>4.0</v>
      </c>
      <c r="Q100" s="13"/>
      <c r="R100" s="13">
        <v>7.0</v>
      </c>
      <c r="S100" s="13">
        <v>2.0</v>
      </c>
      <c r="T100" s="13">
        <v>2.0</v>
      </c>
      <c r="U100" s="13">
        <v>2.0</v>
      </c>
      <c r="V100" s="13"/>
      <c r="W100" s="13">
        <v>1.0</v>
      </c>
      <c r="X100" s="13">
        <v>1.0</v>
      </c>
      <c r="Y100" s="13"/>
      <c r="Z100" s="13"/>
      <c r="AA100" s="13">
        <v>1.0</v>
      </c>
      <c r="AB100" s="13">
        <v>1.0</v>
      </c>
      <c r="AC100" s="13"/>
      <c r="AD100" s="13"/>
      <c r="AE100" s="13">
        <v>1.0</v>
      </c>
      <c r="AF100" s="13"/>
    </row>
    <row r="101" ht="15.75" customHeight="1">
      <c r="A101" s="11">
        <v>98.0</v>
      </c>
      <c r="B101" s="11">
        <v>5.0</v>
      </c>
      <c r="C101" s="11" t="s">
        <v>52</v>
      </c>
      <c r="D101" s="11" t="s">
        <v>385</v>
      </c>
      <c r="E101" s="11"/>
      <c r="F101" s="11" t="s">
        <v>190</v>
      </c>
      <c r="G101" s="11" t="s">
        <v>175</v>
      </c>
      <c r="H101" s="11">
        <v>2.0</v>
      </c>
      <c r="I101" s="11">
        <v>4.0</v>
      </c>
      <c r="J101" s="33">
        <v>2.0</v>
      </c>
      <c r="K101" s="33">
        <v>20.0</v>
      </c>
      <c r="L101" s="11"/>
      <c r="M101" s="11"/>
      <c r="N101" s="11">
        <v>12.0</v>
      </c>
      <c r="O101" s="11">
        <v>4.0</v>
      </c>
      <c r="P101" s="11">
        <v>4.0</v>
      </c>
      <c r="Q101" s="11"/>
      <c r="R101" s="11">
        <v>7.0</v>
      </c>
      <c r="S101" s="11">
        <v>2.0</v>
      </c>
      <c r="T101" s="11">
        <v>2.0</v>
      </c>
      <c r="U101" s="11">
        <v>2.0</v>
      </c>
      <c r="V101" s="11"/>
      <c r="W101" s="11">
        <v>1.0</v>
      </c>
      <c r="X101" s="11">
        <v>1.0</v>
      </c>
      <c r="Y101" s="11"/>
      <c r="Z101" s="11"/>
      <c r="AA101" s="11">
        <v>1.0</v>
      </c>
      <c r="AB101" s="11">
        <v>1.0</v>
      </c>
      <c r="AC101" s="11"/>
      <c r="AD101" s="11"/>
      <c r="AE101" s="11">
        <v>1.0</v>
      </c>
      <c r="AF101" s="11"/>
    </row>
    <row r="102" ht="15.75" customHeight="1">
      <c r="A102" s="13">
        <v>99.0</v>
      </c>
      <c r="B102" s="13">
        <v>5.0</v>
      </c>
      <c r="C102" s="13" t="s">
        <v>52</v>
      </c>
      <c r="D102" s="13" t="s">
        <v>386</v>
      </c>
      <c r="E102" s="13" t="s">
        <v>387</v>
      </c>
      <c r="F102" s="13" t="s">
        <v>193</v>
      </c>
      <c r="G102" s="13" t="s">
        <v>175</v>
      </c>
      <c r="H102" s="13">
        <v>3.0</v>
      </c>
      <c r="I102" s="13">
        <v>1.0</v>
      </c>
      <c r="J102" s="35">
        <v>5.0</v>
      </c>
      <c r="K102" s="35">
        <v>20.0</v>
      </c>
      <c r="L102" s="13"/>
      <c r="M102" s="13"/>
      <c r="N102" s="13">
        <v>10.0</v>
      </c>
      <c r="O102" s="13">
        <v>3.0</v>
      </c>
      <c r="P102" s="13">
        <v>3.0</v>
      </c>
      <c r="Q102" s="13"/>
      <c r="R102" s="13">
        <v>6.0</v>
      </c>
      <c r="S102" s="13">
        <v>2.0</v>
      </c>
      <c r="T102" s="13">
        <v>3.0</v>
      </c>
      <c r="U102" s="13">
        <v>1.0</v>
      </c>
      <c r="V102" s="13"/>
      <c r="W102" s="13"/>
      <c r="X102" s="13">
        <v>1.0</v>
      </c>
      <c r="Y102" s="13"/>
      <c r="Z102" s="13"/>
      <c r="AA102" s="13"/>
      <c r="AB102" s="13">
        <v>1.0</v>
      </c>
      <c r="AC102" s="13"/>
      <c r="AD102" s="13"/>
      <c r="AE102" s="13">
        <v>1.0</v>
      </c>
      <c r="AF102" s="13"/>
    </row>
    <row r="103" ht="15.75" customHeight="1">
      <c r="A103" s="11">
        <v>100.0</v>
      </c>
      <c r="B103" s="11">
        <v>5.0</v>
      </c>
      <c r="C103" s="11" t="s">
        <v>52</v>
      </c>
      <c r="D103" s="11" t="s">
        <v>388</v>
      </c>
      <c r="E103" s="11"/>
      <c r="F103" s="11" t="s">
        <v>195</v>
      </c>
      <c r="G103" s="11" t="s">
        <v>175</v>
      </c>
      <c r="H103" s="11">
        <v>3.0</v>
      </c>
      <c r="I103" s="11">
        <v>2.0</v>
      </c>
      <c r="J103" s="33">
        <v>4.0</v>
      </c>
      <c r="K103" s="33">
        <v>20.0</v>
      </c>
      <c r="L103" s="11"/>
      <c r="M103" s="11"/>
      <c r="N103" s="11">
        <v>10.0</v>
      </c>
      <c r="O103" s="11">
        <v>3.0</v>
      </c>
      <c r="P103" s="11">
        <v>3.0</v>
      </c>
      <c r="Q103" s="11"/>
      <c r="R103" s="11">
        <v>6.0</v>
      </c>
      <c r="S103" s="11">
        <v>2.0</v>
      </c>
      <c r="T103" s="11">
        <v>3.0</v>
      </c>
      <c r="U103" s="11">
        <v>1.0</v>
      </c>
      <c r="V103" s="11"/>
      <c r="W103" s="11"/>
      <c r="X103" s="11">
        <v>1.0</v>
      </c>
      <c r="Y103" s="11"/>
      <c r="Z103" s="11"/>
      <c r="AA103" s="11"/>
      <c r="AB103" s="11">
        <v>1.0</v>
      </c>
      <c r="AC103" s="11"/>
      <c r="AD103" s="11"/>
      <c r="AE103" s="11">
        <v>1.0</v>
      </c>
      <c r="AF103" s="11"/>
    </row>
    <row r="104" ht="15.75" customHeight="1">
      <c r="A104" s="13">
        <v>101.0</v>
      </c>
      <c r="B104" s="13">
        <v>5.0</v>
      </c>
      <c r="C104" s="13" t="s">
        <v>52</v>
      </c>
      <c r="D104" s="13" t="s">
        <v>389</v>
      </c>
      <c r="E104" s="13"/>
      <c r="F104" s="13" t="s">
        <v>197</v>
      </c>
      <c r="G104" s="13" t="s">
        <v>175</v>
      </c>
      <c r="H104" s="13">
        <v>3.0</v>
      </c>
      <c r="I104" s="13">
        <v>3.0</v>
      </c>
      <c r="J104" s="35">
        <v>3.0</v>
      </c>
      <c r="K104" s="35">
        <v>20.0</v>
      </c>
      <c r="L104" s="13"/>
      <c r="M104" s="13"/>
      <c r="N104" s="13">
        <v>14.0</v>
      </c>
      <c r="O104" s="13">
        <v>4.0</v>
      </c>
      <c r="P104" s="13">
        <v>4.0</v>
      </c>
      <c r="Q104" s="13"/>
      <c r="R104" s="13">
        <v>7.0</v>
      </c>
      <c r="S104" s="13">
        <v>2.0</v>
      </c>
      <c r="T104" s="13">
        <v>3.0</v>
      </c>
      <c r="U104" s="13">
        <v>1.0</v>
      </c>
      <c r="V104" s="13"/>
      <c r="W104" s="13"/>
      <c r="X104" s="13">
        <v>1.0</v>
      </c>
      <c r="Y104" s="13"/>
      <c r="Z104" s="13"/>
      <c r="AA104" s="13"/>
      <c r="AB104" s="13">
        <v>1.0</v>
      </c>
      <c r="AC104" s="13"/>
      <c r="AD104" s="13"/>
      <c r="AE104" s="13">
        <v>1.0</v>
      </c>
      <c r="AF104" s="13"/>
    </row>
    <row r="105" ht="15.75" customHeight="1">
      <c r="A105" s="11">
        <v>102.0</v>
      </c>
      <c r="B105" s="11">
        <v>5.0</v>
      </c>
      <c r="C105" s="11" t="s">
        <v>52</v>
      </c>
      <c r="D105" s="11" t="s">
        <v>390</v>
      </c>
      <c r="E105" s="11"/>
      <c r="F105" s="11" t="s">
        <v>199</v>
      </c>
      <c r="G105" s="11" t="s">
        <v>175</v>
      </c>
      <c r="H105" s="11">
        <v>3.0</v>
      </c>
      <c r="I105" s="11">
        <v>4.0</v>
      </c>
      <c r="J105" s="33">
        <v>2.0</v>
      </c>
      <c r="K105" s="33">
        <v>20.0</v>
      </c>
      <c r="L105" s="11"/>
      <c r="M105" s="11"/>
      <c r="N105" s="11">
        <v>14.0</v>
      </c>
      <c r="O105" s="11">
        <v>4.0</v>
      </c>
      <c r="P105" s="11">
        <v>4.0</v>
      </c>
      <c r="Q105" s="11"/>
      <c r="R105" s="11">
        <v>7.0</v>
      </c>
      <c r="S105" s="11">
        <v>2.0</v>
      </c>
      <c r="T105" s="11">
        <v>3.0</v>
      </c>
      <c r="U105" s="11">
        <v>1.0</v>
      </c>
      <c r="V105" s="11"/>
      <c r="W105" s="11"/>
      <c r="X105" s="11">
        <v>1.0</v>
      </c>
      <c r="Y105" s="11"/>
      <c r="Z105" s="11"/>
      <c r="AA105" s="11"/>
      <c r="AB105" s="11">
        <v>1.0</v>
      </c>
      <c r="AC105" s="11"/>
      <c r="AD105" s="11"/>
      <c r="AE105" s="11">
        <v>1.0</v>
      </c>
      <c r="AF105" s="11"/>
    </row>
    <row r="106" ht="15.75" customHeight="1">
      <c r="A106" s="13">
        <v>103.0</v>
      </c>
      <c r="B106" s="13">
        <v>5.0</v>
      </c>
      <c r="C106" s="13" t="s">
        <v>52</v>
      </c>
      <c r="D106" s="13" t="s">
        <v>391</v>
      </c>
      <c r="E106" s="13" t="s">
        <v>392</v>
      </c>
      <c r="F106" s="13" t="s">
        <v>202</v>
      </c>
      <c r="G106" s="13" t="s">
        <v>175</v>
      </c>
      <c r="H106" s="13">
        <v>4.0</v>
      </c>
      <c r="I106" s="13">
        <v>1.0</v>
      </c>
      <c r="J106" s="35">
        <v>5.0</v>
      </c>
      <c r="K106" s="35">
        <v>20.0</v>
      </c>
      <c r="L106" s="13"/>
      <c r="M106" s="13"/>
      <c r="N106" s="13">
        <v>8.0</v>
      </c>
      <c r="O106" s="13">
        <v>3.0</v>
      </c>
      <c r="P106" s="13">
        <v>3.0</v>
      </c>
      <c r="Q106" s="13"/>
      <c r="R106" s="13">
        <v>5.0</v>
      </c>
      <c r="S106" s="13">
        <v>2.0</v>
      </c>
      <c r="T106" s="13">
        <v>2.0</v>
      </c>
      <c r="U106" s="13">
        <v>2.0</v>
      </c>
      <c r="V106" s="13"/>
      <c r="W106" s="13">
        <v>1.0</v>
      </c>
      <c r="X106" s="13">
        <v>1.0</v>
      </c>
      <c r="Y106" s="13">
        <v>1.0</v>
      </c>
      <c r="Z106" s="13"/>
      <c r="AA106" s="13">
        <v>1.0</v>
      </c>
      <c r="AB106" s="13">
        <v>1.0</v>
      </c>
      <c r="AC106" s="13"/>
      <c r="AD106" s="13"/>
      <c r="AE106" s="13">
        <v>1.0</v>
      </c>
      <c r="AF106" s="13"/>
    </row>
    <row r="107" ht="15.75" customHeight="1">
      <c r="A107" s="11">
        <v>104.0</v>
      </c>
      <c r="B107" s="11">
        <v>5.0</v>
      </c>
      <c r="C107" s="11" t="s">
        <v>52</v>
      </c>
      <c r="D107" s="11" t="s">
        <v>393</v>
      </c>
      <c r="E107" s="11"/>
      <c r="F107" s="11" t="s">
        <v>204</v>
      </c>
      <c r="G107" s="11" t="s">
        <v>175</v>
      </c>
      <c r="H107" s="11">
        <v>4.0</v>
      </c>
      <c r="I107" s="11">
        <v>2.0</v>
      </c>
      <c r="J107" s="33">
        <v>4.0</v>
      </c>
      <c r="K107" s="33">
        <v>20.0</v>
      </c>
      <c r="L107" s="11"/>
      <c r="M107" s="11"/>
      <c r="N107" s="11">
        <v>8.0</v>
      </c>
      <c r="O107" s="11">
        <v>3.0</v>
      </c>
      <c r="P107" s="11">
        <v>3.0</v>
      </c>
      <c r="Q107" s="11"/>
      <c r="R107" s="11">
        <v>5.0</v>
      </c>
      <c r="S107" s="11">
        <v>2.0</v>
      </c>
      <c r="T107" s="11">
        <v>2.0</v>
      </c>
      <c r="U107" s="11">
        <v>2.0</v>
      </c>
      <c r="V107" s="11"/>
      <c r="W107" s="11">
        <v>1.0</v>
      </c>
      <c r="X107" s="11">
        <v>1.0</v>
      </c>
      <c r="Y107" s="11">
        <v>1.0</v>
      </c>
      <c r="Z107" s="11"/>
      <c r="AA107" s="11">
        <v>1.0</v>
      </c>
      <c r="AB107" s="11">
        <v>1.0</v>
      </c>
      <c r="AC107" s="11"/>
      <c r="AD107" s="11"/>
      <c r="AE107" s="11">
        <v>1.0</v>
      </c>
      <c r="AF107" s="11"/>
    </row>
    <row r="108" ht="15.75" customHeight="1">
      <c r="A108" s="13">
        <v>105.0</v>
      </c>
      <c r="B108" s="13">
        <v>5.0</v>
      </c>
      <c r="C108" s="13" t="s">
        <v>52</v>
      </c>
      <c r="D108" s="13" t="s">
        <v>394</v>
      </c>
      <c r="E108" s="13"/>
      <c r="F108" s="13" t="s">
        <v>206</v>
      </c>
      <c r="G108" s="13" t="s">
        <v>175</v>
      </c>
      <c r="H108" s="13">
        <v>4.0</v>
      </c>
      <c r="I108" s="13">
        <v>3.0</v>
      </c>
      <c r="J108" s="35">
        <v>3.0</v>
      </c>
      <c r="K108" s="35">
        <v>20.0</v>
      </c>
      <c r="L108" s="13"/>
      <c r="M108" s="13"/>
      <c r="N108" s="13">
        <v>12.0</v>
      </c>
      <c r="O108" s="13">
        <v>4.0</v>
      </c>
      <c r="P108" s="13">
        <v>4.0</v>
      </c>
      <c r="Q108" s="13"/>
      <c r="R108" s="13">
        <v>6.0</v>
      </c>
      <c r="S108" s="13">
        <v>2.0</v>
      </c>
      <c r="T108" s="13">
        <v>2.0</v>
      </c>
      <c r="U108" s="13">
        <v>2.0</v>
      </c>
      <c r="V108" s="13"/>
      <c r="W108" s="13">
        <v>1.0</v>
      </c>
      <c r="X108" s="13">
        <v>1.0</v>
      </c>
      <c r="Y108" s="13">
        <v>1.0</v>
      </c>
      <c r="Z108" s="13"/>
      <c r="AA108" s="13">
        <v>1.0</v>
      </c>
      <c r="AB108" s="13">
        <v>1.0</v>
      </c>
      <c r="AC108" s="13"/>
      <c r="AD108" s="13"/>
      <c r="AE108" s="13">
        <v>1.0</v>
      </c>
      <c r="AF108" s="13"/>
    </row>
    <row r="109" ht="15.75" customHeight="1">
      <c r="A109" s="11">
        <v>106.0</v>
      </c>
      <c r="B109" s="11">
        <v>5.0</v>
      </c>
      <c r="C109" s="11" t="s">
        <v>52</v>
      </c>
      <c r="D109" s="11" t="s">
        <v>395</v>
      </c>
      <c r="E109" s="11"/>
      <c r="F109" s="11" t="s">
        <v>208</v>
      </c>
      <c r="G109" s="11" t="s">
        <v>175</v>
      </c>
      <c r="H109" s="11">
        <v>4.0</v>
      </c>
      <c r="I109" s="11">
        <v>4.0</v>
      </c>
      <c r="J109" s="33">
        <v>2.0</v>
      </c>
      <c r="K109" s="33">
        <v>20.0</v>
      </c>
      <c r="L109" s="11"/>
      <c r="M109" s="11"/>
      <c r="N109" s="11">
        <v>12.0</v>
      </c>
      <c r="O109" s="11">
        <v>4.0</v>
      </c>
      <c r="P109" s="11">
        <v>4.0</v>
      </c>
      <c r="Q109" s="11"/>
      <c r="R109" s="11">
        <v>6.0</v>
      </c>
      <c r="S109" s="11">
        <v>2.0</v>
      </c>
      <c r="T109" s="11">
        <v>2.0</v>
      </c>
      <c r="U109" s="11">
        <v>2.0</v>
      </c>
      <c r="V109" s="11"/>
      <c r="W109" s="11">
        <v>1.0</v>
      </c>
      <c r="X109" s="11">
        <v>1.0</v>
      </c>
      <c r="Y109" s="11">
        <v>1.0</v>
      </c>
      <c r="Z109" s="11"/>
      <c r="AA109" s="11">
        <v>1.0</v>
      </c>
      <c r="AB109" s="11">
        <v>1.0</v>
      </c>
      <c r="AC109" s="11"/>
      <c r="AD109" s="11"/>
      <c r="AE109" s="11">
        <v>1.0</v>
      </c>
      <c r="AF109" s="11"/>
    </row>
    <row r="110" ht="15.75" customHeight="1">
      <c r="A110" s="13">
        <v>107.0</v>
      </c>
      <c r="B110" s="13">
        <v>5.0</v>
      </c>
      <c r="C110" s="13" t="s">
        <v>52</v>
      </c>
      <c r="D110" s="13" t="s">
        <v>396</v>
      </c>
      <c r="E110" s="13"/>
      <c r="F110" s="13" t="s">
        <v>210</v>
      </c>
      <c r="G110" s="13" t="s">
        <v>74</v>
      </c>
      <c r="H110" s="13">
        <v>5.0</v>
      </c>
      <c r="I110" s="13">
        <v>5.0</v>
      </c>
      <c r="J110" s="35">
        <v>1.0</v>
      </c>
      <c r="K110" s="35">
        <v>105.0</v>
      </c>
      <c r="L110" s="13"/>
      <c r="M110" s="13"/>
      <c r="N110" s="13">
        <v>34.0</v>
      </c>
      <c r="O110" s="13">
        <v>9.0</v>
      </c>
      <c r="P110" s="13">
        <v>8.0</v>
      </c>
      <c r="Q110" s="13"/>
      <c r="R110" s="13">
        <v>10.0</v>
      </c>
      <c r="S110" s="13">
        <v>3.0</v>
      </c>
      <c r="T110" s="13">
        <v>4.0</v>
      </c>
      <c r="U110" s="13">
        <v>2.0</v>
      </c>
      <c r="V110" s="13"/>
      <c r="W110" s="13">
        <v>2.0</v>
      </c>
      <c r="X110" s="13">
        <v>2.0</v>
      </c>
      <c r="Y110" s="13">
        <v>1.0</v>
      </c>
      <c r="Z110" s="13"/>
      <c r="AA110" s="13">
        <v>2.0</v>
      </c>
      <c r="AB110" s="13">
        <v>1.0</v>
      </c>
      <c r="AC110" s="13"/>
      <c r="AD110" s="13"/>
      <c r="AE110" s="13">
        <v>2.0</v>
      </c>
      <c r="AF110" s="13"/>
    </row>
    <row r="111" ht="15.75" customHeight="1">
      <c r="A111" s="11">
        <v>108.0</v>
      </c>
      <c r="B111" s="11">
        <v>6.0</v>
      </c>
      <c r="C111" s="11" t="s">
        <v>55</v>
      </c>
      <c r="D111" s="11" t="s">
        <v>397</v>
      </c>
      <c r="E111" s="11"/>
      <c r="F111" s="11" t="s">
        <v>398</v>
      </c>
      <c r="G111" s="11" t="s">
        <v>170</v>
      </c>
      <c r="H111" s="11">
        <v>0.0</v>
      </c>
      <c r="I111" s="11">
        <v>0.0</v>
      </c>
      <c r="J111" s="33">
        <v>10.0</v>
      </c>
      <c r="K111" s="33">
        <v>75.0</v>
      </c>
      <c r="L111" s="11"/>
      <c r="M111" s="34" t="s">
        <v>399</v>
      </c>
      <c r="N111" s="11">
        <v>22.0</v>
      </c>
      <c r="O111" s="11">
        <v>6.0</v>
      </c>
      <c r="P111" s="11">
        <v>6.0</v>
      </c>
      <c r="Q111" s="11">
        <v>8.0</v>
      </c>
      <c r="R111" s="11">
        <v>4.0</v>
      </c>
      <c r="S111" s="11">
        <v>2.0</v>
      </c>
      <c r="T111" s="11">
        <v>3.0</v>
      </c>
      <c r="U111" s="11">
        <v>2.0</v>
      </c>
      <c r="V111" s="11">
        <v>4.0</v>
      </c>
      <c r="W111" s="11">
        <v>3.0</v>
      </c>
      <c r="X111" s="11">
        <v>3.0</v>
      </c>
      <c r="Y111" s="11">
        <v>2.0</v>
      </c>
      <c r="Z111" s="11">
        <v>1.0</v>
      </c>
      <c r="AA111" s="11">
        <v>2.0</v>
      </c>
      <c r="AB111" s="11">
        <v>1.0</v>
      </c>
      <c r="AC111" s="11"/>
      <c r="AD111" s="11">
        <v>2.0</v>
      </c>
      <c r="AE111" s="11">
        <v>3.0</v>
      </c>
      <c r="AF111" s="11"/>
    </row>
    <row r="112" ht="15.75" customHeight="1">
      <c r="A112" s="13">
        <v>109.0</v>
      </c>
      <c r="B112" s="13">
        <v>6.0</v>
      </c>
      <c r="C112" s="13" t="s">
        <v>55</v>
      </c>
      <c r="D112" s="13" t="s">
        <v>400</v>
      </c>
      <c r="E112" s="13" t="s">
        <v>401</v>
      </c>
      <c r="F112" s="13" t="s">
        <v>402</v>
      </c>
      <c r="G112" s="13" t="s">
        <v>175</v>
      </c>
      <c r="H112" s="13">
        <v>1.0</v>
      </c>
      <c r="I112" s="13">
        <v>1.0</v>
      </c>
      <c r="J112" s="35">
        <v>5.0</v>
      </c>
      <c r="K112" s="35">
        <v>20.0</v>
      </c>
      <c r="L112" s="13"/>
      <c r="M112" s="13"/>
      <c r="N112" s="13">
        <v>6.0</v>
      </c>
      <c r="O112" s="13">
        <v>2.0</v>
      </c>
      <c r="P112" s="13"/>
      <c r="Q112" s="13">
        <v>4.0</v>
      </c>
      <c r="R112" s="13">
        <v>2.0</v>
      </c>
      <c r="S112" s="13"/>
      <c r="T112" s="13">
        <v>2.0</v>
      </c>
      <c r="U112" s="13">
        <v>1.0</v>
      </c>
      <c r="V112" s="13">
        <v>3.0</v>
      </c>
      <c r="W112" s="13">
        <v>1.0</v>
      </c>
      <c r="X112" s="13">
        <v>2.0</v>
      </c>
      <c r="Y112" s="13">
        <v>1.0</v>
      </c>
      <c r="Z112" s="13"/>
      <c r="AA112" s="13">
        <v>1.0</v>
      </c>
      <c r="AB112" s="13">
        <v>1.0</v>
      </c>
      <c r="AC112" s="13"/>
      <c r="AD112" s="13"/>
      <c r="AE112" s="13">
        <v>2.0</v>
      </c>
      <c r="AF112" s="13"/>
    </row>
    <row r="113" ht="15.75" customHeight="1">
      <c r="A113" s="11">
        <v>110.0</v>
      </c>
      <c r="B113" s="11">
        <v>6.0</v>
      </c>
      <c r="C113" s="11" t="s">
        <v>55</v>
      </c>
      <c r="D113" s="11" t="s">
        <v>403</v>
      </c>
      <c r="E113" s="11"/>
      <c r="F113" s="11" t="s">
        <v>404</v>
      </c>
      <c r="G113" s="11" t="s">
        <v>175</v>
      </c>
      <c r="H113" s="11">
        <v>1.0</v>
      </c>
      <c r="I113" s="11">
        <v>2.0</v>
      </c>
      <c r="J113" s="33">
        <v>4.0</v>
      </c>
      <c r="K113" s="33">
        <v>20.0</v>
      </c>
      <c r="L113" s="11"/>
      <c r="M113" s="11"/>
      <c r="N113" s="11">
        <v>6.0</v>
      </c>
      <c r="O113" s="11">
        <v>2.0</v>
      </c>
      <c r="P113" s="11"/>
      <c r="Q113" s="11">
        <v>4.0</v>
      </c>
      <c r="R113" s="11">
        <v>2.0</v>
      </c>
      <c r="S113" s="11"/>
      <c r="T113" s="11">
        <v>2.0</v>
      </c>
      <c r="U113" s="11">
        <v>1.0</v>
      </c>
      <c r="V113" s="11">
        <v>3.0</v>
      </c>
      <c r="W113" s="11">
        <v>1.0</v>
      </c>
      <c r="X113" s="11">
        <v>2.0</v>
      </c>
      <c r="Y113" s="11">
        <v>1.0</v>
      </c>
      <c r="Z113" s="11"/>
      <c r="AA113" s="11">
        <v>1.0</v>
      </c>
      <c r="AB113" s="11">
        <v>1.0</v>
      </c>
      <c r="AC113" s="11"/>
      <c r="AD113" s="11"/>
      <c r="AE113" s="11">
        <v>2.0</v>
      </c>
      <c r="AF113" s="11"/>
    </row>
    <row r="114" ht="15.75" customHeight="1">
      <c r="A114" s="13">
        <v>111.0</v>
      </c>
      <c r="B114" s="13">
        <v>6.0</v>
      </c>
      <c r="C114" s="13" t="s">
        <v>55</v>
      </c>
      <c r="D114" s="13" t="s">
        <v>405</v>
      </c>
      <c r="E114" s="13"/>
      <c r="F114" s="13" t="s">
        <v>406</v>
      </c>
      <c r="G114" s="13" t="s">
        <v>175</v>
      </c>
      <c r="H114" s="13">
        <v>1.0</v>
      </c>
      <c r="I114" s="13">
        <v>3.0</v>
      </c>
      <c r="J114" s="35">
        <v>3.0</v>
      </c>
      <c r="K114" s="35">
        <v>20.0</v>
      </c>
      <c r="L114" s="13"/>
      <c r="M114" s="13"/>
      <c r="N114" s="13">
        <v>10.0</v>
      </c>
      <c r="O114" s="13">
        <v>3.0</v>
      </c>
      <c r="P114" s="13"/>
      <c r="Q114" s="13">
        <v>5.0</v>
      </c>
      <c r="R114" s="13">
        <v>2.0</v>
      </c>
      <c r="S114" s="13"/>
      <c r="T114" s="13">
        <v>2.0</v>
      </c>
      <c r="U114" s="13">
        <v>1.0</v>
      </c>
      <c r="V114" s="13">
        <v>4.0</v>
      </c>
      <c r="W114" s="13">
        <v>1.0</v>
      </c>
      <c r="X114" s="13">
        <v>2.0</v>
      </c>
      <c r="Y114" s="13">
        <v>1.0</v>
      </c>
      <c r="Z114" s="13"/>
      <c r="AA114" s="13">
        <v>1.0</v>
      </c>
      <c r="AB114" s="13">
        <v>2.0</v>
      </c>
      <c r="AC114" s="13"/>
      <c r="AD114" s="13"/>
      <c r="AE114" s="13">
        <v>2.0</v>
      </c>
      <c r="AF114" s="13"/>
    </row>
    <row r="115" ht="15.75" customHeight="1">
      <c r="A115" s="11">
        <v>112.0</v>
      </c>
      <c r="B115" s="11">
        <v>6.0</v>
      </c>
      <c r="C115" s="11" t="s">
        <v>55</v>
      </c>
      <c r="D115" s="11" t="s">
        <v>407</v>
      </c>
      <c r="E115" s="11"/>
      <c r="F115" s="11" t="s">
        <v>408</v>
      </c>
      <c r="G115" s="11" t="s">
        <v>175</v>
      </c>
      <c r="H115" s="11">
        <v>1.0</v>
      </c>
      <c r="I115" s="11">
        <v>4.0</v>
      </c>
      <c r="J115" s="33">
        <v>2.0</v>
      </c>
      <c r="K115" s="33">
        <v>20.0</v>
      </c>
      <c r="L115" s="11"/>
      <c r="M115" s="11"/>
      <c r="N115" s="11">
        <v>10.0</v>
      </c>
      <c r="O115" s="11">
        <v>3.0</v>
      </c>
      <c r="P115" s="11"/>
      <c r="Q115" s="11">
        <v>5.0</v>
      </c>
      <c r="R115" s="11">
        <v>2.0</v>
      </c>
      <c r="S115" s="11"/>
      <c r="T115" s="11">
        <v>2.0</v>
      </c>
      <c r="U115" s="11">
        <v>1.0</v>
      </c>
      <c r="V115" s="11">
        <v>4.0</v>
      </c>
      <c r="W115" s="11">
        <v>1.0</v>
      </c>
      <c r="X115" s="11">
        <v>2.0</v>
      </c>
      <c r="Y115" s="11">
        <v>1.0</v>
      </c>
      <c r="Z115" s="11"/>
      <c r="AA115" s="11">
        <v>1.0</v>
      </c>
      <c r="AB115" s="11">
        <v>2.0</v>
      </c>
      <c r="AC115" s="11"/>
      <c r="AD115" s="11"/>
      <c r="AE115" s="11">
        <v>2.0</v>
      </c>
      <c r="AF115" s="11"/>
    </row>
    <row r="116" ht="15.75" customHeight="1">
      <c r="A116" s="13">
        <v>113.0</v>
      </c>
      <c r="B116" s="13">
        <v>6.0</v>
      </c>
      <c r="C116" s="13" t="s">
        <v>55</v>
      </c>
      <c r="D116" s="13" t="s">
        <v>409</v>
      </c>
      <c r="E116" s="13" t="s">
        <v>410</v>
      </c>
      <c r="F116" s="13" t="s">
        <v>411</v>
      </c>
      <c r="G116" s="13" t="s">
        <v>175</v>
      </c>
      <c r="H116" s="13">
        <v>2.0</v>
      </c>
      <c r="I116" s="13">
        <v>1.0</v>
      </c>
      <c r="J116" s="35">
        <v>5.0</v>
      </c>
      <c r="K116" s="35">
        <v>20.0</v>
      </c>
      <c r="L116" s="13"/>
      <c r="M116" s="13"/>
      <c r="N116" s="13">
        <v>6.0</v>
      </c>
      <c r="O116" s="13">
        <v>2.0</v>
      </c>
      <c r="P116" s="13"/>
      <c r="Q116" s="13">
        <v>5.0</v>
      </c>
      <c r="R116" s="13">
        <v>1.0</v>
      </c>
      <c r="S116" s="13"/>
      <c r="T116" s="13">
        <v>2.0</v>
      </c>
      <c r="U116" s="13">
        <v>1.0</v>
      </c>
      <c r="V116" s="13">
        <v>2.0</v>
      </c>
      <c r="W116" s="13">
        <v>1.0</v>
      </c>
      <c r="X116" s="13">
        <v>3.0</v>
      </c>
      <c r="Y116" s="13">
        <v>2.0</v>
      </c>
      <c r="Z116" s="13"/>
      <c r="AA116" s="13">
        <v>1.0</v>
      </c>
      <c r="AB116" s="13">
        <v>1.0</v>
      </c>
      <c r="AC116" s="13"/>
      <c r="AD116" s="13"/>
      <c r="AE116" s="13">
        <v>3.0</v>
      </c>
      <c r="AF116" s="13"/>
    </row>
    <row r="117" ht="15.75" customHeight="1">
      <c r="A117" s="11">
        <v>114.0</v>
      </c>
      <c r="B117" s="11">
        <v>6.0</v>
      </c>
      <c r="C117" s="11" t="s">
        <v>55</v>
      </c>
      <c r="D117" s="11" t="s">
        <v>412</v>
      </c>
      <c r="E117" s="11"/>
      <c r="F117" s="11" t="s">
        <v>413</v>
      </c>
      <c r="G117" s="11" t="s">
        <v>175</v>
      </c>
      <c r="H117" s="11">
        <v>2.0</v>
      </c>
      <c r="I117" s="11">
        <v>2.0</v>
      </c>
      <c r="J117" s="33">
        <v>4.0</v>
      </c>
      <c r="K117" s="33">
        <v>20.0</v>
      </c>
      <c r="L117" s="11"/>
      <c r="M117" s="11"/>
      <c r="N117" s="11">
        <v>6.0</v>
      </c>
      <c r="O117" s="11">
        <v>2.0</v>
      </c>
      <c r="P117" s="11"/>
      <c r="Q117" s="11">
        <v>5.0</v>
      </c>
      <c r="R117" s="11">
        <v>1.0</v>
      </c>
      <c r="S117" s="11"/>
      <c r="T117" s="11">
        <v>2.0</v>
      </c>
      <c r="U117" s="11">
        <v>1.0</v>
      </c>
      <c r="V117" s="11">
        <v>2.0</v>
      </c>
      <c r="W117" s="11">
        <v>1.0</v>
      </c>
      <c r="X117" s="11">
        <v>3.0</v>
      </c>
      <c r="Y117" s="11">
        <v>2.0</v>
      </c>
      <c r="Z117" s="11"/>
      <c r="AA117" s="11">
        <v>1.0</v>
      </c>
      <c r="AB117" s="11">
        <v>1.0</v>
      </c>
      <c r="AC117" s="11"/>
      <c r="AD117" s="11"/>
      <c r="AE117" s="11">
        <v>3.0</v>
      </c>
      <c r="AF117" s="11"/>
    </row>
    <row r="118" ht="15.75" customHeight="1">
      <c r="A118" s="13">
        <v>115.0</v>
      </c>
      <c r="B118" s="13">
        <v>6.0</v>
      </c>
      <c r="C118" s="13" t="s">
        <v>55</v>
      </c>
      <c r="D118" s="13" t="s">
        <v>414</v>
      </c>
      <c r="E118" s="13"/>
      <c r="F118" s="13" t="s">
        <v>415</v>
      </c>
      <c r="G118" s="13" t="s">
        <v>175</v>
      </c>
      <c r="H118" s="13">
        <v>2.0</v>
      </c>
      <c r="I118" s="13">
        <v>3.0</v>
      </c>
      <c r="J118" s="35">
        <v>3.0</v>
      </c>
      <c r="K118" s="35">
        <v>20.0</v>
      </c>
      <c r="L118" s="13"/>
      <c r="M118" s="13"/>
      <c r="N118" s="13">
        <v>10.0</v>
      </c>
      <c r="O118" s="13">
        <v>3.0</v>
      </c>
      <c r="P118" s="13"/>
      <c r="Q118" s="13">
        <v>6.0</v>
      </c>
      <c r="R118" s="13">
        <v>2.0</v>
      </c>
      <c r="S118" s="13">
        <v>1.0</v>
      </c>
      <c r="T118" s="13">
        <v>2.0</v>
      </c>
      <c r="U118" s="13">
        <v>1.0</v>
      </c>
      <c r="V118" s="13">
        <v>3.0</v>
      </c>
      <c r="W118" s="13">
        <v>2.0</v>
      </c>
      <c r="X118" s="13">
        <v>3.0</v>
      </c>
      <c r="Y118" s="13">
        <v>2.0</v>
      </c>
      <c r="Z118" s="13"/>
      <c r="AA118" s="13">
        <v>1.0</v>
      </c>
      <c r="AB118" s="13">
        <v>1.0</v>
      </c>
      <c r="AC118" s="13"/>
      <c r="AD118" s="13"/>
      <c r="AE118" s="13">
        <v>3.0</v>
      </c>
      <c r="AF118" s="13"/>
    </row>
    <row r="119" ht="15.75" customHeight="1">
      <c r="A119" s="11">
        <v>116.0</v>
      </c>
      <c r="B119" s="11">
        <v>6.0</v>
      </c>
      <c r="C119" s="11" t="s">
        <v>55</v>
      </c>
      <c r="D119" s="11" t="s">
        <v>416</v>
      </c>
      <c r="E119" s="11"/>
      <c r="F119" s="11" t="s">
        <v>417</v>
      </c>
      <c r="G119" s="11" t="s">
        <v>175</v>
      </c>
      <c r="H119" s="11">
        <v>2.0</v>
      </c>
      <c r="I119" s="11">
        <v>4.0</v>
      </c>
      <c r="J119" s="33">
        <v>2.0</v>
      </c>
      <c r="K119" s="33">
        <v>20.0</v>
      </c>
      <c r="L119" s="11"/>
      <c r="M119" s="11"/>
      <c r="N119" s="11">
        <v>10.0</v>
      </c>
      <c r="O119" s="11">
        <v>3.0</v>
      </c>
      <c r="P119" s="11"/>
      <c r="Q119" s="11">
        <v>6.0</v>
      </c>
      <c r="R119" s="11">
        <v>2.0</v>
      </c>
      <c r="S119" s="11">
        <v>1.0</v>
      </c>
      <c r="T119" s="11">
        <v>2.0</v>
      </c>
      <c r="U119" s="11">
        <v>1.0</v>
      </c>
      <c r="V119" s="11">
        <v>3.0</v>
      </c>
      <c r="W119" s="11">
        <v>2.0</v>
      </c>
      <c r="X119" s="11">
        <v>3.0</v>
      </c>
      <c r="Y119" s="11">
        <v>2.0</v>
      </c>
      <c r="Z119" s="11"/>
      <c r="AA119" s="11">
        <v>1.0</v>
      </c>
      <c r="AB119" s="11">
        <v>1.0</v>
      </c>
      <c r="AC119" s="11"/>
      <c r="AD119" s="11"/>
      <c r="AE119" s="11">
        <v>3.0</v>
      </c>
      <c r="AF119" s="11"/>
    </row>
    <row r="120" ht="15.75" customHeight="1">
      <c r="A120" s="13">
        <v>117.0</v>
      </c>
      <c r="B120" s="13">
        <v>6.0</v>
      </c>
      <c r="C120" s="13" t="s">
        <v>55</v>
      </c>
      <c r="D120" s="13" t="s">
        <v>418</v>
      </c>
      <c r="E120" s="13" t="s">
        <v>419</v>
      </c>
      <c r="F120" s="13" t="s">
        <v>420</v>
      </c>
      <c r="G120" s="13" t="s">
        <v>175</v>
      </c>
      <c r="H120" s="13">
        <v>3.0</v>
      </c>
      <c r="I120" s="13">
        <v>1.0</v>
      </c>
      <c r="J120" s="35">
        <v>5.0</v>
      </c>
      <c r="K120" s="35">
        <v>20.0</v>
      </c>
      <c r="L120" s="13"/>
      <c r="M120" s="13"/>
      <c r="N120" s="13">
        <v>6.0</v>
      </c>
      <c r="O120" s="13">
        <v>2.0</v>
      </c>
      <c r="P120" s="13"/>
      <c r="Q120" s="13">
        <v>4.0</v>
      </c>
      <c r="R120" s="13">
        <v>2.0</v>
      </c>
      <c r="S120" s="13">
        <v>1.0</v>
      </c>
      <c r="T120" s="13">
        <v>2.0</v>
      </c>
      <c r="U120" s="13">
        <v>1.0</v>
      </c>
      <c r="V120" s="13">
        <v>1.0</v>
      </c>
      <c r="W120" s="13">
        <v>1.0</v>
      </c>
      <c r="X120" s="13">
        <v>2.0</v>
      </c>
      <c r="Y120" s="13">
        <v>1.0</v>
      </c>
      <c r="Z120" s="13">
        <v>1.0</v>
      </c>
      <c r="AA120" s="13">
        <v>1.0</v>
      </c>
      <c r="AB120" s="13">
        <v>1.0</v>
      </c>
      <c r="AC120" s="13">
        <v>1.0</v>
      </c>
      <c r="AD120" s="13">
        <v>1.0</v>
      </c>
      <c r="AE120" s="13">
        <v>1.0</v>
      </c>
      <c r="AF120" s="13"/>
    </row>
    <row r="121" ht="15.75" customHeight="1">
      <c r="A121" s="11">
        <v>118.0</v>
      </c>
      <c r="B121" s="11">
        <v>6.0</v>
      </c>
      <c r="C121" s="11" t="s">
        <v>55</v>
      </c>
      <c r="D121" s="11" t="s">
        <v>421</v>
      </c>
      <c r="E121" s="11"/>
      <c r="F121" s="11" t="s">
        <v>422</v>
      </c>
      <c r="G121" s="11" t="s">
        <v>175</v>
      </c>
      <c r="H121" s="11">
        <v>3.0</v>
      </c>
      <c r="I121" s="11">
        <v>2.0</v>
      </c>
      <c r="J121" s="33">
        <v>4.0</v>
      </c>
      <c r="K121" s="33">
        <v>20.0</v>
      </c>
      <c r="L121" s="11"/>
      <c r="M121" s="11"/>
      <c r="N121" s="11">
        <v>6.0</v>
      </c>
      <c r="O121" s="11">
        <v>2.0</v>
      </c>
      <c r="P121" s="11"/>
      <c r="Q121" s="11">
        <v>4.0</v>
      </c>
      <c r="R121" s="11">
        <v>2.0</v>
      </c>
      <c r="S121" s="11">
        <v>1.0</v>
      </c>
      <c r="T121" s="11">
        <v>2.0</v>
      </c>
      <c r="U121" s="11">
        <v>1.0</v>
      </c>
      <c r="V121" s="11">
        <v>1.0</v>
      </c>
      <c r="W121" s="11">
        <v>1.0</v>
      </c>
      <c r="X121" s="11">
        <v>2.0</v>
      </c>
      <c r="Y121" s="11">
        <v>1.0</v>
      </c>
      <c r="Z121" s="11">
        <v>1.0</v>
      </c>
      <c r="AA121" s="11">
        <v>1.0</v>
      </c>
      <c r="AB121" s="11">
        <v>1.0</v>
      </c>
      <c r="AC121" s="11">
        <v>1.0</v>
      </c>
      <c r="AD121" s="11">
        <v>1.0</v>
      </c>
      <c r="AE121" s="11">
        <v>1.0</v>
      </c>
      <c r="AF121" s="11"/>
    </row>
    <row r="122" ht="15.75" customHeight="1">
      <c r="A122" s="13">
        <v>119.0</v>
      </c>
      <c r="B122" s="13">
        <v>6.0</v>
      </c>
      <c r="C122" s="13" t="s">
        <v>55</v>
      </c>
      <c r="D122" s="13" t="s">
        <v>423</v>
      </c>
      <c r="E122" s="13"/>
      <c r="F122" s="13" t="s">
        <v>424</v>
      </c>
      <c r="G122" s="13" t="s">
        <v>175</v>
      </c>
      <c r="H122" s="13">
        <v>3.0</v>
      </c>
      <c r="I122" s="13">
        <v>3.0</v>
      </c>
      <c r="J122" s="35">
        <v>3.0</v>
      </c>
      <c r="K122" s="35">
        <v>20.0</v>
      </c>
      <c r="L122" s="13"/>
      <c r="M122" s="13"/>
      <c r="N122" s="13">
        <v>10.0</v>
      </c>
      <c r="O122" s="13">
        <v>3.0</v>
      </c>
      <c r="P122" s="13"/>
      <c r="Q122" s="13">
        <v>5.0</v>
      </c>
      <c r="R122" s="13">
        <v>3.0</v>
      </c>
      <c r="S122" s="13">
        <v>1.0</v>
      </c>
      <c r="T122" s="13">
        <v>2.0</v>
      </c>
      <c r="U122" s="13">
        <v>1.0</v>
      </c>
      <c r="V122" s="13">
        <v>2.0</v>
      </c>
      <c r="W122" s="13">
        <v>1.0</v>
      </c>
      <c r="X122" s="13">
        <v>2.0</v>
      </c>
      <c r="Y122" s="13">
        <v>1.0</v>
      </c>
      <c r="Z122" s="13">
        <v>1.0</v>
      </c>
      <c r="AA122" s="13">
        <v>1.0</v>
      </c>
      <c r="AB122" s="13">
        <v>1.0</v>
      </c>
      <c r="AC122" s="13">
        <v>1.0</v>
      </c>
      <c r="AD122" s="13">
        <v>2.0</v>
      </c>
      <c r="AE122" s="13">
        <v>2.0</v>
      </c>
      <c r="AF122" s="13"/>
    </row>
    <row r="123" ht="15.75" customHeight="1">
      <c r="A123" s="11">
        <v>120.0</v>
      </c>
      <c r="B123" s="11">
        <v>6.0</v>
      </c>
      <c r="C123" s="11" t="s">
        <v>55</v>
      </c>
      <c r="D123" s="11" t="s">
        <v>425</v>
      </c>
      <c r="E123" s="11"/>
      <c r="F123" s="11" t="s">
        <v>426</v>
      </c>
      <c r="G123" s="11" t="s">
        <v>175</v>
      </c>
      <c r="H123" s="11">
        <v>3.0</v>
      </c>
      <c r="I123" s="11">
        <v>4.0</v>
      </c>
      <c r="J123" s="33">
        <v>2.0</v>
      </c>
      <c r="K123" s="33">
        <v>20.0</v>
      </c>
      <c r="L123" s="11"/>
      <c r="M123" s="11"/>
      <c r="N123" s="11">
        <v>10.0</v>
      </c>
      <c r="O123" s="11">
        <v>3.0</v>
      </c>
      <c r="P123" s="11"/>
      <c r="Q123" s="11">
        <v>5.0</v>
      </c>
      <c r="R123" s="11">
        <v>3.0</v>
      </c>
      <c r="S123" s="11">
        <v>1.0</v>
      </c>
      <c r="T123" s="11">
        <v>2.0</v>
      </c>
      <c r="U123" s="11">
        <v>1.0</v>
      </c>
      <c r="V123" s="11">
        <v>2.0</v>
      </c>
      <c r="W123" s="11">
        <v>1.0</v>
      </c>
      <c r="X123" s="11">
        <v>2.0</v>
      </c>
      <c r="Y123" s="11">
        <v>1.0</v>
      </c>
      <c r="Z123" s="11">
        <v>1.0</v>
      </c>
      <c r="AA123" s="11">
        <v>1.0</v>
      </c>
      <c r="AB123" s="11">
        <v>1.0</v>
      </c>
      <c r="AC123" s="11">
        <v>1.0</v>
      </c>
      <c r="AD123" s="11">
        <v>2.0</v>
      </c>
      <c r="AE123" s="11">
        <v>2.0</v>
      </c>
      <c r="AF123" s="11"/>
    </row>
    <row r="124" ht="15.75" customHeight="1">
      <c r="A124" s="13">
        <v>121.0</v>
      </c>
      <c r="B124" s="13">
        <v>6.0</v>
      </c>
      <c r="C124" s="13" t="s">
        <v>55</v>
      </c>
      <c r="D124" s="13" t="s">
        <v>427</v>
      </c>
      <c r="E124" s="13" t="s">
        <v>428</v>
      </c>
      <c r="F124" s="13" t="s">
        <v>429</v>
      </c>
      <c r="G124" s="13" t="s">
        <v>175</v>
      </c>
      <c r="H124" s="13">
        <v>4.0</v>
      </c>
      <c r="I124" s="13">
        <v>1.0</v>
      </c>
      <c r="J124" s="35">
        <v>5.0</v>
      </c>
      <c r="K124" s="35">
        <v>20.0</v>
      </c>
      <c r="L124" s="13"/>
      <c r="M124" s="13"/>
      <c r="N124" s="13">
        <v>6.0</v>
      </c>
      <c r="O124" s="13">
        <v>2.0</v>
      </c>
      <c r="P124" s="13">
        <v>2.0</v>
      </c>
      <c r="Q124" s="13"/>
      <c r="R124" s="13">
        <v>3.0</v>
      </c>
      <c r="S124" s="13">
        <v>1.0</v>
      </c>
      <c r="T124" s="13">
        <v>3.0</v>
      </c>
      <c r="U124" s="13">
        <v>2.0</v>
      </c>
      <c r="V124" s="13">
        <v>1.0</v>
      </c>
      <c r="W124" s="13">
        <v>1.0</v>
      </c>
      <c r="X124" s="13">
        <v>1.0</v>
      </c>
      <c r="Y124" s="13">
        <v>1.0</v>
      </c>
      <c r="Z124" s="13"/>
      <c r="AA124" s="13">
        <v>1.0</v>
      </c>
      <c r="AB124" s="13">
        <v>1.0</v>
      </c>
      <c r="AC124" s="13"/>
      <c r="AD124" s="13">
        <v>1.0</v>
      </c>
      <c r="AE124" s="13">
        <v>1.0</v>
      </c>
      <c r="AF124" s="13"/>
    </row>
    <row r="125" ht="15.75" customHeight="1">
      <c r="A125" s="11">
        <v>122.0</v>
      </c>
      <c r="B125" s="11">
        <v>6.0</v>
      </c>
      <c r="C125" s="11" t="s">
        <v>55</v>
      </c>
      <c r="D125" s="11" t="s">
        <v>430</v>
      </c>
      <c r="E125" s="11"/>
      <c r="F125" s="11" t="s">
        <v>431</v>
      </c>
      <c r="G125" s="11" t="s">
        <v>175</v>
      </c>
      <c r="H125" s="11">
        <v>4.0</v>
      </c>
      <c r="I125" s="11">
        <v>2.0</v>
      </c>
      <c r="J125" s="33">
        <v>4.0</v>
      </c>
      <c r="K125" s="33">
        <v>20.0</v>
      </c>
      <c r="L125" s="11"/>
      <c r="M125" s="11"/>
      <c r="N125" s="11">
        <v>6.0</v>
      </c>
      <c r="O125" s="11">
        <v>2.0</v>
      </c>
      <c r="P125" s="11">
        <v>2.0</v>
      </c>
      <c r="Q125" s="11"/>
      <c r="R125" s="11">
        <v>3.0</v>
      </c>
      <c r="S125" s="11">
        <v>1.0</v>
      </c>
      <c r="T125" s="11">
        <v>3.0</v>
      </c>
      <c r="U125" s="11">
        <v>2.0</v>
      </c>
      <c r="V125" s="11">
        <v>1.0</v>
      </c>
      <c r="W125" s="11">
        <v>1.0</v>
      </c>
      <c r="X125" s="11">
        <v>1.0</v>
      </c>
      <c r="Y125" s="11">
        <v>1.0</v>
      </c>
      <c r="Z125" s="11"/>
      <c r="AA125" s="11">
        <v>1.0</v>
      </c>
      <c r="AB125" s="11">
        <v>1.0</v>
      </c>
      <c r="AC125" s="11"/>
      <c r="AD125" s="11">
        <v>1.0</v>
      </c>
      <c r="AE125" s="11">
        <v>1.0</v>
      </c>
      <c r="AF125" s="11"/>
    </row>
    <row r="126" ht="15.75" customHeight="1">
      <c r="A126" s="13">
        <v>123.0</v>
      </c>
      <c r="B126" s="13">
        <v>6.0</v>
      </c>
      <c r="C126" s="13" t="s">
        <v>55</v>
      </c>
      <c r="D126" s="13" t="s">
        <v>432</v>
      </c>
      <c r="E126" s="13"/>
      <c r="F126" s="13" t="s">
        <v>433</v>
      </c>
      <c r="G126" s="13" t="s">
        <v>175</v>
      </c>
      <c r="H126" s="13">
        <v>4.0</v>
      </c>
      <c r="I126" s="13">
        <v>3.0</v>
      </c>
      <c r="J126" s="35">
        <v>3.0</v>
      </c>
      <c r="K126" s="35">
        <v>20.0</v>
      </c>
      <c r="L126" s="13"/>
      <c r="M126" s="13"/>
      <c r="N126" s="13">
        <v>10.0</v>
      </c>
      <c r="O126" s="13">
        <v>3.0</v>
      </c>
      <c r="P126" s="13">
        <v>2.0</v>
      </c>
      <c r="Q126" s="13">
        <v>1.0</v>
      </c>
      <c r="R126" s="13">
        <v>4.0</v>
      </c>
      <c r="S126" s="13">
        <v>1.0</v>
      </c>
      <c r="T126" s="13">
        <v>4.0</v>
      </c>
      <c r="U126" s="13">
        <v>2.0</v>
      </c>
      <c r="V126" s="13">
        <v>1.0</v>
      </c>
      <c r="W126" s="13">
        <v>1.0</v>
      </c>
      <c r="X126" s="13">
        <v>1.0</v>
      </c>
      <c r="Y126" s="13">
        <v>1.0</v>
      </c>
      <c r="Z126" s="13"/>
      <c r="AA126" s="13">
        <v>1.0</v>
      </c>
      <c r="AB126" s="13">
        <v>1.0</v>
      </c>
      <c r="AC126" s="13"/>
      <c r="AD126" s="13">
        <v>2.0</v>
      </c>
      <c r="AE126" s="13">
        <v>1.0</v>
      </c>
      <c r="AF126" s="13"/>
    </row>
    <row r="127" ht="15.75" customHeight="1">
      <c r="A127" s="11">
        <v>124.0</v>
      </c>
      <c r="B127" s="11">
        <v>6.0</v>
      </c>
      <c r="C127" s="11" t="s">
        <v>55</v>
      </c>
      <c r="D127" s="11" t="s">
        <v>434</v>
      </c>
      <c r="E127" s="11"/>
      <c r="F127" s="11" t="s">
        <v>435</v>
      </c>
      <c r="G127" s="11" t="s">
        <v>175</v>
      </c>
      <c r="H127" s="11">
        <v>4.0</v>
      </c>
      <c r="I127" s="11">
        <v>4.0</v>
      </c>
      <c r="J127" s="33">
        <v>2.0</v>
      </c>
      <c r="K127" s="33">
        <v>20.0</v>
      </c>
      <c r="L127" s="11"/>
      <c r="M127" s="11"/>
      <c r="N127" s="11">
        <v>10.0</v>
      </c>
      <c r="O127" s="11">
        <v>3.0</v>
      </c>
      <c r="P127" s="11">
        <v>2.0</v>
      </c>
      <c r="Q127" s="11">
        <v>1.0</v>
      </c>
      <c r="R127" s="11">
        <v>4.0</v>
      </c>
      <c r="S127" s="11">
        <v>1.0</v>
      </c>
      <c r="T127" s="11">
        <v>4.0</v>
      </c>
      <c r="U127" s="11">
        <v>2.0</v>
      </c>
      <c r="V127" s="11">
        <v>1.0</v>
      </c>
      <c r="W127" s="11">
        <v>1.0</v>
      </c>
      <c r="X127" s="11">
        <v>1.0</v>
      </c>
      <c r="Y127" s="11">
        <v>1.0</v>
      </c>
      <c r="Z127" s="11"/>
      <c r="AA127" s="11">
        <v>1.0</v>
      </c>
      <c r="AB127" s="11">
        <v>1.0</v>
      </c>
      <c r="AC127" s="11"/>
      <c r="AD127" s="11">
        <v>2.0</v>
      </c>
      <c r="AE127" s="11">
        <v>1.0</v>
      </c>
      <c r="AF127" s="11"/>
    </row>
    <row r="128" ht="15.75" customHeight="1">
      <c r="A128" s="13">
        <v>125.0</v>
      </c>
      <c r="B128" s="13">
        <v>6.0</v>
      </c>
      <c r="C128" s="13" t="s">
        <v>55</v>
      </c>
      <c r="D128" s="13" t="s">
        <v>436</v>
      </c>
      <c r="E128" s="13"/>
      <c r="F128" s="13" t="s">
        <v>437</v>
      </c>
      <c r="G128" s="13" t="s">
        <v>74</v>
      </c>
      <c r="H128" s="13">
        <v>5.0</v>
      </c>
      <c r="I128" s="13">
        <v>5.0</v>
      </c>
      <c r="J128" s="35">
        <v>1.0</v>
      </c>
      <c r="K128" s="35">
        <v>105.0</v>
      </c>
      <c r="L128" s="13"/>
      <c r="M128" s="13"/>
      <c r="N128" s="13">
        <v>30.0</v>
      </c>
      <c r="O128" s="13">
        <v>9.0</v>
      </c>
      <c r="P128" s="13">
        <v>6.0</v>
      </c>
      <c r="Q128" s="13">
        <v>8.0</v>
      </c>
      <c r="R128" s="13">
        <v>6.0</v>
      </c>
      <c r="S128" s="13">
        <v>3.0</v>
      </c>
      <c r="T128" s="13">
        <v>4.0</v>
      </c>
      <c r="U128" s="13">
        <v>3.0</v>
      </c>
      <c r="V128" s="13">
        <v>6.0</v>
      </c>
      <c r="W128" s="13">
        <v>4.0</v>
      </c>
      <c r="X128" s="13">
        <v>4.0</v>
      </c>
      <c r="Y128" s="13">
        <v>3.0</v>
      </c>
      <c r="Z128" s="13">
        <v>2.0</v>
      </c>
      <c r="AA128" s="13">
        <v>2.0</v>
      </c>
      <c r="AB128" s="13">
        <v>3.0</v>
      </c>
      <c r="AC128" s="13">
        <v>1.0</v>
      </c>
      <c r="AD128" s="13">
        <v>3.0</v>
      </c>
      <c r="AE128" s="13">
        <v>4.0</v>
      </c>
      <c r="AF128" s="13"/>
    </row>
    <row r="129" ht="15.75" customHeight="1">
      <c r="A129" s="11">
        <v>126.0</v>
      </c>
      <c r="B129" s="11">
        <v>7.0</v>
      </c>
      <c r="C129" s="11" t="s">
        <v>57</v>
      </c>
      <c r="D129" s="11" t="s">
        <v>438</v>
      </c>
      <c r="E129" s="11"/>
      <c r="F129" s="11" t="s">
        <v>439</v>
      </c>
      <c r="G129" s="11" t="s">
        <v>170</v>
      </c>
      <c r="H129" s="11">
        <v>0.0</v>
      </c>
      <c r="I129" s="11">
        <v>0.0</v>
      </c>
      <c r="J129" s="33">
        <v>10.0</v>
      </c>
      <c r="K129" s="33">
        <v>75.0</v>
      </c>
      <c r="L129" s="11"/>
      <c r="M129" s="34" t="s">
        <v>440</v>
      </c>
      <c r="N129" s="11">
        <v>20.0</v>
      </c>
      <c r="O129" s="11">
        <v>8.0</v>
      </c>
      <c r="P129" s="11">
        <v>6.0</v>
      </c>
      <c r="Q129" s="11">
        <v>6.0</v>
      </c>
      <c r="R129" s="11">
        <v>4.0</v>
      </c>
      <c r="S129" s="11">
        <v>2.0</v>
      </c>
      <c r="T129" s="11">
        <v>4.0</v>
      </c>
      <c r="U129" s="11">
        <v>4.0</v>
      </c>
      <c r="V129" s="11">
        <v>2.0</v>
      </c>
      <c r="W129" s="11">
        <v>3.0</v>
      </c>
      <c r="X129" s="11">
        <v>3.0</v>
      </c>
      <c r="Y129" s="11">
        <v>3.0</v>
      </c>
      <c r="Z129" s="11">
        <v>1.0</v>
      </c>
      <c r="AA129" s="11">
        <v>1.0</v>
      </c>
      <c r="AB129" s="11">
        <v>2.0</v>
      </c>
      <c r="AC129" s="11"/>
      <c r="AD129" s="11">
        <v>1.0</v>
      </c>
      <c r="AE129" s="11"/>
      <c r="AF129" s="11"/>
    </row>
    <row r="130" ht="15.75" customHeight="1">
      <c r="A130" s="13">
        <v>127.0</v>
      </c>
      <c r="B130" s="13">
        <v>7.0</v>
      </c>
      <c r="C130" s="13" t="s">
        <v>57</v>
      </c>
      <c r="D130" s="13" t="s">
        <v>441</v>
      </c>
      <c r="E130" s="13" t="s">
        <v>442</v>
      </c>
      <c r="F130" s="13" t="s">
        <v>443</v>
      </c>
      <c r="G130" s="13" t="s">
        <v>175</v>
      </c>
      <c r="H130" s="13">
        <v>1.0</v>
      </c>
      <c r="I130" s="13">
        <v>1.0</v>
      </c>
      <c r="J130" s="35">
        <v>5.0</v>
      </c>
      <c r="K130" s="35">
        <v>20.0</v>
      </c>
      <c r="L130" s="13"/>
      <c r="M130" s="13"/>
      <c r="N130" s="13">
        <v>6.0</v>
      </c>
      <c r="O130" s="13">
        <v>3.0</v>
      </c>
      <c r="P130" s="13">
        <v>2.0</v>
      </c>
      <c r="Q130" s="13">
        <v>2.0</v>
      </c>
      <c r="R130" s="13">
        <v>2.0</v>
      </c>
      <c r="S130" s="13"/>
      <c r="T130" s="13">
        <v>3.0</v>
      </c>
      <c r="U130" s="13">
        <v>3.0</v>
      </c>
      <c r="V130" s="13"/>
      <c r="W130" s="13">
        <v>1.0</v>
      </c>
      <c r="X130" s="13">
        <v>2.0</v>
      </c>
      <c r="Y130" s="13">
        <v>1.0</v>
      </c>
      <c r="Z130" s="13"/>
      <c r="AA130" s="13">
        <v>1.0</v>
      </c>
      <c r="AB130" s="13">
        <v>1.0</v>
      </c>
      <c r="AC130" s="13"/>
      <c r="AD130" s="13"/>
      <c r="AE130" s="13"/>
      <c r="AF130" s="13"/>
    </row>
    <row r="131" ht="15.75" customHeight="1">
      <c r="A131" s="11">
        <v>128.0</v>
      </c>
      <c r="B131" s="11">
        <v>7.0</v>
      </c>
      <c r="C131" s="11" t="s">
        <v>57</v>
      </c>
      <c r="D131" s="11" t="s">
        <v>444</v>
      </c>
      <c r="E131" s="11"/>
      <c r="F131" s="11" t="s">
        <v>445</v>
      </c>
      <c r="G131" s="11" t="s">
        <v>175</v>
      </c>
      <c r="H131" s="11">
        <v>1.0</v>
      </c>
      <c r="I131" s="11">
        <v>2.0</v>
      </c>
      <c r="J131" s="33">
        <v>4.0</v>
      </c>
      <c r="K131" s="33">
        <v>20.0</v>
      </c>
      <c r="L131" s="11"/>
      <c r="M131" s="11"/>
      <c r="N131" s="11">
        <v>6.0</v>
      </c>
      <c r="O131" s="11">
        <v>3.0</v>
      </c>
      <c r="P131" s="11">
        <v>2.0</v>
      </c>
      <c r="Q131" s="11">
        <v>2.0</v>
      </c>
      <c r="R131" s="11">
        <v>2.0</v>
      </c>
      <c r="S131" s="11"/>
      <c r="T131" s="11">
        <v>3.0</v>
      </c>
      <c r="U131" s="11">
        <v>3.0</v>
      </c>
      <c r="V131" s="11"/>
      <c r="W131" s="11">
        <v>1.0</v>
      </c>
      <c r="X131" s="11">
        <v>2.0</v>
      </c>
      <c r="Y131" s="11">
        <v>1.0</v>
      </c>
      <c r="Z131" s="11"/>
      <c r="AA131" s="11">
        <v>1.0</v>
      </c>
      <c r="AB131" s="11">
        <v>1.0</v>
      </c>
      <c r="AC131" s="11"/>
      <c r="AD131" s="11"/>
      <c r="AE131" s="11"/>
      <c r="AF131" s="11"/>
    </row>
    <row r="132" ht="15.75" customHeight="1">
      <c r="A132" s="13">
        <v>129.0</v>
      </c>
      <c r="B132" s="13">
        <v>7.0</v>
      </c>
      <c r="C132" s="13" t="s">
        <v>57</v>
      </c>
      <c r="D132" s="13" t="s">
        <v>446</v>
      </c>
      <c r="E132" s="13"/>
      <c r="F132" s="13" t="s">
        <v>447</v>
      </c>
      <c r="G132" s="13" t="s">
        <v>175</v>
      </c>
      <c r="H132" s="13">
        <v>1.0</v>
      </c>
      <c r="I132" s="13">
        <v>3.0</v>
      </c>
      <c r="J132" s="35">
        <v>3.0</v>
      </c>
      <c r="K132" s="35">
        <v>20.0</v>
      </c>
      <c r="L132" s="13"/>
      <c r="M132" s="13"/>
      <c r="N132" s="13">
        <v>10.0</v>
      </c>
      <c r="O132" s="13">
        <v>4.0</v>
      </c>
      <c r="P132" s="13">
        <v>3.0</v>
      </c>
      <c r="Q132" s="13">
        <v>2.0</v>
      </c>
      <c r="R132" s="13">
        <v>3.0</v>
      </c>
      <c r="S132" s="13"/>
      <c r="T132" s="13">
        <v>4.0</v>
      </c>
      <c r="U132" s="13">
        <v>4.0</v>
      </c>
      <c r="V132" s="13"/>
      <c r="W132" s="13">
        <v>1.0</v>
      </c>
      <c r="X132" s="13">
        <v>2.0</v>
      </c>
      <c r="Y132" s="13">
        <v>1.0</v>
      </c>
      <c r="Z132" s="13"/>
      <c r="AA132" s="13">
        <v>1.0</v>
      </c>
      <c r="AB132" s="13">
        <v>2.0</v>
      </c>
      <c r="AC132" s="13"/>
      <c r="AD132" s="13"/>
      <c r="AE132" s="13"/>
      <c r="AF132" s="13"/>
    </row>
    <row r="133" ht="15.75" customHeight="1">
      <c r="A133" s="11">
        <v>130.0</v>
      </c>
      <c r="B133" s="11">
        <v>7.0</v>
      </c>
      <c r="C133" s="11" t="s">
        <v>57</v>
      </c>
      <c r="D133" s="11" t="s">
        <v>448</v>
      </c>
      <c r="E133" s="11"/>
      <c r="F133" s="11" t="s">
        <v>449</v>
      </c>
      <c r="G133" s="11" t="s">
        <v>175</v>
      </c>
      <c r="H133" s="11">
        <v>1.0</v>
      </c>
      <c r="I133" s="11">
        <v>4.0</v>
      </c>
      <c r="J133" s="33">
        <v>2.0</v>
      </c>
      <c r="K133" s="33">
        <v>20.0</v>
      </c>
      <c r="L133" s="11"/>
      <c r="M133" s="11"/>
      <c r="N133" s="11">
        <v>10.0</v>
      </c>
      <c r="O133" s="11">
        <v>4.0</v>
      </c>
      <c r="P133" s="11">
        <v>3.0</v>
      </c>
      <c r="Q133" s="11">
        <v>2.0</v>
      </c>
      <c r="R133" s="11">
        <v>3.0</v>
      </c>
      <c r="S133" s="11"/>
      <c r="T133" s="11">
        <v>4.0</v>
      </c>
      <c r="U133" s="11">
        <v>4.0</v>
      </c>
      <c r="V133" s="11"/>
      <c r="W133" s="11">
        <v>1.0</v>
      </c>
      <c r="X133" s="11">
        <v>2.0</v>
      </c>
      <c r="Y133" s="11">
        <v>1.0</v>
      </c>
      <c r="Z133" s="11"/>
      <c r="AA133" s="11">
        <v>1.0</v>
      </c>
      <c r="AB133" s="11">
        <v>2.0</v>
      </c>
      <c r="AC133" s="11"/>
      <c r="AD133" s="11"/>
      <c r="AE133" s="11"/>
      <c r="AF133" s="11"/>
    </row>
    <row r="134" ht="15.75" customHeight="1">
      <c r="A134" s="13">
        <v>131.0</v>
      </c>
      <c r="B134" s="13">
        <v>7.0</v>
      </c>
      <c r="C134" s="13" t="s">
        <v>57</v>
      </c>
      <c r="D134" s="13" t="s">
        <v>450</v>
      </c>
      <c r="E134" s="13" t="s">
        <v>451</v>
      </c>
      <c r="F134" s="13" t="s">
        <v>452</v>
      </c>
      <c r="G134" s="13" t="s">
        <v>175</v>
      </c>
      <c r="H134" s="13">
        <v>2.0</v>
      </c>
      <c r="I134" s="13">
        <v>1.0</v>
      </c>
      <c r="J134" s="35">
        <v>5.0</v>
      </c>
      <c r="K134" s="35">
        <v>20.0</v>
      </c>
      <c r="L134" s="13"/>
      <c r="M134" s="13"/>
      <c r="N134" s="13">
        <v>5.0</v>
      </c>
      <c r="O134" s="13">
        <v>3.0</v>
      </c>
      <c r="P134" s="13">
        <v>2.0</v>
      </c>
      <c r="Q134" s="13">
        <v>1.0</v>
      </c>
      <c r="R134" s="13">
        <v>1.0</v>
      </c>
      <c r="S134" s="13"/>
      <c r="T134" s="13">
        <v>2.0</v>
      </c>
      <c r="U134" s="13">
        <v>3.0</v>
      </c>
      <c r="V134" s="13"/>
      <c r="W134" s="13">
        <v>1.0</v>
      </c>
      <c r="X134" s="13">
        <v>1.0</v>
      </c>
      <c r="Y134" s="13">
        <v>1.0</v>
      </c>
      <c r="Z134" s="13"/>
      <c r="AA134" s="13">
        <v>1.0</v>
      </c>
      <c r="AB134" s="13">
        <v>1.0</v>
      </c>
      <c r="AC134" s="13"/>
      <c r="AD134" s="13"/>
      <c r="AE134" s="13"/>
      <c r="AF134" s="13"/>
    </row>
    <row r="135" ht="15.75" customHeight="1">
      <c r="A135" s="11">
        <v>132.0</v>
      </c>
      <c r="B135" s="11">
        <v>7.0</v>
      </c>
      <c r="C135" s="11" t="s">
        <v>57</v>
      </c>
      <c r="D135" s="11" t="s">
        <v>453</v>
      </c>
      <c r="E135" s="11"/>
      <c r="F135" s="11" t="s">
        <v>454</v>
      </c>
      <c r="G135" s="11" t="s">
        <v>175</v>
      </c>
      <c r="H135" s="11">
        <v>2.0</v>
      </c>
      <c r="I135" s="11">
        <v>2.0</v>
      </c>
      <c r="J135" s="33">
        <v>4.0</v>
      </c>
      <c r="K135" s="33">
        <v>20.0</v>
      </c>
      <c r="L135" s="11"/>
      <c r="M135" s="11"/>
      <c r="N135" s="11">
        <v>5.0</v>
      </c>
      <c r="O135" s="11">
        <v>3.0</v>
      </c>
      <c r="P135" s="11">
        <v>2.0</v>
      </c>
      <c r="Q135" s="11">
        <v>1.0</v>
      </c>
      <c r="R135" s="11">
        <v>1.0</v>
      </c>
      <c r="S135" s="11"/>
      <c r="T135" s="11">
        <v>2.0</v>
      </c>
      <c r="U135" s="11">
        <v>3.0</v>
      </c>
      <c r="V135" s="11"/>
      <c r="W135" s="11">
        <v>1.0</v>
      </c>
      <c r="X135" s="11">
        <v>1.0</v>
      </c>
      <c r="Y135" s="11">
        <v>1.0</v>
      </c>
      <c r="Z135" s="11"/>
      <c r="AA135" s="11">
        <v>1.0</v>
      </c>
      <c r="AB135" s="11">
        <v>1.0</v>
      </c>
      <c r="AC135" s="11"/>
      <c r="AD135" s="11"/>
      <c r="AE135" s="11"/>
      <c r="AF135" s="11"/>
    </row>
    <row r="136" ht="15.75" customHeight="1">
      <c r="A136" s="13">
        <v>133.0</v>
      </c>
      <c r="B136" s="13">
        <v>7.0</v>
      </c>
      <c r="C136" s="13" t="s">
        <v>57</v>
      </c>
      <c r="D136" s="13" t="s">
        <v>455</v>
      </c>
      <c r="E136" s="13"/>
      <c r="F136" s="13" t="s">
        <v>456</v>
      </c>
      <c r="G136" s="13" t="s">
        <v>175</v>
      </c>
      <c r="H136" s="13">
        <v>2.0</v>
      </c>
      <c r="I136" s="13">
        <v>3.0</v>
      </c>
      <c r="J136" s="35">
        <v>3.0</v>
      </c>
      <c r="K136" s="35">
        <v>20.0</v>
      </c>
      <c r="L136" s="13"/>
      <c r="M136" s="13"/>
      <c r="N136" s="13">
        <v>9.0</v>
      </c>
      <c r="O136" s="13">
        <v>4.0</v>
      </c>
      <c r="P136" s="13">
        <v>2.0</v>
      </c>
      <c r="Q136" s="13">
        <v>1.0</v>
      </c>
      <c r="R136" s="13">
        <v>2.0</v>
      </c>
      <c r="S136" s="13"/>
      <c r="T136" s="13">
        <v>3.0</v>
      </c>
      <c r="U136" s="13">
        <v>4.0</v>
      </c>
      <c r="V136" s="13"/>
      <c r="W136" s="13">
        <v>1.0</v>
      </c>
      <c r="X136" s="13">
        <v>2.0</v>
      </c>
      <c r="Y136" s="13">
        <v>1.0</v>
      </c>
      <c r="Z136" s="13"/>
      <c r="AA136" s="13">
        <v>1.0</v>
      </c>
      <c r="AB136" s="13">
        <v>1.0</v>
      </c>
      <c r="AC136" s="13"/>
      <c r="AD136" s="13"/>
      <c r="AE136" s="13"/>
      <c r="AF136" s="13"/>
    </row>
    <row r="137" ht="15.75" customHeight="1">
      <c r="A137" s="11">
        <v>134.0</v>
      </c>
      <c r="B137" s="11">
        <v>7.0</v>
      </c>
      <c r="C137" s="11" t="s">
        <v>57</v>
      </c>
      <c r="D137" s="11" t="s">
        <v>457</v>
      </c>
      <c r="E137" s="11"/>
      <c r="F137" s="11" t="s">
        <v>458</v>
      </c>
      <c r="G137" s="11" t="s">
        <v>175</v>
      </c>
      <c r="H137" s="11">
        <v>2.0</v>
      </c>
      <c r="I137" s="11">
        <v>4.0</v>
      </c>
      <c r="J137" s="33">
        <v>2.0</v>
      </c>
      <c r="K137" s="33">
        <v>20.0</v>
      </c>
      <c r="L137" s="11"/>
      <c r="M137" s="11"/>
      <c r="N137" s="11">
        <v>9.0</v>
      </c>
      <c r="O137" s="11">
        <v>4.0</v>
      </c>
      <c r="P137" s="11">
        <v>2.0</v>
      </c>
      <c r="Q137" s="11">
        <v>1.0</v>
      </c>
      <c r="R137" s="11">
        <v>2.0</v>
      </c>
      <c r="S137" s="11"/>
      <c r="T137" s="11">
        <v>3.0</v>
      </c>
      <c r="U137" s="11">
        <v>4.0</v>
      </c>
      <c r="V137" s="11"/>
      <c r="W137" s="11">
        <v>1.0</v>
      </c>
      <c r="X137" s="11">
        <v>2.0</v>
      </c>
      <c r="Y137" s="11">
        <v>1.0</v>
      </c>
      <c r="Z137" s="11"/>
      <c r="AA137" s="11">
        <v>1.0</v>
      </c>
      <c r="AB137" s="11">
        <v>1.0</v>
      </c>
      <c r="AC137" s="11"/>
      <c r="AD137" s="11"/>
      <c r="AE137" s="11"/>
      <c r="AF137" s="11"/>
    </row>
    <row r="138" ht="15.75" customHeight="1">
      <c r="A138" s="13">
        <v>135.0</v>
      </c>
      <c r="B138" s="13">
        <v>7.0</v>
      </c>
      <c r="C138" s="13" t="s">
        <v>57</v>
      </c>
      <c r="D138" s="13" t="s">
        <v>459</v>
      </c>
      <c r="E138" s="13" t="s">
        <v>460</v>
      </c>
      <c r="F138" s="13" t="s">
        <v>461</v>
      </c>
      <c r="G138" s="13" t="s">
        <v>175</v>
      </c>
      <c r="H138" s="13">
        <v>3.0</v>
      </c>
      <c r="I138" s="13">
        <v>1.0</v>
      </c>
      <c r="J138" s="35">
        <v>5.0</v>
      </c>
      <c r="K138" s="35">
        <v>20.0</v>
      </c>
      <c r="L138" s="13"/>
      <c r="M138" s="13"/>
      <c r="N138" s="13">
        <v>7.0</v>
      </c>
      <c r="O138" s="13">
        <v>3.0</v>
      </c>
      <c r="P138" s="13">
        <v>3.0</v>
      </c>
      <c r="Q138" s="13">
        <v>2.0</v>
      </c>
      <c r="R138" s="13">
        <v>3.0</v>
      </c>
      <c r="S138" s="13">
        <v>1.0</v>
      </c>
      <c r="T138" s="13">
        <v>4.0</v>
      </c>
      <c r="U138" s="13">
        <v>1.0</v>
      </c>
      <c r="V138" s="13">
        <v>1.0</v>
      </c>
      <c r="W138" s="13">
        <v>1.0</v>
      </c>
      <c r="X138" s="13">
        <v>1.0</v>
      </c>
      <c r="Y138" s="13">
        <v>1.0</v>
      </c>
      <c r="Z138" s="13"/>
      <c r="AA138" s="13">
        <v>1.0</v>
      </c>
      <c r="AB138" s="13">
        <v>1.0</v>
      </c>
      <c r="AC138" s="13"/>
      <c r="AD138" s="13"/>
      <c r="AE138" s="13"/>
      <c r="AF138" s="13"/>
    </row>
    <row r="139" ht="15.75" customHeight="1">
      <c r="A139" s="11">
        <v>136.0</v>
      </c>
      <c r="B139" s="11">
        <v>7.0</v>
      </c>
      <c r="C139" s="11" t="s">
        <v>57</v>
      </c>
      <c r="D139" s="11" t="s">
        <v>462</v>
      </c>
      <c r="E139" s="11"/>
      <c r="F139" s="11" t="s">
        <v>463</v>
      </c>
      <c r="G139" s="11" t="s">
        <v>175</v>
      </c>
      <c r="H139" s="11">
        <v>3.0</v>
      </c>
      <c r="I139" s="11">
        <v>2.0</v>
      </c>
      <c r="J139" s="33">
        <v>4.0</v>
      </c>
      <c r="K139" s="33">
        <v>20.0</v>
      </c>
      <c r="L139" s="11"/>
      <c r="M139" s="11"/>
      <c r="N139" s="11">
        <v>7.0</v>
      </c>
      <c r="O139" s="11">
        <v>3.0</v>
      </c>
      <c r="P139" s="11">
        <v>3.0</v>
      </c>
      <c r="Q139" s="11">
        <v>2.0</v>
      </c>
      <c r="R139" s="11">
        <v>3.0</v>
      </c>
      <c r="S139" s="11">
        <v>1.0</v>
      </c>
      <c r="T139" s="11">
        <v>4.0</v>
      </c>
      <c r="U139" s="11">
        <v>1.0</v>
      </c>
      <c r="V139" s="11">
        <v>1.0</v>
      </c>
      <c r="W139" s="11">
        <v>1.0</v>
      </c>
      <c r="X139" s="11">
        <v>1.0</v>
      </c>
      <c r="Y139" s="11">
        <v>1.0</v>
      </c>
      <c r="Z139" s="11"/>
      <c r="AA139" s="11">
        <v>1.0</v>
      </c>
      <c r="AB139" s="11">
        <v>1.0</v>
      </c>
      <c r="AC139" s="11"/>
      <c r="AD139" s="11"/>
      <c r="AE139" s="11"/>
      <c r="AF139" s="11"/>
    </row>
    <row r="140" ht="15.75" customHeight="1">
      <c r="A140" s="13">
        <v>137.0</v>
      </c>
      <c r="B140" s="13">
        <v>7.0</v>
      </c>
      <c r="C140" s="13" t="s">
        <v>57</v>
      </c>
      <c r="D140" s="13" t="s">
        <v>464</v>
      </c>
      <c r="E140" s="13"/>
      <c r="F140" s="13" t="s">
        <v>465</v>
      </c>
      <c r="G140" s="13" t="s">
        <v>175</v>
      </c>
      <c r="H140" s="13">
        <v>3.0</v>
      </c>
      <c r="I140" s="13">
        <v>3.0</v>
      </c>
      <c r="J140" s="35">
        <v>3.0</v>
      </c>
      <c r="K140" s="35">
        <v>20.0</v>
      </c>
      <c r="L140" s="13"/>
      <c r="M140" s="13"/>
      <c r="N140" s="13">
        <v>11.0</v>
      </c>
      <c r="O140" s="13">
        <v>4.0</v>
      </c>
      <c r="P140" s="13">
        <v>3.0</v>
      </c>
      <c r="Q140" s="13">
        <v>3.0</v>
      </c>
      <c r="R140" s="13">
        <v>4.0</v>
      </c>
      <c r="S140" s="13">
        <v>1.0</v>
      </c>
      <c r="T140" s="13">
        <v>5.0</v>
      </c>
      <c r="U140" s="13">
        <v>2.0</v>
      </c>
      <c r="V140" s="13">
        <v>1.0</v>
      </c>
      <c r="W140" s="13">
        <v>1.0</v>
      </c>
      <c r="X140" s="13">
        <v>2.0</v>
      </c>
      <c r="Y140" s="13">
        <v>1.0</v>
      </c>
      <c r="Z140" s="13"/>
      <c r="AA140" s="13">
        <v>1.0</v>
      </c>
      <c r="AB140" s="13">
        <v>2.0</v>
      </c>
      <c r="AC140" s="13"/>
      <c r="AD140" s="13"/>
      <c r="AE140" s="13"/>
      <c r="AF140" s="13"/>
    </row>
    <row r="141" ht="15.75" customHeight="1">
      <c r="A141" s="11">
        <v>138.0</v>
      </c>
      <c r="B141" s="11">
        <v>7.0</v>
      </c>
      <c r="C141" s="11" t="s">
        <v>57</v>
      </c>
      <c r="D141" s="11" t="s">
        <v>466</v>
      </c>
      <c r="E141" s="11"/>
      <c r="F141" s="11" t="s">
        <v>467</v>
      </c>
      <c r="G141" s="11" t="s">
        <v>175</v>
      </c>
      <c r="H141" s="11">
        <v>3.0</v>
      </c>
      <c r="I141" s="11">
        <v>4.0</v>
      </c>
      <c r="J141" s="33">
        <v>2.0</v>
      </c>
      <c r="K141" s="33">
        <v>20.0</v>
      </c>
      <c r="L141" s="11"/>
      <c r="M141" s="11"/>
      <c r="N141" s="11">
        <v>11.0</v>
      </c>
      <c r="O141" s="11">
        <v>4.0</v>
      </c>
      <c r="P141" s="11">
        <v>3.0</v>
      </c>
      <c r="Q141" s="11">
        <v>3.0</v>
      </c>
      <c r="R141" s="11">
        <v>4.0</v>
      </c>
      <c r="S141" s="11">
        <v>1.0</v>
      </c>
      <c r="T141" s="11">
        <v>5.0</v>
      </c>
      <c r="U141" s="11">
        <v>2.0</v>
      </c>
      <c r="V141" s="11">
        <v>1.0</v>
      </c>
      <c r="W141" s="11">
        <v>1.0</v>
      </c>
      <c r="X141" s="11">
        <v>2.0</v>
      </c>
      <c r="Y141" s="11">
        <v>1.0</v>
      </c>
      <c r="Z141" s="11"/>
      <c r="AA141" s="11">
        <v>1.0</v>
      </c>
      <c r="AB141" s="11">
        <v>2.0</v>
      </c>
      <c r="AC141" s="11"/>
      <c r="AD141" s="11"/>
      <c r="AE141" s="11"/>
      <c r="AF141" s="11"/>
    </row>
    <row r="142" ht="15.75" customHeight="1">
      <c r="A142" s="13">
        <v>139.0</v>
      </c>
      <c r="B142" s="13">
        <v>7.0</v>
      </c>
      <c r="C142" s="13" t="s">
        <v>57</v>
      </c>
      <c r="D142" s="13" t="s">
        <v>468</v>
      </c>
      <c r="E142" s="13" t="s">
        <v>469</v>
      </c>
      <c r="F142" s="13" t="s">
        <v>470</v>
      </c>
      <c r="G142" s="13" t="s">
        <v>175</v>
      </c>
      <c r="H142" s="13">
        <v>4.0</v>
      </c>
      <c r="I142" s="13">
        <v>1.0</v>
      </c>
      <c r="J142" s="35">
        <v>5.0</v>
      </c>
      <c r="K142" s="35">
        <v>20.0</v>
      </c>
      <c r="L142" s="13"/>
      <c r="M142" s="13"/>
      <c r="N142" s="13">
        <v>5.0</v>
      </c>
      <c r="O142" s="13">
        <v>3.0</v>
      </c>
      <c r="P142" s="13">
        <v>2.0</v>
      </c>
      <c r="Q142" s="13">
        <v>3.0</v>
      </c>
      <c r="R142" s="13">
        <v>1.0</v>
      </c>
      <c r="S142" s="13">
        <v>1.0</v>
      </c>
      <c r="T142" s="13">
        <v>2.0</v>
      </c>
      <c r="U142" s="13">
        <v>2.0</v>
      </c>
      <c r="V142" s="13">
        <v>1.0</v>
      </c>
      <c r="W142" s="13">
        <v>2.0</v>
      </c>
      <c r="X142" s="13">
        <v>2.0</v>
      </c>
      <c r="Y142" s="13">
        <v>2.0</v>
      </c>
      <c r="Z142" s="13"/>
      <c r="AA142" s="13">
        <v>1.0</v>
      </c>
      <c r="AB142" s="13">
        <v>1.0</v>
      </c>
      <c r="AC142" s="13"/>
      <c r="AD142" s="13">
        <v>1.0</v>
      </c>
      <c r="AE142" s="13"/>
      <c r="AF142" s="13"/>
    </row>
    <row r="143" ht="15.75" customHeight="1">
      <c r="A143" s="11">
        <v>140.0</v>
      </c>
      <c r="B143" s="11">
        <v>7.0</v>
      </c>
      <c r="C143" s="11" t="s">
        <v>57</v>
      </c>
      <c r="D143" s="11" t="s">
        <v>471</v>
      </c>
      <c r="E143" s="11"/>
      <c r="F143" s="11" t="s">
        <v>472</v>
      </c>
      <c r="G143" s="11" t="s">
        <v>175</v>
      </c>
      <c r="H143" s="11">
        <v>4.0</v>
      </c>
      <c r="I143" s="11">
        <v>2.0</v>
      </c>
      <c r="J143" s="33">
        <v>4.0</v>
      </c>
      <c r="K143" s="33">
        <v>20.0</v>
      </c>
      <c r="L143" s="11"/>
      <c r="M143" s="11"/>
      <c r="N143" s="11">
        <v>5.0</v>
      </c>
      <c r="O143" s="11">
        <v>3.0</v>
      </c>
      <c r="P143" s="11">
        <v>2.0</v>
      </c>
      <c r="Q143" s="11">
        <v>3.0</v>
      </c>
      <c r="R143" s="11">
        <v>1.0</v>
      </c>
      <c r="S143" s="11">
        <v>1.0</v>
      </c>
      <c r="T143" s="11">
        <v>2.0</v>
      </c>
      <c r="U143" s="11">
        <v>2.0</v>
      </c>
      <c r="V143" s="11">
        <v>1.0</v>
      </c>
      <c r="W143" s="11">
        <v>2.0</v>
      </c>
      <c r="X143" s="11">
        <v>2.0</v>
      </c>
      <c r="Y143" s="11">
        <v>2.0</v>
      </c>
      <c r="Z143" s="11"/>
      <c r="AA143" s="11">
        <v>1.0</v>
      </c>
      <c r="AB143" s="11">
        <v>1.0</v>
      </c>
      <c r="AC143" s="11"/>
      <c r="AD143" s="11">
        <v>1.0</v>
      </c>
      <c r="AE143" s="11"/>
      <c r="AF143" s="11"/>
    </row>
    <row r="144" ht="15.75" customHeight="1">
      <c r="A144" s="13">
        <v>141.0</v>
      </c>
      <c r="B144" s="13">
        <v>7.0</v>
      </c>
      <c r="C144" s="13" t="s">
        <v>57</v>
      </c>
      <c r="D144" s="13" t="s">
        <v>473</v>
      </c>
      <c r="E144" s="13"/>
      <c r="F144" s="13" t="s">
        <v>474</v>
      </c>
      <c r="G144" s="13" t="s">
        <v>175</v>
      </c>
      <c r="H144" s="13">
        <v>4.0</v>
      </c>
      <c r="I144" s="13">
        <v>3.0</v>
      </c>
      <c r="J144" s="35">
        <v>3.0</v>
      </c>
      <c r="K144" s="35">
        <v>20.0</v>
      </c>
      <c r="L144" s="13"/>
      <c r="M144" s="13"/>
      <c r="N144" s="13">
        <v>9.0</v>
      </c>
      <c r="O144" s="13">
        <v>4.0</v>
      </c>
      <c r="P144" s="13">
        <v>2.0</v>
      </c>
      <c r="Q144" s="13">
        <v>4.0</v>
      </c>
      <c r="R144" s="13">
        <v>2.0</v>
      </c>
      <c r="S144" s="13">
        <v>1.0</v>
      </c>
      <c r="T144" s="13">
        <v>3.0</v>
      </c>
      <c r="U144" s="13">
        <v>2.0</v>
      </c>
      <c r="V144" s="13">
        <v>1.0</v>
      </c>
      <c r="W144" s="13">
        <v>2.0</v>
      </c>
      <c r="X144" s="13">
        <v>3.0</v>
      </c>
      <c r="Y144" s="13">
        <v>2.0</v>
      </c>
      <c r="Z144" s="13"/>
      <c r="AA144" s="13">
        <v>1.0</v>
      </c>
      <c r="AB144" s="13">
        <v>1.0</v>
      </c>
      <c r="AC144" s="13"/>
      <c r="AD144" s="13">
        <v>1.0</v>
      </c>
      <c r="AE144" s="13">
        <v>1.0</v>
      </c>
      <c r="AF144" s="13"/>
    </row>
    <row r="145" ht="15.75" customHeight="1">
      <c r="A145" s="11">
        <v>142.0</v>
      </c>
      <c r="B145" s="11">
        <v>7.0</v>
      </c>
      <c r="C145" s="11" t="s">
        <v>57</v>
      </c>
      <c r="D145" s="11" t="s">
        <v>475</v>
      </c>
      <c r="E145" s="11"/>
      <c r="F145" s="11" t="s">
        <v>476</v>
      </c>
      <c r="G145" s="11" t="s">
        <v>175</v>
      </c>
      <c r="H145" s="11">
        <v>4.0</v>
      </c>
      <c r="I145" s="11">
        <v>4.0</v>
      </c>
      <c r="J145" s="33">
        <v>2.0</v>
      </c>
      <c r="K145" s="33">
        <v>20.0</v>
      </c>
      <c r="L145" s="11"/>
      <c r="M145" s="11"/>
      <c r="N145" s="11">
        <v>9.0</v>
      </c>
      <c r="O145" s="11">
        <v>4.0</v>
      </c>
      <c r="P145" s="11">
        <v>2.0</v>
      </c>
      <c r="Q145" s="11">
        <v>4.0</v>
      </c>
      <c r="R145" s="11">
        <v>2.0</v>
      </c>
      <c r="S145" s="11">
        <v>1.0</v>
      </c>
      <c r="T145" s="11">
        <v>3.0</v>
      </c>
      <c r="U145" s="11">
        <v>2.0</v>
      </c>
      <c r="V145" s="11">
        <v>1.0</v>
      </c>
      <c r="W145" s="11">
        <v>2.0</v>
      </c>
      <c r="X145" s="11">
        <v>3.0</v>
      </c>
      <c r="Y145" s="11">
        <v>2.0</v>
      </c>
      <c r="Z145" s="11"/>
      <c r="AA145" s="11">
        <v>1.0</v>
      </c>
      <c r="AB145" s="11">
        <v>1.0</v>
      </c>
      <c r="AC145" s="11"/>
      <c r="AD145" s="11">
        <v>1.0</v>
      </c>
      <c r="AE145" s="11">
        <v>1.0</v>
      </c>
      <c r="AF145" s="11"/>
    </row>
    <row r="146" ht="15.75" customHeight="1">
      <c r="A146" s="13">
        <v>143.0</v>
      </c>
      <c r="B146" s="13">
        <v>7.0</v>
      </c>
      <c r="C146" s="13" t="s">
        <v>57</v>
      </c>
      <c r="D146" s="13" t="s">
        <v>477</v>
      </c>
      <c r="E146" s="13"/>
      <c r="F146" s="13" t="s">
        <v>478</v>
      </c>
      <c r="G146" s="13" t="s">
        <v>74</v>
      </c>
      <c r="H146" s="13">
        <v>5.0</v>
      </c>
      <c r="I146" s="13">
        <v>5.0</v>
      </c>
      <c r="J146" s="35">
        <v>1.0</v>
      </c>
      <c r="K146" s="35">
        <v>105.0</v>
      </c>
      <c r="L146" s="13"/>
      <c r="M146" s="13"/>
      <c r="N146" s="13">
        <v>28.0</v>
      </c>
      <c r="O146" s="13">
        <v>9.0</v>
      </c>
      <c r="P146" s="13">
        <v>7.0</v>
      </c>
      <c r="Q146" s="13">
        <v>7.0</v>
      </c>
      <c r="R146" s="13">
        <v>5.0</v>
      </c>
      <c r="S146" s="13">
        <v>3.0</v>
      </c>
      <c r="T146" s="13">
        <v>6.0</v>
      </c>
      <c r="U146" s="13">
        <v>6.0</v>
      </c>
      <c r="V146" s="13">
        <v>3.0</v>
      </c>
      <c r="W146" s="13">
        <v>4.0</v>
      </c>
      <c r="X146" s="13">
        <v>4.0</v>
      </c>
      <c r="Y146" s="13">
        <v>4.0</v>
      </c>
      <c r="Z146" s="13">
        <v>1.0</v>
      </c>
      <c r="AA146" s="13">
        <v>1.0</v>
      </c>
      <c r="AB146" s="13">
        <v>2.0</v>
      </c>
      <c r="AC146" s="13"/>
      <c r="AD146" s="13">
        <v>2.0</v>
      </c>
      <c r="AE146" s="13">
        <v>1.0</v>
      </c>
      <c r="AF146" s="13"/>
    </row>
    <row r="147" ht="15.75" customHeight="1">
      <c r="A147" s="11">
        <v>144.0</v>
      </c>
      <c r="B147" s="11">
        <v>8.0</v>
      </c>
      <c r="C147" s="11" t="s">
        <v>61</v>
      </c>
      <c r="D147" s="11" t="s">
        <v>479</v>
      </c>
      <c r="E147" s="11"/>
      <c r="F147" s="11" t="s">
        <v>480</v>
      </c>
      <c r="G147" s="11" t="s">
        <v>170</v>
      </c>
      <c r="H147" s="11">
        <v>0.0</v>
      </c>
      <c r="I147" s="11">
        <v>0.0</v>
      </c>
      <c r="J147" s="33">
        <v>10.0</v>
      </c>
      <c r="K147" s="33">
        <v>75.0</v>
      </c>
      <c r="L147" s="11"/>
      <c r="M147" s="34" t="s">
        <v>481</v>
      </c>
      <c r="N147" s="11">
        <v>18.0</v>
      </c>
      <c r="O147" s="11">
        <v>8.0</v>
      </c>
      <c r="P147" s="11">
        <v>8.0</v>
      </c>
      <c r="Q147" s="11">
        <v>4.0</v>
      </c>
      <c r="R147" s="11">
        <v>4.0</v>
      </c>
      <c r="S147" s="11">
        <v>2.0</v>
      </c>
      <c r="T147" s="11">
        <v>5.0</v>
      </c>
      <c r="U147" s="11">
        <v>4.0</v>
      </c>
      <c r="V147" s="11">
        <v>2.0</v>
      </c>
      <c r="W147" s="11">
        <v>2.0</v>
      </c>
      <c r="X147" s="11">
        <v>2.0</v>
      </c>
      <c r="Y147" s="11">
        <v>2.0</v>
      </c>
      <c r="Z147" s="11"/>
      <c r="AA147" s="11">
        <v>1.0</v>
      </c>
      <c r="AB147" s="11">
        <v>1.0</v>
      </c>
      <c r="AC147" s="11"/>
      <c r="AD147" s="11">
        <v>1.0</v>
      </c>
      <c r="AE147" s="11"/>
      <c r="AF147" s="11"/>
    </row>
    <row r="148" ht="15.75" customHeight="1">
      <c r="A148" s="13">
        <v>145.0</v>
      </c>
      <c r="B148" s="13">
        <v>8.0</v>
      </c>
      <c r="C148" s="13" t="s">
        <v>61</v>
      </c>
      <c r="D148" s="13" t="s">
        <v>482</v>
      </c>
      <c r="E148" s="13" t="s">
        <v>483</v>
      </c>
      <c r="F148" s="13" t="s">
        <v>484</v>
      </c>
      <c r="G148" s="13" t="s">
        <v>175</v>
      </c>
      <c r="H148" s="13">
        <v>1.0</v>
      </c>
      <c r="I148" s="13">
        <v>1.0</v>
      </c>
      <c r="J148" s="35">
        <v>5.0</v>
      </c>
      <c r="K148" s="35">
        <v>20.0</v>
      </c>
      <c r="L148" s="13"/>
      <c r="M148" s="13"/>
      <c r="N148" s="13">
        <v>6.0</v>
      </c>
      <c r="O148" s="13">
        <v>3.0</v>
      </c>
      <c r="P148" s="13">
        <v>3.0</v>
      </c>
      <c r="Q148" s="13">
        <v>2.0</v>
      </c>
      <c r="R148" s="13">
        <v>2.0</v>
      </c>
      <c r="S148" s="13">
        <v>1.0</v>
      </c>
      <c r="T148" s="13">
        <v>3.0</v>
      </c>
      <c r="U148" s="13">
        <v>4.0</v>
      </c>
      <c r="V148" s="13"/>
      <c r="W148" s="13">
        <v>1.0</v>
      </c>
      <c r="X148" s="13">
        <v>1.0</v>
      </c>
      <c r="Y148" s="13">
        <v>1.0</v>
      </c>
      <c r="Z148" s="13"/>
      <c r="AA148" s="13">
        <v>1.0</v>
      </c>
      <c r="AB148" s="13">
        <v>1.0</v>
      </c>
      <c r="AC148" s="13"/>
      <c r="AD148" s="13"/>
      <c r="AE148" s="13"/>
      <c r="AF148" s="13"/>
    </row>
    <row r="149" ht="15.75" customHeight="1">
      <c r="A149" s="11">
        <v>146.0</v>
      </c>
      <c r="B149" s="11">
        <v>8.0</v>
      </c>
      <c r="C149" s="11" t="s">
        <v>61</v>
      </c>
      <c r="D149" s="11" t="s">
        <v>485</v>
      </c>
      <c r="E149" s="11"/>
      <c r="F149" s="11" t="s">
        <v>486</v>
      </c>
      <c r="G149" s="11" t="s">
        <v>175</v>
      </c>
      <c r="H149" s="11">
        <v>1.0</v>
      </c>
      <c r="I149" s="11">
        <v>2.0</v>
      </c>
      <c r="J149" s="33">
        <v>4.0</v>
      </c>
      <c r="K149" s="33">
        <v>20.0</v>
      </c>
      <c r="L149" s="11"/>
      <c r="M149" s="11"/>
      <c r="N149" s="11">
        <v>6.0</v>
      </c>
      <c r="O149" s="11">
        <v>3.0</v>
      </c>
      <c r="P149" s="11">
        <v>3.0</v>
      </c>
      <c r="Q149" s="11">
        <v>2.0</v>
      </c>
      <c r="R149" s="11">
        <v>2.0</v>
      </c>
      <c r="S149" s="11">
        <v>1.0</v>
      </c>
      <c r="T149" s="11">
        <v>3.0</v>
      </c>
      <c r="U149" s="11">
        <v>4.0</v>
      </c>
      <c r="V149" s="11"/>
      <c r="W149" s="11">
        <v>1.0</v>
      </c>
      <c r="X149" s="11">
        <v>1.0</v>
      </c>
      <c r="Y149" s="11">
        <v>1.0</v>
      </c>
      <c r="Z149" s="11"/>
      <c r="AA149" s="11">
        <v>1.0</v>
      </c>
      <c r="AB149" s="11">
        <v>1.0</v>
      </c>
      <c r="AC149" s="11"/>
      <c r="AD149" s="11"/>
      <c r="AE149" s="11"/>
      <c r="AF149" s="11"/>
    </row>
    <row r="150" ht="15.75" customHeight="1">
      <c r="A150" s="13">
        <v>147.0</v>
      </c>
      <c r="B150" s="13">
        <v>8.0</v>
      </c>
      <c r="C150" s="13" t="s">
        <v>61</v>
      </c>
      <c r="D150" s="13" t="s">
        <v>487</v>
      </c>
      <c r="E150" s="13"/>
      <c r="F150" s="13" t="s">
        <v>488</v>
      </c>
      <c r="G150" s="13" t="s">
        <v>175</v>
      </c>
      <c r="H150" s="13">
        <v>1.0</v>
      </c>
      <c r="I150" s="13">
        <v>3.0</v>
      </c>
      <c r="J150" s="35">
        <v>3.0</v>
      </c>
      <c r="K150" s="35">
        <v>20.0</v>
      </c>
      <c r="L150" s="13"/>
      <c r="M150" s="13"/>
      <c r="N150" s="13">
        <v>10.0</v>
      </c>
      <c r="O150" s="13">
        <v>4.0</v>
      </c>
      <c r="P150" s="13">
        <v>4.0</v>
      </c>
      <c r="Q150" s="13">
        <v>2.0</v>
      </c>
      <c r="R150" s="13">
        <v>3.0</v>
      </c>
      <c r="S150" s="13">
        <v>1.0</v>
      </c>
      <c r="T150" s="13">
        <v>3.0</v>
      </c>
      <c r="U150" s="13">
        <v>5.0</v>
      </c>
      <c r="V150" s="13"/>
      <c r="W150" s="13">
        <v>1.0</v>
      </c>
      <c r="X150" s="13">
        <v>2.0</v>
      </c>
      <c r="Y150" s="13">
        <v>1.0</v>
      </c>
      <c r="Z150" s="13"/>
      <c r="AA150" s="13">
        <v>1.0</v>
      </c>
      <c r="AB150" s="13">
        <v>1.0</v>
      </c>
      <c r="AC150" s="13"/>
      <c r="AD150" s="13"/>
      <c r="AE150" s="13"/>
      <c r="AF150" s="13"/>
    </row>
    <row r="151" ht="15.75" customHeight="1">
      <c r="A151" s="11">
        <v>148.0</v>
      </c>
      <c r="B151" s="11">
        <v>8.0</v>
      </c>
      <c r="C151" s="11" t="s">
        <v>61</v>
      </c>
      <c r="D151" s="11" t="s">
        <v>489</v>
      </c>
      <c r="E151" s="11"/>
      <c r="F151" s="11" t="s">
        <v>490</v>
      </c>
      <c r="G151" s="11" t="s">
        <v>175</v>
      </c>
      <c r="H151" s="11">
        <v>1.0</v>
      </c>
      <c r="I151" s="11">
        <v>4.0</v>
      </c>
      <c r="J151" s="33">
        <v>2.0</v>
      </c>
      <c r="K151" s="33">
        <v>20.0</v>
      </c>
      <c r="L151" s="11"/>
      <c r="M151" s="11"/>
      <c r="N151" s="11">
        <v>10.0</v>
      </c>
      <c r="O151" s="11">
        <v>4.0</v>
      </c>
      <c r="P151" s="11">
        <v>4.0</v>
      </c>
      <c r="Q151" s="11">
        <v>2.0</v>
      </c>
      <c r="R151" s="11">
        <v>3.0</v>
      </c>
      <c r="S151" s="11">
        <v>1.0</v>
      </c>
      <c r="T151" s="11">
        <v>3.0</v>
      </c>
      <c r="U151" s="11">
        <v>5.0</v>
      </c>
      <c r="V151" s="11"/>
      <c r="W151" s="11">
        <v>1.0</v>
      </c>
      <c r="X151" s="11">
        <v>2.0</v>
      </c>
      <c r="Y151" s="11">
        <v>1.0</v>
      </c>
      <c r="Z151" s="11"/>
      <c r="AA151" s="11">
        <v>1.0</v>
      </c>
      <c r="AB151" s="11">
        <v>1.0</v>
      </c>
      <c r="AC151" s="11"/>
      <c r="AD151" s="11"/>
      <c r="AE151" s="11"/>
      <c r="AF151" s="11"/>
    </row>
    <row r="152" ht="15.75" customHeight="1">
      <c r="A152" s="13">
        <v>149.0</v>
      </c>
      <c r="B152" s="13">
        <v>8.0</v>
      </c>
      <c r="C152" s="13" t="s">
        <v>61</v>
      </c>
      <c r="D152" s="13" t="s">
        <v>491</v>
      </c>
      <c r="E152" s="13" t="s">
        <v>492</v>
      </c>
      <c r="F152" s="13" t="s">
        <v>493</v>
      </c>
      <c r="G152" s="13" t="s">
        <v>175</v>
      </c>
      <c r="H152" s="13">
        <v>2.0</v>
      </c>
      <c r="I152" s="13">
        <v>1.0</v>
      </c>
      <c r="J152" s="35">
        <v>5.0</v>
      </c>
      <c r="K152" s="35">
        <v>20.0</v>
      </c>
      <c r="L152" s="13"/>
      <c r="M152" s="13"/>
      <c r="N152" s="13">
        <v>7.0</v>
      </c>
      <c r="O152" s="13">
        <v>3.0</v>
      </c>
      <c r="P152" s="13">
        <v>3.0</v>
      </c>
      <c r="Q152" s="13">
        <v>2.0</v>
      </c>
      <c r="R152" s="13">
        <v>4.0</v>
      </c>
      <c r="S152" s="13">
        <v>1.0</v>
      </c>
      <c r="T152" s="13">
        <v>4.0</v>
      </c>
      <c r="U152" s="13">
        <v>2.0</v>
      </c>
      <c r="V152" s="13"/>
      <c r="W152" s="13">
        <v>1.0</v>
      </c>
      <c r="X152" s="13">
        <v>1.0</v>
      </c>
      <c r="Y152" s="13">
        <v>1.0</v>
      </c>
      <c r="Z152" s="13"/>
      <c r="AA152" s="13">
        <v>1.0</v>
      </c>
      <c r="AB152" s="13">
        <v>1.0</v>
      </c>
      <c r="AC152" s="13"/>
      <c r="AD152" s="13">
        <v>1.0</v>
      </c>
      <c r="AE152" s="13"/>
      <c r="AF152" s="13"/>
    </row>
    <row r="153" ht="15.75" customHeight="1">
      <c r="A153" s="11">
        <v>150.0</v>
      </c>
      <c r="B153" s="11">
        <v>8.0</v>
      </c>
      <c r="C153" s="11" t="s">
        <v>61</v>
      </c>
      <c r="D153" s="11" t="s">
        <v>494</v>
      </c>
      <c r="E153" s="11"/>
      <c r="F153" s="11" t="s">
        <v>495</v>
      </c>
      <c r="G153" s="11" t="s">
        <v>175</v>
      </c>
      <c r="H153" s="11">
        <v>2.0</v>
      </c>
      <c r="I153" s="11">
        <v>2.0</v>
      </c>
      <c r="J153" s="33">
        <v>4.0</v>
      </c>
      <c r="K153" s="33">
        <v>20.0</v>
      </c>
      <c r="L153" s="11"/>
      <c r="M153" s="11"/>
      <c r="N153" s="11">
        <v>7.0</v>
      </c>
      <c r="O153" s="11">
        <v>3.0</v>
      </c>
      <c r="P153" s="11">
        <v>3.0</v>
      </c>
      <c r="Q153" s="11">
        <v>2.0</v>
      </c>
      <c r="R153" s="11">
        <v>4.0</v>
      </c>
      <c r="S153" s="11">
        <v>1.0</v>
      </c>
      <c r="T153" s="11">
        <v>4.0</v>
      </c>
      <c r="U153" s="11">
        <v>2.0</v>
      </c>
      <c r="V153" s="11"/>
      <c r="W153" s="11">
        <v>1.0</v>
      </c>
      <c r="X153" s="11">
        <v>1.0</v>
      </c>
      <c r="Y153" s="11">
        <v>1.0</v>
      </c>
      <c r="Z153" s="11"/>
      <c r="AA153" s="11">
        <v>1.0</v>
      </c>
      <c r="AB153" s="11">
        <v>1.0</v>
      </c>
      <c r="AC153" s="11"/>
      <c r="AD153" s="11">
        <v>1.0</v>
      </c>
      <c r="AE153" s="11"/>
      <c r="AF153" s="11"/>
    </row>
    <row r="154" ht="15.75" customHeight="1">
      <c r="A154" s="13">
        <v>151.0</v>
      </c>
      <c r="B154" s="13">
        <v>8.0</v>
      </c>
      <c r="C154" s="13" t="s">
        <v>61</v>
      </c>
      <c r="D154" s="13" t="s">
        <v>496</v>
      </c>
      <c r="E154" s="13"/>
      <c r="F154" s="13" t="s">
        <v>497</v>
      </c>
      <c r="G154" s="13" t="s">
        <v>175</v>
      </c>
      <c r="H154" s="13">
        <v>2.0</v>
      </c>
      <c r="I154" s="13">
        <v>3.0</v>
      </c>
      <c r="J154" s="35">
        <v>3.0</v>
      </c>
      <c r="K154" s="35">
        <v>20.0</v>
      </c>
      <c r="L154" s="13"/>
      <c r="M154" s="13"/>
      <c r="N154" s="13">
        <v>11.0</v>
      </c>
      <c r="O154" s="13">
        <v>4.0</v>
      </c>
      <c r="P154" s="13">
        <v>4.0</v>
      </c>
      <c r="Q154" s="13">
        <v>3.0</v>
      </c>
      <c r="R154" s="13">
        <v>5.0</v>
      </c>
      <c r="S154" s="13">
        <v>1.0</v>
      </c>
      <c r="T154" s="13">
        <v>5.0</v>
      </c>
      <c r="U154" s="13">
        <v>2.0</v>
      </c>
      <c r="V154" s="13">
        <v>1.0</v>
      </c>
      <c r="W154" s="13">
        <v>1.0</v>
      </c>
      <c r="X154" s="13">
        <v>1.0</v>
      </c>
      <c r="Y154" s="13">
        <v>1.0</v>
      </c>
      <c r="Z154" s="13"/>
      <c r="AA154" s="13">
        <v>1.0</v>
      </c>
      <c r="AB154" s="13">
        <v>1.0</v>
      </c>
      <c r="AC154" s="13"/>
      <c r="AD154" s="13">
        <v>1.0</v>
      </c>
      <c r="AE154" s="13"/>
      <c r="AF154" s="13"/>
    </row>
    <row r="155" ht="15.75" customHeight="1">
      <c r="A155" s="11">
        <v>152.0</v>
      </c>
      <c r="B155" s="11">
        <v>8.0</v>
      </c>
      <c r="C155" s="11" t="s">
        <v>61</v>
      </c>
      <c r="D155" s="11" t="s">
        <v>498</v>
      </c>
      <c r="E155" s="11"/>
      <c r="F155" s="11" t="s">
        <v>499</v>
      </c>
      <c r="G155" s="11" t="s">
        <v>175</v>
      </c>
      <c r="H155" s="11">
        <v>2.0</v>
      </c>
      <c r="I155" s="11">
        <v>4.0</v>
      </c>
      <c r="J155" s="33">
        <v>2.0</v>
      </c>
      <c r="K155" s="33">
        <v>20.0</v>
      </c>
      <c r="L155" s="11"/>
      <c r="M155" s="11"/>
      <c r="N155" s="11">
        <v>11.0</v>
      </c>
      <c r="O155" s="11">
        <v>4.0</v>
      </c>
      <c r="P155" s="11">
        <v>4.0</v>
      </c>
      <c r="Q155" s="11">
        <v>3.0</v>
      </c>
      <c r="R155" s="11">
        <v>5.0</v>
      </c>
      <c r="S155" s="11">
        <v>1.0</v>
      </c>
      <c r="T155" s="11">
        <v>5.0</v>
      </c>
      <c r="U155" s="11">
        <v>2.0</v>
      </c>
      <c r="V155" s="11">
        <v>1.0</v>
      </c>
      <c r="W155" s="11">
        <v>1.0</v>
      </c>
      <c r="X155" s="11">
        <v>1.0</v>
      </c>
      <c r="Y155" s="11">
        <v>1.0</v>
      </c>
      <c r="Z155" s="11"/>
      <c r="AA155" s="11">
        <v>1.0</v>
      </c>
      <c r="AB155" s="11">
        <v>1.0</v>
      </c>
      <c r="AC155" s="11"/>
      <c r="AD155" s="11">
        <v>1.0</v>
      </c>
      <c r="AE155" s="11"/>
      <c r="AF155" s="11"/>
    </row>
    <row r="156" ht="15.75" customHeight="1">
      <c r="A156" s="13">
        <v>153.0</v>
      </c>
      <c r="B156" s="13">
        <v>8.0</v>
      </c>
      <c r="C156" s="13" t="s">
        <v>61</v>
      </c>
      <c r="D156" s="13" t="s">
        <v>500</v>
      </c>
      <c r="E156" s="13" t="s">
        <v>501</v>
      </c>
      <c r="F156" s="13" t="s">
        <v>502</v>
      </c>
      <c r="G156" s="13" t="s">
        <v>175</v>
      </c>
      <c r="H156" s="13">
        <v>3.0</v>
      </c>
      <c r="I156" s="13">
        <v>1.0</v>
      </c>
      <c r="J156" s="35">
        <v>5.0</v>
      </c>
      <c r="K156" s="35">
        <v>20.0</v>
      </c>
      <c r="L156" s="13"/>
      <c r="M156" s="13"/>
      <c r="N156" s="13">
        <v>6.0</v>
      </c>
      <c r="O156" s="13">
        <v>3.0</v>
      </c>
      <c r="P156" s="13">
        <v>2.0</v>
      </c>
      <c r="Q156" s="13">
        <v>1.0</v>
      </c>
      <c r="R156" s="13">
        <v>3.0</v>
      </c>
      <c r="S156" s="13"/>
      <c r="T156" s="13">
        <v>4.0</v>
      </c>
      <c r="U156" s="13">
        <v>3.0</v>
      </c>
      <c r="V156" s="13">
        <v>1.0</v>
      </c>
      <c r="W156" s="13">
        <v>1.0</v>
      </c>
      <c r="X156" s="13">
        <v>2.0</v>
      </c>
      <c r="Y156" s="13">
        <v>1.0</v>
      </c>
      <c r="Z156" s="13"/>
      <c r="AA156" s="13">
        <v>1.0</v>
      </c>
      <c r="AB156" s="13">
        <v>1.0</v>
      </c>
      <c r="AC156" s="13"/>
      <c r="AD156" s="13"/>
      <c r="AE156" s="13"/>
      <c r="AF156" s="13"/>
    </row>
    <row r="157" ht="15.75" customHeight="1">
      <c r="A157" s="11">
        <v>154.0</v>
      </c>
      <c r="B157" s="11">
        <v>8.0</v>
      </c>
      <c r="C157" s="11" t="s">
        <v>61</v>
      </c>
      <c r="D157" s="11" t="s">
        <v>503</v>
      </c>
      <c r="E157" s="11"/>
      <c r="F157" s="11" t="s">
        <v>504</v>
      </c>
      <c r="G157" s="11" t="s">
        <v>175</v>
      </c>
      <c r="H157" s="11">
        <v>3.0</v>
      </c>
      <c r="I157" s="11">
        <v>2.0</v>
      </c>
      <c r="J157" s="33">
        <v>4.0</v>
      </c>
      <c r="K157" s="33">
        <v>20.0</v>
      </c>
      <c r="L157" s="11"/>
      <c r="M157" s="11"/>
      <c r="N157" s="11">
        <v>6.0</v>
      </c>
      <c r="O157" s="11">
        <v>3.0</v>
      </c>
      <c r="P157" s="11">
        <v>2.0</v>
      </c>
      <c r="Q157" s="11">
        <v>1.0</v>
      </c>
      <c r="R157" s="11">
        <v>3.0</v>
      </c>
      <c r="S157" s="11"/>
      <c r="T157" s="11">
        <v>4.0</v>
      </c>
      <c r="U157" s="11">
        <v>3.0</v>
      </c>
      <c r="V157" s="11">
        <v>1.0</v>
      </c>
      <c r="W157" s="11">
        <v>1.0</v>
      </c>
      <c r="X157" s="11">
        <v>2.0</v>
      </c>
      <c r="Y157" s="11">
        <v>1.0</v>
      </c>
      <c r="Z157" s="11"/>
      <c r="AA157" s="11">
        <v>1.0</v>
      </c>
      <c r="AB157" s="11">
        <v>1.0</v>
      </c>
      <c r="AC157" s="11"/>
      <c r="AD157" s="11"/>
      <c r="AE157" s="11"/>
      <c r="AF157" s="11"/>
    </row>
    <row r="158" ht="15.75" customHeight="1">
      <c r="A158" s="13">
        <v>155.0</v>
      </c>
      <c r="B158" s="13">
        <v>8.0</v>
      </c>
      <c r="C158" s="13" t="s">
        <v>61</v>
      </c>
      <c r="D158" s="13" t="s">
        <v>505</v>
      </c>
      <c r="E158" s="13"/>
      <c r="F158" s="13" t="s">
        <v>506</v>
      </c>
      <c r="G158" s="13" t="s">
        <v>175</v>
      </c>
      <c r="H158" s="13">
        <v>3.0</v>
      </c>
      <c r="I158" s="13">
        <v>3.0</v>
      </c>
      <c r="J158" s="35">
        <v>3.0</v>
      </c>
      <c r="K158" s="35">
        <v>20.0</v>
      </c>
      <c r="L158" s="13"/>
      <c r="M158" s="13"/>
      <c r="N158" s="13">
        <v>10.0</v>
      </c>
      <c r="O158" s="13">
        <v>4.0</v>
      </c>
      <c r="P158" s="13">
        <v>3.0</v>
      </c>
      <c r="Q158" s="13">
        <v>1.0</v>
      </c>
      <c r="R158" s="13">
        <v>4.0</v>
      </c>
      <c r="S158" s="13">
        <v>1.0</v>
      </c>
      <c r="T158" s="13">
        <v>5.0</v>
      </c>
      <c r="U158" s="13">
        <v>3.0</v>
      </c>
      <c r="V158" s="13">
        <v>1.0</v>
      </c>
      <c r="W158" s="13">
        <v>1.0</v>
      </c>
      <c r="X158" s="13">
        <v>2.0</v>
      </c>
      <c r="Y158" s="13">
        <v>1.0</v>
      </c>
      <c r="Z158" s="13"/>
      <c r="AA158" s="13">
        <v>1.0</v>
      </c>
      <c r="AB158" s="13">
        <v>1.0</v>
      </c>
      <c r="AC158" s="13"/>
      <c r="AD158" s="13"/>
      <c r="AE158" s="13"/>
      <c r="AF158" s="13"/>
    </row>
    <row r="159" ht="15.75" customHeight="1">
      <c r="A159" s="11">
        <v>156.0</v>
      </c>
      <c r="B159" s="11">
        <v>8.0</v>
      </c>
      <c r="C159" s="11" t="s">
        <v>61</v>
      </c>
      <c r="D159" s="11" t="s">
        <v>507</v>
      </c>
      <c r="E159" s="11"/>
      <c r="F159" s="11" t="s">
        <v>508</v>
      </c>
      <c r="G159" s="11" t="s">
        <v>175</v>
      </c>
      <c r="H159" s="11">
        <v>3.0</v>
      </c>
      <c r="I159" s="11">
        <v>4.0</v>
      </c>
      <c r="J159" s="33">
        <v>2.0</v>
      </c>
      <c r="K159" s="33">
        <v>20.0</v>
      </c>
      <c r="L159" s="11"/>
      <c r="M159" s="11"/>
      <c r="N159" s="11">
        <v>10.0</v>
      </c>
      <c r="O159" s="11">
        <v>4.0</v>
      </c>
      <c r="P159" s="11">
        <v>3.0</v>
      </c>
      <c r="Q159" s="11">
        <v>1.0</v>
      </c>
      <c r="R159" s="11">
        <v>4.0</v>
      </c>
      <c r="S159" s="11">
        <v>1.0</v>
      </c>
      <c r="T159" s="11">
        <v>5.0</v>
      </c>
      <c r="U159" s="11">
        <v>3.0</v>
      </c>
      <c r="V159" s="11">
        <v>1.0</v>
      </c>
      <c r="W159" s="11">
        <v>1.0</v>
      </c>
      <c r="X159" s="11">
        <v>2.0</v>
      </c>
      <c r="Y159" s="11">
        <v>1.0</v>
      </c>
      <c r="Z159" s="11"/>
      <c r="AA159" s="11">
        <v>1.0</v>
      </c>
      <c r="AB159" s="11">
        <v>1.0</v>
      </c>
      <c r="AC159" s="11"/>
      <c r="AD159" s="11"/>
      <c r="AE159" s="11"/>
      <c r="AF159" s="11"/>
    </row>
    <row r="160" ht="15.75" customHeight="1">
      <c r="A160" s="13">
        <v>157.0</v>
      </c>
      <c r="B160" s="13">
        <v>8.0</v>
      </c>
      <c r="C160" s="13" t="s">
        <v>61</v>
      </c>
      <c r="D160" s="13" t="s">
        <v>509</v>
      </c>
      <c r="E160" s="13" t="s">
        <v>510</v>
      </c>
      <c r="F160" s="13" t="s">
        <v>511</v>
      </c>
      <c r="G160" s="13" t="s">
        <v>175</v>
      </c>
      <c r="H160" s="13">
        <v>4.0</v>
      </c>
      <c r="I160" s="13">
        <v>1.0</v>
      </c>
      <c r="J160" s="35">
        <v>5.0</v>
      </c>
      <c r="K160" s="35">
        <v>20.0</v>
      </c>
      <c r="L160" s="13"/>
      <c r="M160" s="13"/>
      <c r="N160" s="13">
        <v>5.0</v>
      </c>
      <c r="O160" s="13">
        <v>3.0</v>
      </c>
      <c r="P160" s="13">
        <v>3.0</v>
      </c>
      <c r="Q160" s="13">
        <v>1.0</v>
      </c>
      <c r="R160" s="13">
        <v>2.0</v>
      </c>
      <c r="S160" s="13">
        <v>1.0</v>
      </c>
      <c r="T160" s="13">
        <v>3.0</v>
      </c>
      <c r="U160" s="13">
        <v>4.0</v>
      </c>
      <c r="V160" s="13">
        <v>1.0</v>
      </c>
      <c r="W160" s="13">
        <v>1.0</v>
      </c>
      <c r="X160" s="13">
        <v>1.0</v>
      </c>
      <c r="Y160" s="13">
        <v>2.0</v>
      </c>
      <c r="Z160" s="13"/>
      <c r="AA160" s="13">
        <v>1.0</v>
      </c>
      <c r="AB160" s="13">
        <v>1.0</v>
      </c>
      <c r="AC160" s="13"/>
      <c r="AD160" s="13"/>
      <c r="AE160" s="13"/>
      <c r="AF160" s="13"/>
    </row>
    <row r="161" ht="15.75" customHeight="1">
      <c r="A161" s="11">
        <v>158.0</v>
      </c>
      <c r="B161" s="11">
        <v>8.0</v>
      </c>
      <c r="C161" s="11" t="s">
        <v>61</v>
      </c>
      <c r="D161" s="11" t="s">
        <v>512</v>
      </c>
      <c r="E161" s="11"/>
      <c r="F161" s="11" t="s">
        <v>513</v>
      </c>
      <c r="G161" s="11" t="s">
        <v>175</v>
      </c>
      <c r="H161" s="11">
        <v>4.0</v>
      </c>
      <c r="I161" s="11">
        <v>2.0</v>
      </c>
      <c r="J161" s="33">
        <v>4.0</v>
      </c>
      <c r="K161" s="33">
        <v>20.0</v>
      </c>
      <c r="L161" s="11"/>
      <c r="M161" s="11"/>
      <c r="N161" s="11">
        <v>5.0</v>
      </c>
      <c r="O161" s="11">
        <v>3.0</v>
      </c>
      <c r="P161" s="11">
        <v>3.0</v>
      </c>
      <c r="Q161" s="11">
        <v>1.0</v>
      </c>
      <c r="R161" s="11">
        <v>2.0</v>
      </c>
      <c r="S161" s="11">
        <v>1.0</v>
      </c>
      <c r="T161" s="11">
        <v>3.0</v>
      </c>
      <c r="U161" s="11">
        <v>4.0</v>
      </c>
      <c r="V161" s="11">
        <v>1.0</v>
      </c>
      <c r="W161" s="11">
        <v>1.0</v>
      </c>
      <c r="X161" s="11">
        <v>1.0</v>
      </c>
      <c r="Y161" s="11">
        <v>2.0</v>
      </c>
      <c r="Z161" s="11"/>
      <c r="AA161" s="11">
        <v>1.0</v>
      </c>
      <c r="AB161" s="11">
        <v>1.0</v>
      </c>
      <c r="AC161" s="11"/>
      <c r="AD161" s="11"/>
      <c r="AE161" s="11"/>
      <c r="AF161" s="11"/>
    </row>
    <row r="162" ht="15.75" customHeight="1">
      <c r="A162" s="13">
        <v>159.0</v>
      </c>
      <c r="B162" s="13">
        <v>8.0</v>
      </c>
      <c r="C162" s="13" t="s">
        <v>61</v>
      </c>
      <c r="D162" s="13" t="s">
        <v>514</v>
      </c>
      <c r="E162" s="13"/>
      <c r="F162" s="13" t="s">
        <v>515</v>
      </c>
      <c r="G162" s="13" t="s">
        <v>175</v>
      </c>
      <c r="H162" s="13">
        <v>4.0</v>
      </c>
      <c r="I162" s="13">
        <v>3.0</v>
      </c>
      <c r="J162" s="35">
        <v>3.0</v>
      </c>
      <c r="K162" s="35">
        <v>20.0</v>
      </c>
      <c r="L162" s="13"/>
      <c r="M162" s="13"/>
      <c r="N162" s="13">
        <v>9.0</v>
      </c>
      <c r="O162" s="13">
        <v>4.0</v>
      </c>
      <c r="P162" s="13">
        <v>3.0</v>
      </c>
      <c r="Q162" s="13">
        <v>2.0</v>
      </c>
      <c r="R162" s="13">
        <v>3.0</v>
      </c>
      <c r="S162" s="13">
        <v>1.0</v>
      </c>
      <c r="T162" s="13">
        <v>3.0</v>
      </c>
      <c r="U162" s="13">
        <v>5.0</v>
      </c>
      <c r="V162" s="13">
        <v>1.0</v>
      </c>
      <c r="W162" s="13">
        <v>1.0</v>
      </c>
      <c r="X162" s="13">
        <v>1.0</v>
      </c>
      <c r="Y162" s="13">
        <v>2.0</v>
      </c>
      <c r="Z162" s="13"/>
      <c r="AA162" s="13">
        <v>1.0</v>
      </c>
      <c r="AB162" s="13">
        <v>1.0</v>
      </c>
      <c r="AC162" s="13"/>
      <c r="AD162" s="13"/>
      <c r="AE162" s="13"/>
      <c r="AF162" s="13"/>
    </row>
    <row r="163" ht="15.75" customHeight="1">
      <c r="A163" s="11">
        <v>160.0</v>
      </c>
      <c r="B163" s="11">
        <v>8.0</v>
      </c>
      <c r="C163" s="11" t="s">
        <v>61</v>
      </c>
      <c r="D163" s="11" t="s">
        <v>516</v>
      </c>
      <c r="E163" s="11"/>
      <c r="F163" s="11" t="s">
        <v>517</v>
      </c>
      <c r="G163" s="11" t="s">
        <v>175</v>
      </c>
      <c r="H163" s="11">
        <v>4.0</v>
      </c>
      <c r="I163" s="11">
        <v>4.0</v>
      </c>
      <c r="J163" s="33">
        <v>2.0</v>
      </c>
      <c r="K163" s="33">
        <v>20.0</v>
      </c>
      <c r="L163" s="11"/>
      <c r="M163" s="11"/>
      <c r="N163" s="11">
        <v>9.0</v>
      </c>
      <c r="O163" s="11">
        <v>4.0</v>
      </c>
      <c r="P163" s="11">
        <v>3.0</v>
      </c>
      <c r="Q163" s="11">
        <v>2.0</v>
      </c>
      <c r="R163" s="11">
        <v>3.0</v>
      </c>
      <c r="S163" s="11">
        <v>1.0</v>
      </c>
      <c r="T163" s="11">
        <v>3.0</v>
      </c>
      <c r="U163" s="11">
        <v>5.0</v>
      </c>
      <c r="V163" s="11">
        <v>1.0</v>
      </c>
      <c r="W163" s="11">
        <v>1.0</v>
      </c>
      <c r="X163" s="11">
        <v>1.0</v>
      </c>
      <c r="Y163" s="11">
        <v>2.0</v>
      </c>
      <c r="Z163" s="11"/>
      <c r="AA163" s="11">
        <v>1.0</v>
      </c>
      <c r="AB163" s="11">
        <v>1.0</v>
      </c>
      <c r="AC163" s="11"/>
      <c r="AD163" s="11"/>
      <c r="AE163" s="11"/>
      <c r="AF163" s="11"/>
    </row>
    <row r="164" ht="15.75" customHeight="1">
      <c r="A164" s="13">
        <v>161.0</v>
      </c>
      <c r="B164" s="13">
        <v>8.0</v>
      </c>
      <c r="C164" s="13" t="s">
        <v>61</v>
      </c>
      <c r="D164" s="13" t="s">
        <v>518</v>
      </c>
      <c r="E164" s="13"/>
      <c r="F164" s="13" t="s">
        <v>519</v>
      </c>
      <c r="G164" s="13" t="s">
        <v>74</v>
      </c>
      <c r="H164" s="13">
        <v>5.0</v>
      </c>
      <c r="I164" s="13">
        <v>5.0</v>
      </c>
      <c r="J164" s="35">
        <v>1.0</v>
      </c>
      <c r="K164" s="35">
        <v>105.0</v>
      </c>
      <c r="L164" s="13"/>
      <c r="M164" s="13"/>
      <c r="N164" s="13">
        <v>26.0</v>
      </c>
      <c r="O164" s="13">
        <v>9.0</v>
      </c>
      <c r="P164" s="13">
        <v>9.0</v>
      </c>
      <c r="Q164" s="13">
        <v>5.0</v>
      </c>
      <c r="R164" s="13">
        <v>6.0</v>
      </c>
      <c r="S164" s="13">
        <v>2.0</v>
      </c>
      <c r="T164" s="13">
        <v>7.0</v>
      </c>
      <c r="U164" s="13">
        <v>7.0</v>
      </c>
      <c r="V164" s="13">
        <v>3.0</v>
      </c>
      <c r="W164" s="13">
        <v>3.0</v>
      </c>
      <c r="X164" s="13">
        <v>3.0</v>
      </c>
      <c r="Y164" s="13">
        <v>3.0</v>
      </c>
      <c r="Z164" s="13"/>
      <c r="AA164" s="13">
        <v>1.0</v>
      </c>
      <c r="AB164" s="13">
        <v>2.0</v>
      </c>
      <c r="AC164" s="13"/>
      <c r="AD164" s="13">
        <v>2.0</v>
      </c>
      <c r="AE164" s="13">
        <v>1.0</v>
      </c>
      <c r="AF164" s="13"/>
    </row>
    <row r="165" ht="15.75" customHeight="1">
      <c r="A165" s="11">
        <v>162.0</v>
      </c>
      <c r="B165" s="11">
        <v>9.0</v>
      </c>
      <c r="C165" s="11" t="s">
        <v>63</v>
      </c>
      <c r="D165" s="11" t="s">
        <v>520</v>
      </c>
      <c r="E165" s="11"/>
      <c r="F165" s="11" t="s">
        <v>521</v>
      </c>
      <c r="G165" s="11" t="s">
        <v>170</v>
      </c>
      <c r="H165" s="11">
        <v>0.0</v>
      </c>
      <c r="I165" s="11">
        <v>0.0</v>
      </c>
      <c r="J165" s="33">
        <v>10.0</v>
      </c>
      <c r="K165" s="33">
        <v>75.0</v>
      </c>
      <c r="L165" s="11"/>
      <c r="M165" s="34" t="s">
        <v>522</v>
      </c>
      <c r="N165" s="11">
        <v>18.0</v>
      </c>
      <c r="O165" s="11">
        <v>8.0</v>
      </c>
      <c r="P165" s="11">
        <v>8.0</v>
      </c>
      <c r="Q165" s="11">
        <v>2.0</v>
      </c>
      <c r="R165" s="11">
        <v>5.0</v>
      </c>
      <c r="S165" s="11">
        <v>2.0</v>
      </c>
      <c r="T165" s="11">
        <v>5.0</v>
      </c>
      <c r="U165" s="11">
        <v>5.0</v>
      </c>
      <c r="V165" s="11">
        <v>1.0</v>
      </c>
      <c r="W165" s="11">
        <v>2.0</v>
      </c>
      <c r="X165" s="11">
        <v>2.0</v>
      </c>
      <c r="Y165" s="11">
        <v>2.0</v>
      </c>
      <c r="Z165" s="11"/>
      <c r="AA165" s="11">
        <v>1.0</v>
      </c>
      <c r="AB165" s="11">
        <v>2.0</v>
      </c>
      <c r="AC165" s="11"/>
      <c r="AD165" s="11">
        <v>1.0</v>
      </c>
      <c r="AE165" s="11">
        <v>2.0</v>
      </c>
      <c r="AF165" s="11"/>
    </row>
    <row r="166" ht="15.75" customHeight="1">
      <c r="A166" s="13">
        <v>163.0</v>
      </c>
      <c r="B166" s="13">
        <v>9.0</v>
      </c>
      <c r="C166" s="13" t="s">
        <v>63</v>
      </c>
      <c r="D166" s="13" t="s">
        <v>523</v>
      </c>
      <c r="E166" s="13" t="s">
        <v>524</v>
      </c>
      <c r="F166" s="13" t="s">
        <v>525</v>
      </c>
      <c r="G166" s="13" t="s">
        <v>175</v>
      </c>
      <c r="H166" s="13">
        <v>1.0</v>
      </c>
      <c r="I166" s="13">
        <v>1.0</v>
      </c>
      <c r="J166" s="35">
        <v>5.0</v>
      </c>
      <c r="K166" s="35">
        <v>20.0</v>
      </c>
      <c r="L166" s="13"/>
      <c r="M166" s="13"/>
      <c r="N166" s="13">
        <v>5.0</v>
      </c>
      <c r="O166" s="13">
        <v>3.0</v>
      </c>
      <c r="P166" s="13">
        <v>3.0</v>
      </c>
      <c r="Q166" s="13">
        <v>1.0</v>
      </c>
      <c r="R166" s="13">
        <v>3.0</v>
      </c>
      <c r="S166" s="13"/>
      <c r="T166" s="13">
        <v>4.0</v>
      </c>
      <c r="U166" s="13">
        <v>4.0</v>
      </c>
      <c r="V166" s="13"/>
      <c r="W166" s="13">
        <v>1.0</v>
      </c>
      <c r="X166" s="13">
        <v>1.0</v>
      </c>
      <c r="Y166" s="13">
        <v>1.0</v>
      </c>
      <c r="Z166" s="13"/>
      <c r="AA166" s="13">
        <v>1.0</v>
      </c>
      <c r="AB166" s="13">
        <v>1.0</v>
      </c>
      <c r="AC166" s="13"/>
      <c r="AD166" s="13"/>
      <c r="AE166" s="13">
        <v>1.0</v>
      </c>
      <c r="AF166" s="13"/>
    </row>
    <row r="167" ht="15.75" customHeight="1">
      <c r="A167" s="11">
        <v>164.0</v>
      </c>
      <c r="B167" s="11">
        <v>9.0</v>
      </c>
      <c r="C167" s="11" t="s">
        <v>63</v>
      </c>
      <c r="D167" s="11" t="s">
        <v>526</v>
      </c>
      <c r="E167" s="11"/>
      <c r="F167" s="11" t="s">
        <v>527</v>
      </c>
      <c r="G167" s="11" t="s">
        <v>175</v>
      </c>
      <c r="H167" s="11">
        <v>1.0</v>
      </c>
      <c r="I167" s="11">
        <v>2.0</v>
      </c>
      <c r="J167" s="33">
        <v>4.0</v>
      </c>
      <c r="K167" s="33">
        <v>20.0</v>
      </c>
      <c r="L167" s="11"/>
      <c r="M167" s="11"/>
      <c r="N167" s="11">
        <v>5.0</v>
      </c>
      <c r="O167" s="11">
        <v>3.0</v>
      </c>
      <c r="P167" s="11">
        <v>3.0</v>
      </c>
      <c r="Q167" s="11">
        <v>1.0</v>
      </c>
      <c r="R167" s="11">
        <v>3.0</v>
      </c>
      <c r="S167" s="11"/>
      <c r="T167" s="11">
        <v>4.0</v>
      </c>
      <c r="U167" s="11">
        <v>4.0</v>
      </c>
      <c r="V167" s="11"/>
      <c r="W167" s="11">
        <v>1.0</v>
      </c>
      <c r="X167" s="11">
        <v>1.0</v>
      </c>
      <c r="Y167" s="11">
        <v>1.0</v>
      </c>
      <c r="Z167" s="11"/>
      <c r="AA167" s="11">
        <v>1.0</v>
      </c>
      <c r="AB167" s="11">
        <v>1.0</v>
      </c>
      <c r="AC167" s="11"/>
      <c r="AD167" s="11"/>
      <c r="AE167" s="11">
        <v>1.0</v>
      </c>
      <c r="AF167" s="11"/>
    </row>
    <row r="168" ht="15.75" customHeight="1">
      <c r="A168" s="13">
        <v>165.0</v>
      </c>
      <c r="B168" s="13">
        <v>9.0</v>
      </c>
      <c r="C168" s="13" t="s">
        <v>63</v>
      </c>
      <c r="D168" s="13" t="s">
        <v>528</v>
      </c>
      <c r="E168" s="13"/>
      <c r="F168" s="13" t="s">
        <v>529</v>
      </c>
      <c r="G168" s="13" t="s">
        <v>175</v>
      </c>
      <c r="H168" s="13">
        <v>1.0</v>
      </c>
      <c r="I168" s="13">
        <v>3.0</v>
      </c>
      <c r="J168" s="35">
        <v>3.0</v>
      </c>
      <c r="K168" s="35">
        <v>20.0</v>
      </c>
      <c r="L168" s="13"/>
      <c r="M168" s="13"/>
      <c r="N168" s="13">
        <v>9.0</v>
      </c>
      <c r="O168" s="13">
        <v>4.0</v>
      </c>
      <c r="P168" s="13">
        <v>4.0</v>
      </c>
      <c r="Q168" s="13">
        <v>1.0</v>
      </c>
      <c r="R168" s="13">
        <v>4.0</v>
      </c>
      <c r="S168" s="13">
        <v>1.0</v>
      </c>
      <c r="T168" s="13">
        <v>5.0</v>
      </c>
      <c r="U168" s="13">
        <v>5.0</v>
      </c>
      <c r="V168" s="13"/>
      <c r="W168" s="13">
        <v>1.0</v>
      </c>
      <c r="X168" s="13">
        <v>2.0</v>
      </c>
      <c r="Y168" s="13">
        <v>1.0</v>
      </c>
      <c r="Z168" s="13"/>
      <c r="AA168" s="13">
        <v>1.0</v>
      </c>
      <c r="AB168" s="13">
        <v>1.0</v>
      </c>
      <c r="AC168" s="13"/>
      <c r="AD168" s="13"/>
      <c r="AE168" s="13">
        <v>2.0</v>
      </c>
      <c r="AF168" s="13"/>
    </row>
    <row r="169" ht="15.75" customHeight="1">
      <c r="A169" s="11">
        <v>166.0</v>
      </c>
      <c r="B169" s="11">
        <v>9.0</v>
      </c>
      <c r="C169" s="11" t="s">
        <v>63</v>
      </c>
      <c r="D169" s="11" t="s">
        <v>530</v>
      </c>
      <c r="E169" s="11"/>
      <c r="F169" s="11" t="s">
        <v>531</v>
      </c>
      <c r="G169" s="11" t="s">
        <v>175</v>
      </c>
      <c r="H169" s="11">
        <v>1.0</v>
      </c>
      <c r="I169" s="11">
        <v>4.0</v>
      </c>
      <c r="J169" s="33">
        <v>2.0</v>
      </c>
      <c r="K169" s="33">
        <v>20.0</v>
      </c>
      <c r="L169" s="11"/>
      <c r="M169" s="11"/>
      <c r="N169" s="11">
        <v>9.0</v>
      </c>
      <c r="O169" s="11">
        <v>4.0</v>
      </c>
      <c r="P169" s="11">
        <v>4.0</v>
      </c>
      <c r="Q169" s="11">
        <v>1.0</v>
      </c>
      <c r="R169" s="11">
        <v>4.0</v>
      </c>
      <c r="S169" s="11">
        <v>1.0</v>
      </c>
      <c r="T169" s="11">
        <v>5.0</v>
      </c>
      <c r="U169" s="11">
        <v>5.0</v>
      </c>
      <c r="V169" s="11"/>
      <c r="W169" s="11">
        <v>1.0</v>
      </c>
      <c r="X169" s="11">
        <v>2.0</v>
      </c>
      <c r="Y169" s="11">
        <v>1.0</v>
      </c>
      <c r="Z169" s="11"/>
      <c r="AA169" s="11">
        <v>1.0</v>
      </c>
      <c r="AB169" s="11">
        <v>1.0</v>
      </c>
      <c r="AC169" s="11"/>
      <c r="AD169" s="11"/>
      <c r="AE169" s="11">
        <v>2.0</v>
      </c>
      <c r="AF169" s="11"/>
    </row>
    <row r="170" ht="15.75" customHeight="1">
      <c r="A170" s="13">
        <v>167.0</v>
      </c>
      <c r="B170" s="13">
        <v>9.0</v>
      </c>
      <c r="C170" s="13" t="s">
        <v>63</v>
      </c>
      <c r="D170" s="13" t="s">
        <v>532</v>
      </c>
      <c r="E170" s="13" t="s">
        <v>533</v>
      </c>
      <c r="F170" s="13" t="s">
        <v>534</v>
      </c>
      <c r="G170" s="13" t="s">
        <v>175</v>
      </c>
      <c r="H170" s="13">
        <v>2.0</v>
      </c>
      <c r="I170" s="13">
        <v>1.0</v>
      </c>
      <c r="J170" s="35">
        <v>5.0</v>
      </c>
      <c r="K170" s="35">
        <v>20.0</v>
      </c>
      <c r="L170" s="13"/>
      <c r="M170" s="13"/>
      <c r="N170" s="13">
        <v>7.0</v>
      </c>
      <c r="O170" s="13">
        <v>3.0</v>
      </c>
      <c r="P170" s="13">
        <v>3.0</v>
      </c>
      <c r="Q170" s="13">
        <v>2.0</v>
      </c>
      <c r="R170" s="13">
        <v>5.0</v>
      </c>
      <c r="S170" s="13">
        <v>1.0</v>
      </c>
      <c r="T170" s="13">
        <v>5.0</v>
      </c>
      <c r="U170" s="13">
        <v>3.0</v>
      </c>
      <c r="V170" s="13"/>
      <c r="W170" s="13">
        <v>1.0</v>
      </c>
      <c r="X170" s="13">
        <v>1.0</v>
      </c>
      <c r="Y170" s="13">
        <v>1.0</v>
      </c>
      <c r="Z170" s="13"/>
      <c r="AA170" s="13">
        <v>1.0</v>
      </c>
      <c r="AB170" s="13">
        <v>1.0</v>
      </c>
      <c r="AC170" s="13"/>
      <c r="AD170" s="13">
        <v>1.0</v>
      </c>
      <c r="AE170" s="13">
        <v>1.0</v>
      </c>
      <c r="AF170" s="13"/>
    </row>
    <row r="171" ht="15.75" customHeight="1">
      <c r="A171" s="11">
        <v>168.0</v>
      </c>
      <c r="B171" s="11">
        <v>9.0</v>
      </c>
      <c r="C171" s="11" t="s">
        <v>63</v>
      </c>
      <c r="D171" s="11" t="s">
        <v>535</v>
      </c>
      <c r="E171" s="11"/>
      <c r="F171" s="11" t="s">
        <v>536</v>
      </c>
      <c r="G171" s="11" t="s">
        <v>175</v>
      </c>
      <c r="H171" s="11">
        <v>2.0</v>
      </c>
      <c r="I171" s="11">
        <v>2.0</v>
      </c>
      <c r="J171" s="33">
        <v>4.0</v>
      </c>
      <c r="K171" s="33">
        <v>20.0</v>
      </c>
      <c r="L171" s="11"/>
      <c r="M171" s="11"/>
      <c r="N171" s="11">
        <v>7.0</v>
      </c>
      <c r="O171" s="11">
        <v>3.0</v>
      </c>
      <c r="P171" s="11">
        <v>3.0</v>
      </c>
      <c r="Q171" s="11">
        <v>2.0</v>
      </c>
      <c r="R171" s="11">
        <v>5.0</v>
      </c>
      <c r="S171" s="11">
        <v>1.0</v>
      </c>
      <c r="T171" s="11">
        <v>5.0</v>
      </c>
      <c r="U171" s="11">
        <v>3.0</v>
      </c>
      <c r="V171" s="11"/>
      <c r="W171" s="11">
        <v>1.0</v>
      </c>
      <c r="X171" s="11">
        <v>1.0</v>
      </c>
      <c r="Y171" s="11">
        <v>1.0</v>
      </c>
      <c r="Z171" s="11"/>
      <c r="AA171" s="11">
        <v>1.0</v>
      </c>
      <c r="AB171" s="11">
        <v>1.0</v>
      </c>
      <c r="AC171" s="11"/>
      <c r="AD171" s="11">
        <v>1.0</v>
      </c>
      <c r="AE171" s="11">
        <v>1.0</v>
      </c>
      <c r="AF171" s="11"/>
    </row>
    <row r="172" ht="15.75" customHeight="1">
      <c r="A172" s="13">
        <v>169.0</v>
      </c>
      <c r="B172" s="13">
        <v>9.0</v>
      </c>
      <c r="C172" s="13" t="s">
        <v>63</v>
      </c>
      <c r="D172" s="13" t="s">
        <v>537</v>
      </c>
      <c r="E172" s="13"/>
      <c r="F172" s="13" t="s">
        <v>538</v>
      </c>
      <c r="G172" s="13" t="s">
        <v>175</v>
      </c>
      <c r="H172" s="13">
        <v>2.0</v>
      </c>
      <c r="I172" s="13">
        <v>3.0</v>
      </c>
      <c r="J172" s="35">
        <v>3.0</v>
      </c>
      <c r="K172" s="35">
        <v>20.0</v>
      </c>
      <c r="L172" s="13"/>
      <c r="M172" s="13"/>
      <c r="N172" s="13">
        <v>11.0</v>
      </c>
      <c r="O172" s="13">
        <v>4.0</v>
      </c>
      <c r="P172" s="13">
        <v>4.0</v>
      </c>
      <c r="Q172" s="13">
        <v>3.0</v>
      </c>
      <c r="R172" s="13">
        <v>6.0</v>
      </c>
      <c r="S172" s="13">
        <v>1.0</v>
      </c>
      <c r="T172" s="13">
        <v>5.0</v>
      </c>
      <c r="U172" s="13">
        <v>4.0</v>
      </c>
      <c r="V172" s="13"/>
      <c r="W172" s="13">
        <v>1.0</v>
      </c>
      <c r="X172" s="13">
        <v>2.0</v>
      </c>
      <c r="Y172" s="13">
        <v>1.0</v>
      </c>
      <c r="Z172" s="13"/>
      <c r="AA172" s="13">
        <v>1.0</v>
      </c>
      <c r="AB172" s="13">
        <v>1.0</v>
      </c>
      <c r="AC172" s="13"/>
      <c r="AD172" s="13">
        <v>1.0</v>
      </c>
      <c r="AE172" s="13">
        <v>2.0</v>
      </c>
      <c r="AF172" s="13"/>
    </row>
    <row r="173" ht="15.75" customHeight="1">
      <c r="A173" s="11">
        <v>170.0</v>
      </c>
      <c r="B173" s="11">
        <v>9.0</v>
      </c>
      <c r="C173" s="11" t="s">
        <v>63</v>
      </c>
      <c r="D173" s="11" t="s">
        <v>539</v>
      </c>
      <c r="E173" s="11"/>
      <c r="F173" s="11" t="s">
        <v>540</v>
      </c>
      <c r="G173" s="11" t="s">
        <v>175</v>
      </c>
      <c r="H173" s="11">
        <v>2.0</v>
      </c>
      <c r="I173" s="11">
        <v>4.0</v>
      </c>
      <c r="J173" s="33">
        <v>2.0</v>
      </c>
      <c r="K173" s="33">
        <v>20.0</v>
      </c>
      <c r="L173" s="11"/>
      <c r="M173" s="11"/>
      <c r="N173" s="11">
        <v>11.0</v>
      </c>
      <c r="O173" s="11">
        <v>4.0</v>
      </c>
      <c r="P173" s="11">
        <v>4.0</v>
      </c>
      <c r="Q173" s="11">
        <v>3.0</v>
      </c>
      <c r="R173" s="11">
        <v>6.0</v>
      </c>
      <c r="S173" s="11">
        <v>1.0</v>
      </c>
      <c r="T173" s="11">
        <v>5.0</v>
      </c>
      <c r="U173" s="11">
        <v>4.0</v>
      </c>
      <c r="V173" s="11"/>
      <c r="W173" s="11">
        <v>1.0</v>
      </c>
      <c r="X173" s="11">
        <v>2.0</v>
      </c>
      <c r="Y173" s="11">
        <v>1.0</v>
      </c>
      <c r="Z173" s="11"/>
      <c r="AA173" s="11">
        <v>1.0</v>
      </c>
      <c r="AB173" s="11">
        <v>1.0</v>
      </c>
      <c r="AC173" s="11"/>
      <c r="AD173" s="11">
        <v>1.0</v>
      </c>
      <c r="AE173" s="11">
        <v>2.0</v>
      </c>
      <c r="AF173" s="11"/>
    </row>
    <row r="174" ht="15.75" customHeight="1">
      <c r="A174" s="13">
        <v>171.0</v>
      </c>
      <c r="B174" s="13">
        <v>9.0</v>
      </c>
      <c r="C174" s="13" t="s">
        <v>63</v>
      </c>
      <c r="D174" s="13" t="s">
        <v>541</v>
      </c>
      <c r="E174" s="13" t="s">
        <v>542</v>
      </c>
      <c r="F174" s="13" t="s">
        <v>543</v>
      </c>
      <c r="G174" s="13" t="s">
        <v>175</v>
      </c>
      <c r="H174" s="13">
        <v>3.0</v>
      </c>
      <c r="I174" s="13">
        <v>1.0</v>
      </c>
      <c r="J174" s="35">
        <v>5.0</v>
      </c>
      <c r="K174" s="35">
        <v>20.0</v>
      </c>
      <c r="L174" s="13"/>
      <c r="M174" s="13"/>
      <c r="N174" s="13">
        <v>6.0</v>
      </c>
      <c r="O174" s="13">
        <v>3.0</v>
      </c>
      <c r="P174" s="13">
        <v>2.0</v>
      </c>
      <c r="Q174" s="13">
        <v>1.0</v>
      </c>
      <c r="R174" s="13">
        <v>4.0</v>
      </c>
      <c r="S174" s="13">
        <v>1.0</v>
      </c>
      <c r="T174" s="13">
        <v>4.0</v>
      </c>
      <c r="U174" s="13">
        <v>3.0</v>
      </c>
      <c r="V174" s="13">
        <v>1.0</v>
      </c>
      <c r="W174" s="13">
        <v>1.0</v>
      </c>
      <c r="X174" s="13">
        <v>1.0</v>
      </c>
      <c r="Y174" s="13">
        <v>1.0</v>
      </c>
      <c r="Z174" s="13"/>
      <c r="AA174" s="13">
        <v>1.0</v>
      </c>
      <c r="AB174" s="13">
        <v>2.0</v>
      </c>
      <c r="AC174" s="13"/>
      <c r="AD174" s="13">
        <v>1.0</v>
      </c>
      <c r="AE174" s="13">
        <v>1.0</v>
      </c>
      <c r="AF174" s="13"/>
    </row>
    <row r="175" ht="15.75" customHeight="1">
      <c r="A175" s="11">
        <v>172.0</v>
      </c>
      <c r="B175" s="11">
        <v>9.0</v>
      </c>
      <c r="C175" s="11" t="s">
        <v>63</v>
      </c>
      <c r="D175" s="11" t="s">
        <v>544</v>
      </c>
      <c r="E175" s="11"/>
      <c r="F175" s="11" t="s">
        <v>545</v>
      </c>
      <c r="G175" s="11" t="s">
        <v>175</v>
      </c>
      <c r="H175" s="11">
        <v>3.0</v>
      </c>
      <c r="I175" s="11">
        <v>2.0</v>
      </c>
      <c r="J175" s="33">
        <v>4.0</v>
      </c>
      <c r="K175" s="33">
        <v>20.0</v>
      </c>
      <c r="L175" s="11"/>
      <c r="M175" s="11"/>
      <c r="N175" s="11">
        <v>6.0</v>
      </c>
      <c r="O175" s="11">
        <v>3.0</v>
      </c>
      <c r="P175" s="11">
        <v>2.0</v>
      </c>
      <c r="Q175" s="11">
        <v>1.0</v>
      </c>
      <c r="R175" s="11">
        <v>4.0</v>
      </c>
      <c r="S175" s="11">
        <v>1.0</v>
      </c>
      <c r="T175" s="11">
        <v>4.0</v>
      </c>
      <c r="U175" s="11">
        <v>3.0</v>
      </c>
      <c r="V175" s="11">
        <v>1.0</v>
      </c>
      <c r="W175" s="11">
        <v>1.0</v>
      </c>
      <c r="X175" s="11">
        <v>1.0</v>
      </c>
      <c r="Y175" s="11">
        <v>1.0</v>
      </c>
      <c r="Z175" s="11"/>
      <c r="AA175" s="11">
        <v>1.0</v>
      </c>
      <c r="AB175" s="11">
        <v>2.0</v>
      </c>
      <c r="AC175" s="11"/>
      <c r="AD175" s="11">
        <v>1.0</v>
      </c>
      <c r="AE175" s="11">
        <v>1.0</v>
      </c>
      <c r="AF175" s="11"/>
    </row>
    <row r="176" ht="15.75" customHeight="1">
      <c r="A176" s="13">
        <v>173.0</v>
      </c>
      <c r="B176" s="13">
        <v>9.0</v>
      </c>
      <c r="C176" s="13" t="s">
        <v>63</v>
      </c>
      <c r="D176" s="13" t="s">
        <v>546</v>
      </c>
      <c r="E176" s="13"/>
      <c r="F176" s="13" t="s">
        <v>547</v>
      </c>
      <c r="G176" s="13" t="s">
        <v>175</v>
      </c>
      <c r="H176" s="13">
        <v>3.0</v>
      </c>
      <c r="I176" s="13">
        <v>3.0</v>
      </c>
      <c r="J176" s="35">
        <v>3.0</v>
      </c>
      <c r="K176" s="35">
        <v>20.0</v>
      </c>
      <c r="L176" s="13"/>
      <c r="M176" s="13"/>
      <c r="N176" s="13">
        <v>10.0</v>
      </c>
      <c r="O176" s="13">
        <v>4.0</v>
      </c>
      <c r="P176" s="13">
        <v>3.0</v>
      </c>
      <c r="Q176" s="13">
        <v>1.0</v>
      </c>
      <c r="R176" s="13">
        <v>5.0</v>
      </c>
      <c r="S176" s="13">
        <v>1.0</v>
      </c>
      <c r="T176" s="13">
        <v>4.0</v>
      </c>
      <c r="U176" s="13">
        <v>3.0</v>
      </c>
      <c r="V176" s="13">
        <v>1.0</v>
      </c>
      <c r="W176" s="13">
        <v>1.0</v>
      </c>
      <c r="X176" s="13">
        <v>1.0</v>
      </c>
      <c r="Y176" s="13">
        <v>1.0</v>
      </c>
      <c r="Z176" s="13"/>
      <c r="AA176" s="13">
        <v>1.0</v>
      </c>
      <c r="AB176" s="13">
        <v>2.0</v>
      </c>
      <c r="AC176" s="13"/>
      <c r="AD176" s="13">
        <v>2.0</v>
      </c>
      <c r="AE176" s="13">
        <v>1.0</v>
      </c>
      <c r="AF176" s="13"/>
    </row>
    <row r="177" ht="15.75" customHeight="1">
      <c r="A177" s="11">
        <v>174.0</v>
      </c>
      <c r="B177" s="11">
        <v>9.0</v>
      </c>
      <c r="C177" s="11" t="s">
        <v>63</v>
      </c>
      <c r="D177" s="11" t="s">
        <v>548</v>
      </c>
      <c r="E177" s="11"/>
      <c r="F177" s="11" t="s">
        <v>549</v>
      </c>
      <c r="G177" s="11" t="s">
        <v>175</v>
      </c>
      <c r="H177" s="11">
        <v>3.0</v>
      </c>
      <c r="I177" s="11">
        <v>4.0</v>
      </c>
      <c r="J177" s="33">
        <v>2.0</v>
      </c>
      <c r="K177" s="33">
        <v>20.0</v>
      </c>
      <c r="L177" s="11"/>
      <c r="M177" s="11"/>
      <c r="N177" s="11">
        <v>10.0</v>
      </c>
      <c r="O177" s="11">
        <v>4.0</v>
      </c>
      <c r="P177" s="11">
        <v>3.0</v>
      </c>
      <c r="Q177" s="11">
        <v>1.0</v>
      </c>
      <c r="R177" s="11">
        <v>5.0</v>
      </c>
      <c r="S177" s="11">
        <v>1.0</v>
      </c>
      <c r="T177" s="11">
        <v>4.0</v>
      </c>
      <c r="U177" s="11">
        <v>3.0</v>
      </c>
      <c r="V177" s="11">
        <v>1.0</v>
      </c>
      <c r="W177" s="11">
        <v>1.0</v>
      </c>
      <c r="X177" s="11">
        <v>1.0</v>
      </c>
      <c r="Y177" s="11">
        <v>1.0</v>
      </c>
      <c r="Z177" s="11"/>
      <c r="AA177" s="11">
        <v>1.0</v>
      </c>
      <c r="AB177" s="11">
        <v>2.0</v>
      </c>
      <c r="AC177" s="11"/>
      <c r="AD177" s="11">
        <v>2.0</v>
      </c>
      <c r="AE177" s="11">
        <v>1.0</v>
      </c>
      <c r="AF177" s="11"/>
    </row>
    <row r="178" ht="15.75" customHeight="1">
      <c r="A178" s="13">
        <v>175.0</v>
      </c>
      <c r="B178" s="13">
        <v>9.0</v>
      </c>
      <c r="C178" s="13" t="s">
        <v>63</v>
      </c>
      <c r="D178" s="13" t="s">
        <v>550</v>
      </c>
      <c r="E178" s="13" t="s">
        <v>551</v>
      </c>
      <c r="F178" s="13" t="s">
        <v>552</v>
      </c>
      <c r="G178" s="13" t="s">
        <v>175</v>
      </c>
      <c r="H178" s="13">
        <v>4.0</v>
      </c>
      <c r="I178" s="13">
        <v>1.0</v>
      </c>
      <c r="J178" s="35">
        <v>5.0</v>
      </c>
      <c r="K178" s="35">
        <v>20.0</v>
      </c>
      <c r="L178" s="13"/>
      <c r="M178" s="13"/>
      <c r="N178" s="13">
        <v>6.0</v>
      </c>
      <c r="O178" s="13">
        <v>2.0</v>
      </c>
      <c r="P178" s="13">
        <v>2.0</v>
      </c>
      <c r="Q178" s="13">
        <v>2.0</v>
      </c>
      <c r="R178" s="13">
        <v>3.0</v>
      </c>
      <c r="S178" s="13">
        <v>1.0</v>
      </c>
      <c r="T178" s="13">
        <v>3.0</v>
      </c>
      <c r="U178" s="13">
        <v>3.0</v>
      </c>
      <c r="V178" s="13">
        <v>1.0</v>
      </c>
      <c r="W178" s="13">
        <v>1.0</v>
      </c>
      <c r="X178" s="13">
        <v>2.0</v>
      </c>
      <c r="Y178" s="13">
        <v>2.0</v>
      </c>
      <c r="Z178" s="13"/>
      <c r="AA178" s="13">
        <v>1.0</v>
      </c>
      <c r="AB178" s="13">
        <v>1.0</v>
      </c>
      <c r="AC178" s="13"/>
      <c r="AD178" s="13">
        <v>1.0</v>
      </c>
      <c r="AE178" s="13">
        <v>2.0</v>
      </c>
      <c r="AF178" s="13"/>
    </row>
    <row r="179" ht="15.75" customHeight="1">
      <c r="A179" s="11">
        <v>176.0</v>
      </c>
      <c r="B179" s="11">
        <v>9.0</v>
      </c>
      <c r="C179" s="11" t="s">
        <v>63</v>
      </c>
      <c r="D179" s="11" t="s">
        <v>553</v>
      </c>
      <c r="E179" s="11"/>
      <c r="F179" s="11" t="s">
        <v>554</v>
      </c>
      <c r="G179" s="11" t="s">
        <v>175</v>
      </c>
      <c r="H179" s="11">
        <v>4.0</v>
      </c>
      <c r="I179" s="11">
        <v>2.0</v>
      </c>
      <c r="J179" s="33">
        <v>4.0</v>
      </c>
      <c r="K179" s="33">
        <v>20.0</v>
      </c>
      <c r="L179" s="11"/>
      <c r="M179" s="11"/>
      <c r="N179" s="11">
        <v>6.0</v>
      </c>
      <c r="O179" s="11">
        <v>2.0</v>
      </c>
      <c r="P179" s="11">
        <v>2.0</v>
      </c>
      <c r="Q179" s="11">
        <v>2.0</v>
      </c>
      <c r="R179" s="11">
        <v>3.0</v>
      </c>
      <c r="S179" s="11">
        <v>1.0</v>
      </c>
      <c r="T179" s="11">
        <v>3.0</v>
      </c>
      <c r="U179" s="11">
        <v>3.0</v>
      </c>
      <c r="V179" s="11">
        <v>1.0</v>
      </c>
      <c r="W179" s="11">
        <v>1.0</v>
      </c>
      <c r="X179" s="11">
        <v>2.0</v>
      </c>
      <c r="Y179" s="11">
        <v>2.0</v>
      </c>
      <c r="Z179" s="11"/>
      <c r="AA179" s="11">
        <v>1.0</v>
      </c>
      <c r="AB179" s="11">
        <v>1.0</v>
      </c>
      <c r="AC179" s="11"/>
      <c r="AD179" s="11">
        <v>1.0</v>
      </c>
      <c r="AE179" s="11">
        <v>2.0</v>
      </c>
      <c r="AF179" s="11"/>
    </row>
    <row r="180" ht="15.75" customHeight="1">
      <c r="A180" s="13">
        <v>177.0</v>
      </c>
      <c r="B180" s="13">
        <v>9.0</v>
      </c>
      <c r="C180" s="13" t="s">
        <v>63</v>
      </c>
      <c r="D180" s="13" t="s">
        <v>555</v>
      </c>
      <c r="E180" s="13"/>
      <c r="F180" s="13" t="s">
        <v>556</v>
      </c>
      <c r="G180" s="13" t="s">
        <v>175</v>
      </c>
      <c r="H180" s="13">
        <v>4.0</v>
      </c>
      <c r="I180" s="13">
        <v>3.0</v>
      </c>
      <c r="J180" s="35">
        <v>3.0</v>
      </c>
      <c r="K180" s="35">
        <v>20.0</v>
      </c>
      <c r="L180" s="13"/>
      <c r="M180" s="13"/>
      <c r="N180" s="13">
        <v>10.0</v>
      </c>
      <c r="O180" s="13">
        <v>3.0</v>
      </c>
      <c r="P180" s="13">
        <v>2.0</v>
      </c>
      <c r="Q180" s="13">
        <v>3.0</v>
      </c>
      <c r="R180" s="13">
        <v>4.0</v>
      </c>
      <c r="S180" s="13">
        <v>1.0</v>
      </c>
      <c r="T180" s="13">
        <v>3.0</v>
      </c>
      <c r="U180" s="13">
        <v>4.0</v>
      </c>
      <c r="V180" s="13">
        <v>1.0</v>
      </c>
      <c r="W180" s="13">
        <v>1.0</v>
      </c>
      <c r="X180" s="13">
        <v>2.0</v>
      </c>
      <c r="Y180" s="13">
        <v>2.0</v>
      </c>
      <c r="Z180" s="13"/>
      <c r="AA180" s="13">
        <v>1.0</v>
      </c>
      <c r="AB180" s="13">
        <v>1.0</v>
      </c>
      <c r="AC180" s="13"/>
      <c r="AD180" s="13">
        <v>1.0</v>
      </c>
      <c r="AE180" s="13">
        <v>3.0</v>
      </c>
      <c r="AF180" s="13"/>
    </row>
    <row r="181" ht="15.75" customHeight="1">
      <c r="A181" s="11">
        <v>178.0</v>
      </c>
      <c r="B181" s="11">
        <v>9.0</v>
      </c>
      <c r="C181" s="11" t="s">
        <v>63</v>
      </c>
      <c r="D181" s="11" t="s">
        <v>557</v>
      </c>
      <c r="E181" s="11"/>
      <c r="F181" s="11" t="s">
        <v>558</v>
      </c>
      <c r="G181" s="11" t="s">
        <v>175</v>
      </c>
      <c r="H181" s="11">
        <v>4.0</v>
      </c>
      <c r="I181" s="11">
        <v>4.0</v>
      </c>
      <c r="J181" s="33">
        <v>2.0</v>
      </c>
      <c r="K181" s="33">
        <v>20.0</v>
      </c>
      <c r="L181" s="11"/>
      <c r="M181" s="11"/>
      <c r="N181" s="11">
        <v>10.0</v>
      </c>
      <c r="O181" s="11">
        <v>3.0</v>
      </c>
      <c r="P181" s="11">
        <v>2.0</v>
      </c>
      <c r="Q181" s="11">
        <v>3.0</v>
      </c>
      <c r="R181" s="11">
        <v>4.0</v>
      </c>
      <c r="S181" s="11">
        <v>1.0</v>
      </c>
      <c r="T181" s="11">
        <v>3.0</v>
      </c>
      <c r="U181" s="11">
        <v>4.0</v>
      </c>
      <c r="V181" s="11">
        <v>1.0</v>
      </c>
      <c r="W181" s="11">
        <v>1.0</v>
      </c>
      <c r="X181" s="11">
        <v>2.0</v>
      </c>
      <c r="Y181" s="11">
        <v>2.0</v>
      </c>
      <c r="Z181" s="11"/>
      <c r="AA181" s="11">
        <v>1.0</v>
      </c>
      <c r="AB181" s="11">
        <v>1.0</v>
      </c>
      <c r="AC181" s="11"/>
      <c r="AD181" s="11">
        <v>1.0</v>
      </c>
      <c r="AE181" s="11">
        <v>3.0</v>
      </c>
      <c r="AF181" s="11"/>
    </row>
    <row r="182" ht="15.75" customHeight="1">
      <c r="A182" s="13">
        <v>179.0</v>
      </c>
      <c r="B182" s="13">
        <v>9.0</v>
      </c>
      <c r="C182" s="13" t="s">
        <v>63</v>
      </c>
      <c r="D182" s="13" t="s">
        <v>559</v>
      </c>
      <c r="E182" s="13"/>
      <c r="F182" s="13" t="s">
        <v>560</v>
      </c>
      <c r="G182" s="13" t="s">
        <v>74</v>
      </c>
      <c r="H182" s="13">
        <v>5.0</v>
      </c>
      <c r="I182" s="13">
        <v>5.0</v>
      </c>
      <c r="J182" s="35">
        <v>1.0</v>
      </c>
      <c r="K182" s="35">
        <v>105.0</v>
      </c>
      <c r="L182" s="13"/>
      <c r="M182" s="13"/>
      <c r="N182" s="13">
        <v>26.0</v>
      </c>
      <c r="O182" s="13">
        <v>9.0</v>
      </c>
      <c r="P182" s="13">
        <v>9.0</v>
      </c>
      <c r="Q182" s="13">
        <v>4.0</v>
      </c>
      <c r="R182" s="13">
        <v>7.0</v>
      </c>
      <c r="S182" s="13">
        <v>3.0</v>
      </c>
      <c r="T182" s="13">
        <v>7.0</v>
      </c>
      <c r="U182" s="13">
        <v>7.0</v>
      </c>
      <c r="V182" s="13">
        <v>2.0</v>
      </c>
      <c r="W182" s="13">
        <v>3.0</v>
      </c>
      <c r="X182" s="13">
        <v>4.0</v>
      </c>
      <c r="Y182" s="13">
        <v>3.0</v>
      </c>
      <c r="Z182" s="13"/>
      <c r="AA182" s="13">
        <v>1.0</v>
      </c>
      <c r="AB182" s="13">
        <v>3.0</v>
      </c>
      <c r="AC182" s="13"/>
      <c r="AD182" s="13">
        <v>2.0</v>
      </c>
      <c r="AE182" s="13">
        <v>3.0</v>
      </c>
      <c r="AF182" s="13"/>
    </row>
    <row r="183" ht="15.75" customHeight="1">
      <c r="A183" s="11">
        <v>180.0</v>
      </c>
      <c r="B183" s="11">
        <v>10.0</v>
      </c>
      <c r="C183" s="11" t="s">
        <v>65</v>
      </c>
      <c r="D183" s="11" t="s">
        <v>561</v>
      </c>
      <c r="E183" s="11"/>
      <c r="F183" s="11" t="s">
        <v>562</v>
      </c>
      <c r="G183" s="11" t="s">
        <v>170</v>
      </c>
      <c r="H183" s="11">
        <v>0.0</v>
      </c>
      <c r="I183" s="11">
        <v>0.0</v>
      </c>
      <c r="J183" s="33">
        <v>10.0</v>
      </c>
      <c r="K183" s="33">
        <v>75.0</v>
      </c>
      <c r="L183" s="11"/>
      <c r="M183" s="34" t="s">
        <v>563</v>
      </c>
      <c r="N183" s="11">
        <v>16.0</v>
      </c>
      <c r="O183" s="11">
        <v>6.0</v>
      </c>
      <c r="P183" s="11">
        <v>4.0</v>
      </c>
      <c r="Q183" s="11">
        <v>20.0</v>
      </c>
      <c r="R183" s="11">
        <v>1.0</v>
      </c>
      <c r="S183" s="11">
        <v>1.0</v>
      </c>
      <c r="T183" s="11">
        <v>2.0</v>
      </c>
      <c r="U183" s="11">
        <v>2.0</v>
      </c>
      <c r="V183" s="11">
        <v>7.0</v>
      </c>
      <c r="W183" s="11">
        <v>6.0</v>
      </c>
      <c r="X183" s="11">
        <v>5.0</v>
      </c>
      <c r="Y183" s="11">
        <v>5.0</v>
      </c>
      <c r="Z183" s="11">
        <v>1.0</v>
      </c>
      <c r="AA183" s="11">
        <v>3.0</v>
      </c>
      <c r="AB183" s="11">
        <v>3.0</v>
      </c>
      <c r="AC183" s="11"/>
      <c r="AD183" s="11">
        <v>2.0</v>
      </c>
      <c r="AE183" s="11">
        <v>1.0</v>
      </c>
      <c r="AF183" s="11"/>
    </row>
    <row r="184" ht="15.75" customHeight="1">
      <c r="A184" s="13">
        <v>181.0</v>
      </c>
      <c r="B184" s="13">
        <v>10.0</v>
      </c>
      <c r="C184" s="13" t="s">
        <v>65</v>
      </c>
      <c r="D184" s="13" t="s">
        <v>564</v>
      </c>
      <c r="E184" s="13" t="s">
        <v>565</v>
      </c>
      <c r="F184" s="13" t="s">
        <v>566</v>
      </c>
      <c r="G184" s="13" t="s">
        <v>175</v>
      </c>
      <c r="H184" s="13">
        <v>1.0</v>
      </c>
      <c r="I184" s="13">
        <v>1.0</v>
      </c>
      <c r="J184" s="35">
        <v>5.0</v>
      </c>
      <c r="K184" s="35">
        <v>20.0</v>
      </c>
      <c r="L184" s="13"/>
      <c r="M184" s="13"/>
      <c r="N184" s="13">
        <v>5.0</v>
      </c>
      <c r="O184" s="13">
        <v>2.0</v>
      </c>
      <c r="P184" s="13"/>
      <c r="Q184" s="13">
        <v>9.0</v>
      </c>
      <c r="R184" s="13"/>
      <c r="S184" s="13"/>
      <c r="T184" s="13">
        <v>2.0</v>
      </c>
      <c r="U184" s="13">
        <v>1.0</v>
      </c>
      <c r="V184" s="13">
        <v>4.0</v>
      </c>
      <c r="W184" s="13">
        <v>1.0</v>
      </c>
      <c r="X184" s="13">
        <v>3.0</v>
      </c>
      <c r="Y184" s="13">
        <v>1.0</v>
      </c>
      <c r="Z184" s="13">
        <v>1.0</v>
      </c>
      <c r="AA184" s="13">
        <v>2.0</v>
      </c>
      <c r="AB184" s="13">
        <v>1.0</v>
      </c>
      <c r="AC184" s="13"/>
      <c r="AD184" s="13">
        <v>1.0</v>
      </c>
      <c r="AE184" s="13"/>
      <c r="AF184" s="13"/>
    </row>
    <row r="185" ht="15.75" customHeight="1">
      <c r="A185" s="11">
        <v>182.0</v>
      </c>
      <c r="B185" s="11">
        <v>10.0</v>
      </c>
      <c r="C185" s="11" t="s">
        <v>65</v>
      </c>
      <c r="D185" s="11" t="s">
        <v>567</v>
      </c>
      <c r="E185" s="11"/>
      <c r="F185" s="11" t="s">
        <v>568</v>
      </c>
      <c r="G185" s="11" t="s">
        <v>175</v>
      </c>
      <c r="H185" s="11">
        <v>1.0</v>
      </c>
      <c r="I185" s="11">
        <v>2.0</v>
      </c>
      <c r="J185" s="33">
        <v>4.0</v>
      </c>
      <c r="K185" s="33">
        <v>20.0</v>
      </c>
      <c r="L185" s="11"/>
      <c r="M185" s="11"/>
      <c r="N185" s="11">
        <v>5.0</v>
      </c>
      <c r="O185" s="11">
        <v>2.0</v>
      </c>
      <c r="P185" s="11"/>
      <c r="Q185" s="11">
        <v>9.0</v>
      </c>
      <c r="R185" s="11"/>
      <c r="S185" s="11"/>
      <c r="T185" s="11">
        <v>2.0</v>
      </c>
      <c r="U185" s="11">
        <v>1.0</v>
      </c>
      <c r="V185" s="11">
        <v>4.0</v>
      </c>
      <c r="W185" s="11">
        <v>1.0</v>
      </c>
      <c r="X185" s="11">
        <v>3.0</v>
      </c>
      <c r="Y185" s="11">
        <v>1.0</v>
      </c>
      <c r="Z185" s="11">
        <v>1.0</v>
      </c>
      <c r="AA185" s="11">
        <v>2.0</v>
      </c>
      <c r="AB185" s="11">
        <v>1.0</v>
      </c>
      <c r="AC185" s="11"/>
      <c r="AD185" s="11">
        <v>1.0</v>
      </c>
      <c r="AE185" s="11"/>
      <c r="AF185" s="11"/>
    </row>
    <row r="186" ht="15.75" customHeight="1">
      <c r="A186" s="13">
        <v>183.0</v>
      </c>
      <c r="B186" s="13">
        <v>10.0</v>
      </c>
      <c r="C186" s="13" t="s">
        <v>65</v>
      </c>
      <c r="D186" s="13" t="s">
        <v>569</v>
      </c>
      <c r="E186" s="13"/>
      <c r="F186" s="13" t="s">
        <v>570</v>
      </c>
      <c r="G186" s="13" t="s">
        <v>175</v>
      </c>
      <c r="H186" s="13">
        <v>1.0</v>
      </c>
      <c r="I186" s="13">
        <v>3.0</v>
      </c>
      <c r="J186" s="35">
        <v>3.0</v>
      </c>
      <c r="K186" s="35">
        <v>20.0</v>
      </c>
      <c r="L186" s="13"/>
      <c r="M186" s="13"/>
      <c r="N186" s="13">
        <v>9.0</v>
      </c>
      <c r="O186" s="13">
        <v>3.0</v>
      </c>
      <c r="P186" s="13"/>
      <c r="Q186" s="13">
        <v>10.0</v>
      </c>
      <c r="R186" s="13"/>
      <c r="S186" s="13"/>
      <c r="T186" s="13">
        <v>2.0</v>
      </c>
      <c r="U186" s="13">
        <v>1.0</v>
      </c>
      <c r="V186" s="13">
        <v>5.0</v>
      </c>
      <c r="W186" s="13">
        <v>1.0</v>
      </c>
      <c r="X186" s="13">
        <v>4.0</v>
      </c>
      <c r="Y186" s="13">
        <v>1.0</v>
      </c>
      <c r="Z186" s="13">
        <v>1.0</v>
      </c>
      <c r="AA186" s="13">
        <v>2.0</v>
      </c>
      <c r="AB186" s="13">
        <v>1.0</v>
      </c>
      <c r="AC186" s="13"/>
      <c r="AD186" s="13">
        <v>2.0</v>
      </c>
      <c r="AE186" s="13">
        <v>1.0</v>
      </c>
      <c r="AF186" s="13"/>
    </row>
    <row r="187" ht="15.75" customHeight="1">
      <c r="A187" s="11">
        <v>184.0</v>
      </c>
      <c r="B187" s="11">
        <v>10.0</v>
      </c>
      <c r="C187" s="11" t="s">
        <v>65</v>
      </c>
      <c r="D187" s="11" t="s">
        <v>571</v>
      </c>
      <c r="E187" s="11"/>
      <c r="F187" s="11" t="s">
        <v>572</v>
      </c>
      <c r="G187" s="11" t="s">
        <v>175</v>
      </c>
      <c r="H187" s="11">
        <v>1.0</v>
      </c>
      <c r="I187" s="11">
        <v>4.0</v>
      </c>
      <c r="J187" s="33">
        <v>2.0</v>
      </c>
      <c r="K187" s="33">
        <v>20.0</v>
      </c>
      <c r="L187" s="11"/>
      <c r="M187" s="11"/>
      <c r="N187" s="11">
        <v>9.0</v>
      </c>
      <c r="O187" s="11">
        <v>3.0</v>
      </c>
      <c r="P187" s="11"/>
      <c r="Q187" s="11">
        <v>10.0</v>
      </c>
      <c r="R187" s="11"/>
      <c r="S187" s="11"/>
      <c r="T187" s="11">
        <v>2.0</v>
      </c>
      <c r="U187" s="11">
        <v>1.0</v>
      </c>
      <c r="V187" s="11">
        <v>5.0</v>
      </c>
      <c r="W187" s="11">
        <v>1.0</v>
      </c>
      <c r="X187" s="11">
        <v>4.0</v>
      </c>
      <c r="Y187" s="11">
        <v>1.0</v>
      </c>
      <c r="Z187" s="11">
        <v>1.0</v>
      </c>
      <c r="AA187" s="11">
        <v>2.0</v>
      </c>
      <c r="AB187" s="11">
        <v>1.0</v>
      </c>
      <c r="AC187" s="11"/>
      <c r="AD187" s="11">
        <v>2.0</v>
      </c>
      <c r="AE187" s="11">
        <v>1.0</v>
      </c>
      <c r="AF187" s="11"/>
    </row>
    <row r="188" ht="15.75" customHeight="1">
      <c r="A188" s="13">
        <v>185.0</v>
      </c>
      <c r="B188" s="13">
        <v>10.0</v>
      </c>
      <c r="C188" s="13" t="s">
        <v>65</v>
      </c>
      <c r="D188" s="13" t="s">
        <v>573</v>
      </c>
      <c r="E188" s="13" t="s">
        <v>574</v>
      </c>
      <c r="F188" s="13" t="s">
        <v>575</v>
      </c>
      <c r="G188" s="13" t="s">
        <v>175</v>
      </c>
      <c r="H188" s="13">
        <v>2.0</v>
      </c>
      <c r="I188" s="13">
        <v>1.0</v>
      </c>
      <c r="J188" s="35">
        <v>5.0</v>
      </c>
      <c r="K188" s="35">
        <v>20.0</v>
      </c>
      <c r="L188" s="13"/>
      <c r="M188" s="13"/>
      <c r="N188" s="13">
        <v>6.0</v>
      </c>
      <c r="O188" s="13">
        <v>2.0</v>
      </c>
      <c r="P188" s="13"/>
      <c r="Q188" s="13">
        <v>8.0</v>
      </c>
      <c r="R188" s="13">
        <v>1.0</v>
      </c>
      <c r="S188" s="13"/>
      <c r="T188" s="13">
        <v>2.0</v>
      </c>
      <c r="U188" s="13">
        <v>1.0</v>
      </c>
      <c r="V188" s="13">
        <v>4.0</v>
      </c>
      <c r="W188" s="13">
        <v>1.0</v>
      </c>
      <c r="X188" s="13">
        <v>3.0</v>
      </c>
      <c r="Y188" s="13">
        <v>1.0</v>
      </c>
      <c r="Z188" s="13">
        <v>2.0</v>
      </c>
      <c r="AA188" s="13">
        <v>2.0</v>
      </c>
      <c r="AB188" s="13">
        <v>1.0</v>
      </c>
      <c r="AC188" s="13">
        <v>1.0</v>
      </c>
      <c r="AD188" s="13">
        <v>1.0</v>
      </c>
      <c r="AE188" s="13"/>
      <c r="AF188" s="13"/>
    </row>
    <row r="189" ht="15.75" customHeight="1">
      <c r="A189" s="11">
        <v>186.0</v>
      </c>
      <c r="B189" s="11">
        <v>10.0</v>
      </c>
      <c r="C189" s="11" t="s">
        <v>65</v>
      </c>
      <c r="D189" s="11" t="s">
        <v>576</v>
      </c>
      <c r="E189" s="11"/>
      <c r="F189" s="11" t="s">
        <v>577</v>
      </c>
      <c r="G189" s="11" t="s">
        <v>175</v>
      </c>
      <c r="H189" s="11">
        <v>2.0</v>
      </c>
      <c r="I189" s="11">
        <v>2.0</v>
      </c>
      <c r="J189" s="33">
        <v>4.0</v>
      </c>
      <c r="K189" s="33">
        <v>20.0</v>
      </c>
      <c r="L189" s="11"/>
      <c r="M189" s="11"/>
      <c r="N189" s="11">
        <v>6.0</v>
      </c>
      <c r="O189" s="11">
        <v>2.0</v>
      </c>
      <c r="P189" s="11"/>
      <c r="Q189" s="11">
        <v>8.0</v>
      </c>
      <c r="R189" s="11">
        <v>1.0</v>
      </c>
      <c r="S189" s="11"/>
      <c r="T189" s="11">
        <v>2.0</v>
      </c>
      <c r="U189" s="11">
        <v>1.0</v>
      </c>
      <c r="V189" s="11">
        <v>4.0</v>
      </c>
      <c r="W189" s="11">
        <v>1.0</v>
      </c>
      <c r="X189" s="11">
        <v>3.0</v>
      </c>
      <c r="Y189" s="11">
        <v>1.0</v>
      </c>
      <c r="Z189" s="11">
        <v>2.0</v>
      </c>
      <c r="AA189" s="11">
        <v>2.0</v>
      </c>
      <c r="AB189" s="11">
        <v>1.0</v>
      </c>
      <c r="AC189" s="11">
        <v>1.0</v>
      </c>
      <c r="AD189" s="11">
        <v>1.0</v>
      </c>
      <c r="AE189" s="11"/>
      <c r="AF189" s="11"/>
    </row>
    <row r="190" ht="15.75" customHeight="1">
      <c r="A190" s="13">
        <v>187.0</v>
      </c>
      <c r="B190" s="13">
        <v>10.0</v>
      </c>
      <c r="C190" s="13" t="s">
        <v>65</v>
      </c>
      <c r="D190" s="13" t="s">
        <v>578</v>
      </c>
      <c r="E190" s="13"/>
      <c r="F190" s="13" t="s">
        <v>579</v>
      </c>
      <c r="G190" s="13" t="s">
        <v>175</v>
      </c>
      <c r="H190" s="13">
        <v>2.0</v>
      </c>
      <c r="I190" s="13">
        <v>3.0</v>
      </c>
      <c r="J190" s="35">
        <v>3.0</v>
      </c>
      <c r="K190" s="35">
        <v>20.0</v>
      </c>
      <c r="L190" s="13"/>
      <c r="M190" s="13"/>
      <c r="N190" s="13">
        <v>10.0</v>
      </c>
      <c r="O190" s="13">
        <v>3.0</v>
      </c>
      <c r="P190" s="13"/>
      <c r="Q190" s="13">
        <v>9.0</v>
      </c>
      <c r="R190" s="13">
        <v>1.0</v>
      </c>
      <c r="S190" s="13"/>
      <c r="T190" s="13">
        <v>3.0</v>
      </c>
      <c r="U190" s="13">
        <v>1.0</v>
      </c>
      <c r="V190" s="13">
        <v>5.0</v>
      </c>
      <c r="W190" s="13">
        <v>1.0</v>
      </c>
      <c r="X190" s="13">
        <v>4.0</v>
      </c>
      <c r="Y190" s="13">
        <v>1.0</v>
      </c>
      <c r="Z190" s="13">
        <v>2.0</v>
      </c>
      <c r="AA190" s="13">
        <v>2.0</v>
      </c>
      <c r="AB190" s="13">
        <v>1.0</v>
      </c>
      <c r="AC190" s="13">
        <v>1.0</v>
      </c>
      <c r="AD190" s="13">
        <v>2.0</v>
      </c>
      <c r="AE190" s="13"/>
      <c r="AF190" s="13"/>
    </row>
    <row r="191" ht="15.75" customHeight="1">
      <c r="A191" s="11">
        <v>188.0</v>
      </c>
      <c r="B191" s="11">
        <v>10.0</v>
      </c>
      <c r="C191" s="11" t="s">
        <v>65</v>
      </c>
      <c r="D191" s="11" t="s">
        <v>580</v>
      </c>
      <c r="E191" s="11"/>
      <c r="F191" s="11" t="s">
        <v>581</v>
      </c>
      <c r="G191" s="11" t="s">
        <v>175</v>
      </c>
      <c r="H191" s="11">
        <v>2.0</v>
      </c>
      <c r="I191" s="11">
        <v>4.0</v>
      </c>
      <c r="J191" s="33">
        <v>2.0</v>
      </c>
      <c r="K191" s="33">
        <v>20.0</v>
      </c>
      <c r="L191" s="11"/>
      <c r="M191" s="11"/>
      <c r="N191" s="11">
        <v>10.0</v>
      </c>
      <c r="O191" s="11">
        <v>3.0</v>
      </c>
      <c r="P191" s="11"/>
      <c r="Q191" s="11">
        <v>9.0</v>
      </c>
      <c r="R191" s="11">
        <v>1.0</v>
      </c>
      <c r="S191" s="11"/>
      <c r="T191" s="11">
        <v>3.0</v>
      </c>
      <c r="U191" s="11">
        <v>1.0</v>
      </c>
      <c r="V191" s="11">
        <v>5.0</v>
      </c>
      <c r="W191" s="11">
        <v>1.0</v>
      </c>
      <c r="X191" s="11">
        <v>4.0</v>
      </c>
      <c r="Y191" s="11">
        <v>1.0</v>
      </c>
      <c r="Z191" s="11">
        <v>2.0</v>
      </c>
      <c r="AA191" s="11">
        <v>2.0</v>
      </c>
      <c r="AB191" s="11">
        <v>1.0</v>
      </c>
      <c r="AC191" s="11">
        <v>1.0</v>
      </c>
      <c r="AD191" s="11">
        <v>2.0</v>
      </c>
      <c r="AE191" s="11"/>
      <c r="AF191" s="11"/>
    </row>
    <row r="192" ht="15.75" customHeight="1">
      <c r="A192" s="13">
        <v>189.0</v>
      </c>
      <c r="B192" s="13">
        <v>10.0</v>
      </c>
      <c r="C192" s="13" t="s">
        <v>65</v>
      </c>
      <c r="D192" s="13" t="s">
        <v>582</v>
      </c>
      <c r="E192" s="13" t="s">
        <v>583</v>
      </c>
      <c r="F192" s="13" t="s">
        <v>584</v>
      </c>
      <c r="G192" s="13" t="s">
        <v>175</v>
      </c>
      <c r="H192" s="13">
        <v>3.0</v>
      </c>
      <c r="I192" s="13">
        <v>1.0</v>
      </c>
      <c r="J192" s="35">
        <v>5.0</v>
      </c>
      <c r="K192" s="35">
        <v>20.0</v>
      </c>
      <c r="L192" s="13"/>
      <c r="M192" s="13"/>
      <c r="N192" s="13">
        <v>6.0</v>
      </c>
      <c r="O192" s="13">
        <v>3.0</v>
      </c>
      <c r="P192" s="13"/>
      <c r="Q192" s="13">
        <v>6.0</v>
      </c>
      <c r="R192" s="13">
        <v>1.0</v>
      </c>
      <c r="S192" s="13">
        <v>1.0</v>
      </c>
      <c r="T192" s="13">
        <v>1.0</v>
      </c>
      <c r="U192" s="13">
        <v>1.0</v>
      </c>
      <c r="V192" s="13">
        <v>3.0</v>
      </c>
      <c r="W192" s="13">
        <v>3.0</v>
      </c>
      <c r="X192" s="13">
        <v>3.0</v>
      </c>
      <c r="Y192" s="13">
        <v>2.0</v>
      </c>
      <c r="Z192" s="13"/>
      <c r="AA192" s="13">
        <v>2.0</v>
      </c>
      <c r="AB192" s="13">
        <v>2.0</v>
      </c>
      <c r="AC192" s="13"/>
      <c r="AD192" s="13">
        <v>2.0</v>
      </c>
      <c r="AE192" s="13"/>
      <c r="AF192" s="13"/>
    </row>
    <row r="193" ht="15.75" customHeight="1">
      <c r="A193" s="11">
        <v>190.0</v>
      </c>
      <c r="B193" s="11">
        <v>10.0</v>
      </c>
      <c r="C193" s="11" t="s">
        <v>65</v>
      </c>
      <c r="D193" s="11" t="s">
        <v>585</v>
      </c>
      <c r="E193" s="11"/>
      <c r="F193" s="11" t="s">
        <v>586</v>
      </c>
      <c r="G193" s="11" t="s">
        <v>175</v>
      </c>
      <c r="H193" s="11">
        <v>3.0</v>
      </c>
      <c r="I193" s="11">
        <v>2.0</v>
      </c>
      <c r="J193" s="33">
        <v>4.0</v>
      </c>
      <c r="K193" s="33">
        <v>20.0</v>
      </c>
      <c r="L193" s="11"/>
      <c r="M193" s="11"/>
      <c r="N193" s="11">
        <v>6.0</v>
      </c>
      <c r="O193" s="11">
        <v>3.0</v>
      </c>
      <c r="P193" s="11"/>
      <c r="Q193" s="11">
        <v>6.0</v>
      </c>
      <c r="R193" s="11">
        <v>1.0</v>
      </c>
      <c r="S193" s="11">
        <v>1.0</v>
      </c>
      <c r="T193" s="11">
        <v>1.0</v>
      </c>
      <c r="U193" s="11">
        <v>1.0</v>
      </c>
      <c r="V193" s="11">
        <v>3.0</v>
      </c>
      <c r="W193" s="11">
        <v>3.0</v>
      </c>
      <c r="X193" s="11">
        <v>3.0</v>
      </c>
      <c r="Y193" s="11">
        <v>2.0</v>
      </c>
      <c r="Z193" s="11"/>
      <c r="AA193" s="11">
        <v>2.0</v>
      </c>
      <c r="AB193" s="11">
        <v>2.0</v>
      </c>
      <c r="AC193" s="11"/>
      <c r="AD193" s="11">
        <v>2.0</v>
      </c>
      <c r="AE193" s="11"/>
      <c r="AF193" s="11"/>
    </row>
    <row r="194" ht="15.75" customHeight="1">
      <c r="A194" s="13">
        <v>191.0</v>
      </c>
      <c r="B194" s="13">
        <v>10.0</v>
      </c>
      <c r="C194" s="13" t="s">
        <v>65</v>
      </c>
      <c r="D194" s="13" t="s">
        <v>587</v>
      </c>
      <c r="E194" s="13"/>
      <c r="F194" s="13" t="s">
        <v>588</v>
      </c>
      <c r="G194" s="13" t="s">
        <v>175</v>
      </c>
      <c r="H194" s="13">
        <v>3.0</v>
      </c>
      <c r="I194" s="13">
        <v>3.0</v>
      </c>
      <c r="J194" s="35">
        <v>3.0</v>
      </c>
      <c r="K194" s="35">
        <v>20.0</v>
      </c>
      <c r="L194" s="13"/>
      <c r="M194" s="13"/>
      <c r="N194" s="13">
        <v>9.0</v>
      </c>
      <c r="O194" s="13">
        <v>4.0</v>
      </c>
      <c r="P194" s="13"/>
      <c r="Q194" s="13">
        <v>7.0</v>
      </c>
      <c r="R194" s="13">
        <v>1.0</v>
      </c>
      <c r="S194" s="13">
        <v>1.0</v>
      </c>
      <c r="T194" s="13">
        <v>1.0</v>
      </c>
      <c r="U194" s="13">
        <v>1.0</v>
      </c>
      <c r="V194" s="13">
        <v>4.0</v>
      </c>
      <c r="W194" s="13">
        <v>3.0</v>
      </c>
      <c r="X194" s="13">
        <v>3.0</v>
      </c>
      <c r="Y194" s="13">
        <v>2.0</v>
      </c>
      <c r="Z194" s="13"/>
      <c r="AA194" s="13">
        <v>2.0</v>
      </c>
      <c r="AB194" s="13">
        <v>2.0</v>
      </c>
      <c r="AC194" s="13"/>
      <c r="AD194" s="13">
        <v>3.0</v>
      </c>
      <c r="AE194" s="13"/>
      <c r="AF194" s="13"/>
    </row>
    <row r="195" ht="15.75" customHeight="1">
      <c r="A195" s="11">
        <v>192.0</v>
      </c>
      <c r="B195" s="11">
        <v>10.0</v>
      </c>
      <c r="C195" s="11" t="s">
        <v>65</v>
      </c>
      <c r="D195" s="11" t="s">
        <v>589</v>
      </c>
      <c r="E195" s="11"/>
      <c r="F195" s="11" t="s">
        <v>590</v>
      </c>
      <c r="G195" s="11" t="s">
        <v>175</v>
      </c>
      <c r="H195" s="11">
        <v>3.0</v>
      </c>
      <c r="I195" s="11">
        <v>4.0</v>
      </c>
      <c r="J195" s="33">
        <v>2.0</v>
      </c>
      <c r="K195" s="33">
        <v>20.0</v>
      </c>
      <c r="L195" s="11"/>
      <c r="M195" s="11"/>
      <c r="N195" s="11">
        <v>9.0</v>
      </c>
      <c r="O195" s="11">
        <v>4.0</v>
      </c>
      <c r="P195" s="11"/>
      <c r="Q195" s="11">
        <v>7.0</v>
      </c>
      <c r="R195" s="11">
        <v>1.0</v>
      </c>
      <c r="S195" s="11">
        <v>1.0</v>
      </c>
      <c r="T195" s="11">
        <v>1.0</v>
      </c>
      <c r="U195" s="11">
        <v>1.0</v>
      </c>
      <c r="V195" s="11">
        <v>4.0</v>
      </c>
      <c r="W195" s="11">
        <v>3.0</v>
      </c>
      <c r="X195" s="11">
        <v>3.0</v>
      </c>
      <c r="Y195" s="11">
        <v>2.0</v>
      </c>
      <c r="Z195" s="11"/>
      <c r="AA195" s="11">
        <v>2.0</v>
      </c>
      <c r="AB195" s="11">
        <v>2.0</v>
      </c>
      <c r="AC195" s="11"/>
      <c r="AD195" s="11">
        <v>3.0</v>
      </c>
      <c r="AE195" s="11"/>
      <c r="AF195" s="11"/>
    </row>
    <row r="196" ht="15.75" customHeight="1">
      <c r="A196" s="13">
        <v>193.0</v>
      </c>
      <c r="B196" s="13">
        <v>10.0</v>
      </c>
      <c r="C196" s="13" t="s">
        <v>65</v>
      </c>
      <c r="D196" s="13" t="s">
        <v>591</v>
      </c>
      <c r="E196" s="13" t="s">
        <v>592</v>
      </c>
      <c r="F196" s="13" t="s">
        <v>593</v>
      </c>
      <c r="G196" s="13" t="s">
        <v>175</v>
      </c>
      <c r="H196" s="13">
        <v>4.0</v>
      </c>
      <c r="I196" s="13">
        <v>1.0</v>
      </c>
      <c r="J196" s="35">
        <v>5.0</v>
      </c>
      <c r="K196" s="35">
        <v>20.0</v>
      </c>
      <c r="L196" s="13"/>
      <c r="M196" s="13"/>
      <c r="N196" s="13">
        <v>6.0</v>
      </c>
      <c r="O196" s="13">
        <v>2.0</v>
      </c>
      <c r="P196" s="13">
        <v>2.0</v>
      </c>
      <c r="Q196" s="13">
        <v>4.0</v>
      </c>
      <c r="R196" s="13">
        <v>1.0</v>
      </c>
      <c r="S196" s="13">
        <v>1.0</v>
      </c>
      <c r="T196" s="13">
        <v>2.0</v>
      </c>
      <c r="U196" s="13">
        <v>2.0</v>
      </c>
      <c r="V196" s="13">
        <v>2.0</v>
      </c>
      <c r="W196" s="13">
        <v>2.0</v>
      </c>
      <c r="X196" s="13">
        <v>2.0</v>
      </c>
      <c r="Y196" s="13">
        <v>1.0</v>
      </c>
      <c r="Z196" s="13"/>
      <c r="AA196" s="13">
        <v>1.0</v>
      </c>
      <c r="AB196" s="13">
        <v>1.0</v>
      </c>
      <c r="AC196" s="13"/>
      <c r="AD196" s="13">
        <v>1.0</v>
      </c>
      <c r="AE196" s="13">
        <v>1.0</v>
      </c>
      <c r="AF196" s="13"/>
    </row>
    <row r="197" ht="15.75" customHeight="1">
      <c r="A197" s="11">
        <v>194.0</v>
      </c>
      <c r="B197" s="11">
        <v>10.0</v>
      </c>
      <c r="C197" s="11" t="s">
        <v>65</v>
      </c>
      <c r="D197" s="11" t="s">
        <v>594</v>
      </c>
      <c r="E197" s="11"/>
      <c r="F197" s="11" t="s">
        <v>595</v>
      </c>
      <c r="G197" s="11" t="s">
        <v>175</v>
      </c>
      <c r="H197" s="11">
        <v>4.0</v>
      </c>
      <c r="I197" s="11">
        <v>2.0</v>
      </c>
      <c r="J197" s="33">
        <v>4.0</v>
      </c>
      <c r="K197" s="33">
        <v>20.0</v>
      </c>
      <c r="L197" s="11"/>
      <c r="M197" s="11"/>
      <c r="N197" s="11">
        <v>6.0</v>
      </c>
      <c r="O197" s="11">
        <v>2.0</v>
      </c>
      <c r="P197" s="11">
        <v>2.0</v>
      </c>
      <c r="Q197" s="11">
        <v>4.0</v>
      </c>
      <c r="R197" s="11">
        <v>1.0</v>
      </c>
      <c r="S197" s="11">
        <v>1.0</v>
      </c>
      <c r="T197" s="11">
        <v>2.0</v>
      </c>
      <c r="U197" s="11">
        <v>2.0</v>
      </c>
      <c r="V197" s="11">
        <v>2.0</v>
      </c>
      <c r="W197" s="11">
        <v>2.0</v>
      </c>
      <c r="X197" s="11">
        <v>2.0</v>
      </c>
      <c r="Y197" s="11">
        <v>1.0</v>
      </c>
      <c r="Z197" s="11"/>
      <c r="AA197" s="11">
        <v>1.0</v>
      </c>
      <c r="AB197" s="11">
        <v>1.0</v>
      </c>
      <c r="AC197" s="11"/>
      <c r="AD197" s="11">
        <v>1.0</v>
      </c>
      <c r="AE197" s="11">
        <v>1.0</v>
      </c>
      <c r="AF197" s="11"/>
    </row>
    <row r="198" ht="15.75" customHeight="1">
      <c r="A198" s="13">
        <v>195.0</v>
      </c>
      <c r="B198" s="13">
        <v>10.0</v>
      </c>
      <c r="C198" s="13" t="s">
        <v>65</v>
      </c>
      <c r="D198" s="13" t="s">
        <v>596</v>
      </c>
      <c r="E198" s="13"/>
      <c r="F198" s="13" t="s">
        <v>597</v>
      </c>
      <c r="G198" s="13" t="s">
        <v>175</v>
      </c>
      <c r="H198" s="13">
        <v>4.0</v>
      </c>
      <c r="I198" s="13">
        <v>3.0</v>
      </c>
      <c r="J198" s="35">
        <v>3.0</v>
      </c>
      <c r="K198" s="35">
        <v>20.0</v>
      </c>
      <c r="L198" s="13"/>
      <c r="M198" s="13"/>
      <c r="N198" s="13">
        <v>10.0</v>
      </c>
      <c r="O198" s="13">
        <v>3.0</v>
      </c>
      <c r="P198" s="13">
        <v>3.0</v>
      </c>
      <c r="Q198" s="13">
        <v>4.0</v>
      </c>
      <c r="R198" s="13">
        <v>1.0</v>
      </c>
      <c r="S198" s="13">
        <v>1.0</v>
      </c>
      <c r="T198" s="13">
        <v>2.0</v>
      </c>
      <c r="U198" s="13">
        <v>2.0</v>
      </c>
      <c r="V198" s="13">
        <v>3.0</v>
      </c>
      <c r="W198" s="13">
        <v>2.0</v>
      </c>
      <c r="X198" s="13">
        <v>3.0</v>
      </c>
      <c r="Y198" s="13">
        <v>1.0</v>
      </c>
      <c r="Z198" s="13"/>
      <c r="AA198" s="13">
        <v>1.0</v>
      </c>
      <c r="AB198" s="13">
        <v>2.0</v>
      </c>
      <c r="AC198" s="13"/>
      <c r="AD198" s="13">
        <v>1.0</v>
      </c>
      <c r="AE198" s="13">
        <v>1.0</v>
      </c>
      <c r="AF198" s="13"/>
    </row>
    <row r="199" ht="15.75" customHeight="1">
      <c r="A199" s="11">
        <v>196.0</v>
      </c>
      <c r="B199" s="11">
        <v>10.0</v>
      </c>
      <c r="C199" s="11" t="s">
        <v>65</v>
      </c>
      <c r="D199" s="11" t="s">
        <v>598</v>
      </c>
      <c r="E199" s="11"/>
      <c r="F199" s="11" t="s">
        <v>599</v>
      </c>
      <c r="G199" s="11" t="s">
        <v>175</v>
      </c>
      <c r="H199" s="11">
        <v>4.0</v>
      </c>
      <c r="I199" s="11">
        <v>4.0</v>
      </c>
      <c r="J199" s="33">
        <v>2.0</v>
      </c>
      <c r="K199" s="33">
        <v>20.0</v>
      </c>
      <c r="L199" s="11"/>
      <c r="M199" s="11"/>
      <c r="N199" s="11">
        <v>10.0</v>
      </c>
      <c r="O199" s="11">
        <v>3.0</v>
      </c>
      <c r="P199" s="11">
        <v>3.0</v>
      </c>
      <c r="Q199" s="11">
        <v>4.0</v>
      </c>
      <c r="R199" s="11">
        <v>1.0</v>
      </c>
      <c r="S199" s="11">
        <v>1.0</v>
      </c>
      <c r="T199" s="11">
        <v>2.0</v>
      </c>
      <c r="U199" s="11">
        <v>2.0</v>
      </c>
      <c r="V199" s="11">
        <v>3.0</v>
      </c>
      <c r="W199" s="11">
        <v>2.0</v>
      </c>
      <c r="X199" s="11">
        <v>3.0</v>
      </c>
      <c r="Y199" s="11">
        <v>1.0</v>
      </c>
      <c r="Z199" s="11"/>
      <c r="AA199" s="11">
        <v>1.0</v>
      </c>
      <c r="AB199" s="11">
        <v>2.0</v>
      </c>
      <c r="AC199" s="11"/>
      <c r="AD199" s="11">
        <v>1.0</v>
      </c>
      <c r="AE199" s="11">
        <v>1.0</v>
      </c>
      <c r="AF199" s="11"/>
    </row>
    <row r="200" ht="15.75" customHeight="1">
      <c r="A200" s="13">
        <v>197.0</v>
      </c>
      <c r="B200" s="13">
        <v>10.0</v>
      </c>
      <c r="C200" s="13" t="s">
        <v>65</v>
      </c>
      <c r="D200" s="13" t="s">
        <v>600</v>
      </c>
      <c r="E200" s="13"/>
      <c r="F200" s="13" t="s">
        <v>601</v>
      </c>
      <c r="G200" s="13" t="s">
        <v>74</v>
      </c>
      <c r="H200" s="13">
        <v>5.0</v>
      </c>
      <c r="I200" s="13">
        <v>5.0</v>
      </c>
      <c r="J200" s="35">
        <v>1.0</v>
      </c>
      <c r="K200" s="35">
        <v>105.0</v>
      </c>
      <c r="L200" s="13"/>
      <c r="M200" s="13"/>
      <c r="N200" s="13">
        <v>22.0</v>
      </c>
      <c r="O200" s="13">
        <v>8.0</v>
      </c>
      <c r="P200" s="13">
        <v>5.0</v>
      </c>
      <c r="Q200" s="13">
        <v>24.0</v>
      </c>
      <c r="R200" s="13">
        <v>1.0</v>
      </c>
      <c r="S200" s="13">
        <v>2.0</v>
      </c>
      <c r="T200" s="13">
        <v>4.0</v>
      </c>
      <c r="U200" s="13">
        <v>4.0</v>
      </c>
      <c r="V200" s="13">
        <v>9.0</v>
      </c>
      <c r="W200" s="13">
        <v>6.0</v>
      </c>
      <c r="X200" s="13">
        <v>6.0</v>
      </c>
      <c r="Y200" s="13">
        <v>5.0</v>
      </c>
      <c r="Z200" s="13">
        <v>2.0</v>
      </c>
      <c r="AA200" s="13">
        <v>3.0</v>
      </c>
      <c r="AB200" s="13">
        <v>3.0</v>
      </c>
      <c r="AC200" s="13"/>
      <c r="AD200" s="13">
        <v>3.0</v>
      </c>
      <c r="AE200" s="13">
        <v>2.0</v>
      </c>
      <c r="AF200" s="13"/>
    </row>
    <row r="201" ht="15.75" customHeight="1">
      <c r="A201" s="11">
        <v>198.0</v>
      </c>
      <c r="B201" s="11">
        <v>11.0</v>
      </c>
      <c r="C201" s="12" t="s">
        <v>602</v>
      </c>
      <c r="D201" s="12" t="s">
        <v>603</v>
      </c>
      <c r="E201" s="11"/>
      <c r="F201" s="12" t="s">
        <v>604</v>
      </c>
      <c r="G201" s="11" t="s">
        <v>170</v>
      </c>
      <c r="H201" s="11">
        <v>0.0</v>
      </c>
      <c r="I201" s="11">
        <v>0.0</v>
      </c>
      <c r="J201" s="33">
        <v>10.0</v>
      </c>
      <c r="K201" s="33">
        <v>75.0</v>
      </c>
      <c r="L201" s="11"/>
      <c r="M201" s="34" t="s">
        <v>605</v>
      </c>
      <c r="N201" s="11">
        <v>18.0</v>
      </c>
      <c r="O201" s="11">
        <v>6.0</v>
      </c>
      <c r="P201" s="11">
        <v>4.0</v>
      </c>
      <c r="Q201" s="11">
        <v>18.0</v>
      </c>
      <c r="R201" s="11">
        <v>1.0</v>
      </c>
      <c r="S201" s="11">
        <v>1.0</v>
      </c>
      <c r="T201" s="11">
        <v>2.0</v>
      </c>
      <c r="U201" s="11">
        <v>2.0</v>
      </c>
      <c r="V201" s="11">
        <v>6.0</v>
      </c>
      <c r="W201" s="11">
        <v>5.0</v>
      </c>
      <c r="X201" s="11">
        <v>5.0</v>
      </c>
      <c r="Y201" s="11">
        <v>4.0</v>
      </c>
      <c r="Z201" s="11">
        <v>1.0</v>
      </c>
      <c r="AA201" s="11">
        <v>3.0</v>
      </c>
      <c r="AB201" s="11">
        <v>2.0</v>
      </c>
      <c r="AC201" s="11"/>
      <c r="AD201" s="11">
        <v>2.0</v>
      </c>
      <c r="AE201" s="11">
        <v>2.0</v>
      </c>
      <c r="AF201" s="11"/>
    </row>
    <row r="202" ht="15.75" customHeight="1">
      <c r="A202" s="13">
        <v>199.0</v>
      </c>
      <c r="B202" s="13">
        <v>11.0</v>
      </c>
      <c r="C202" s="14" t="s">
        <v>602</v>
      </c>
      <c r="D202" s="13" t="s">
        <v>606</v>
      </c>
      <c r="E202" s="13" t="s">
        <v>607</v>
      </c>
      <c r="F202" s="14" t="s">
        <v>608</v>
      </c>
      <c r="G202" s="13" t="s">
        <v>175</v>
      </c>
      <c r="H202" s="13">
        <v>1.0</v>
      </c>
      <c r="I202" s="13">
        <v>1.0</v>
      </c>
      <c r="J202" s="35">
        <v>5.0</v>
      </c>
      <c r="K202" s="35">
        <v>20.0</v>
      </c>
      <c r="L202" s="13"/>
      <c r="M202" s="13"/>
      <c r="N202" s="13">
        <v>5.0</v>
      </c>
      <c r="O202" s="13">
        <v>2.0</v>
      </c>
      <c r="P202" s="13"/>
      <c r="Q202" s="13">
        <v>6.0</v>
      </c>
      <c r="R202" s="13"/>
      <c r="S202" s="13"/>
      <c r="T202" s="13">
        <v>1.0</v>
      </c>
      <c r="U202" s="13">
        <v>1.0</v>
      </c>
      <c r="V202" s="13">
        <v>3.0</v>
      </c>
      <c r="W202" s="13">
        <v>2.0</v>
      </c>
      <c r="X202" s="13">
        <v>3.0</v>
      </c>
      <c r="Y202" s="13">
        <v>1.0</v>
      </c>
      <c r="Z202" s="13">
        <v>1.0</v>
      </c>
      <c r="AA202" s="13">
        <v>2.0</v>
      </c>
      <c r="AB202" s="13">
        <v>1.0</v>
      </c>
      <c r="AC202" s="13"/>
      <c r="AD202" s="13">
        <v>1.0</v>
      </c>
      <c r="AE202" s="13">
        <v>1.0</v>
      </c>
      <c r="AF202" s="13"/>
    </row>
    <row r="203" ht="15.75" customHeight="1">
      <c r="A203" s="11">
        <v>200.0</v>
      </c>
      <c r="B203" s="11">
        <v>11.0</v>
      </c>
      <c r="C203" s="12" t="s">
        <v>602</v>
      </c>
      <c r="D203" s="11" t="s">
        <v>609</v>
      </c>
      <c r="E203" s="11"/>
      <c r="F203" s="12" t="s">
        <v>610</v>
      </c>
      <c r="G203" s="11" t="s">
        <v>175</v>
      </c>
      <c r="H203" s="11">
        <v>1.0</v>
      </c>
      <c r="I203" s="11">
        <v>2.0</v>
      </c>
      <c r="J203" s="33">
        <v>4.0</v>
      </c>
      <c r="K203" s="33">
        <v>20.0</v>
      </c>
      <c r="L203" s="11"/>
      <c r="M203" s="11"/>
      <c r="N203" s="11">
        <v>5.0</v>
      </c>
      <c r="O203" s="11">
        <v>2.0</v>
      </c>
      <c r="P203" s="11"/>
      <c r="Q203" s="11">
        <v>6.0</v>
      </c>
      <c r="R203" s="11"/>
      <c r="S203" s="11"/>
      <c r="T203" s="11">
        <v>1.0</v>
      </c>
      <c r="U203" s="11">
        <v>1.0</v>
      </c>
      <c r="V203" s="11">
        <v>3.0</v>
      </c>
      <c r="W203" s="11">
        <v>2.0</v>
      </c>
      <c r="X203" s="11">
        <v>3.0</v>
      </c>
      <c r="Y203" s="11">
        <v>1.0</v>
      </c>
      <c r="Z203" s="11">
        <v>1.0</v>
      </c>
      <c r="AA203" s="11">
        <v>2.0</v>
      </c>
      <c r="AB203" s="11">
        <v>1.0</v>
      </c>
      <c r="AC203" s="11"/>
      <c r="AD203" s="11">
        <v>1.0</v>
      </c>
      <c r="AE203" s="11">
        <v>1.0</v>
      </c>
      <c r="AF203" s="11"/>
    </row>
    <row r="204" ht="15.75" customHeight="1">
      <c r="A204" s="13">
        <v>201.0</v>
      </c>
      <c r="B204" s="13">
        <v>11.0</v>
      </c>
      <c r="C204" s="14" t="s">
        <v>602</v>
      </c>
      <c r="D204" s="13" t="s">
        <v>611</v>
      </c>
      <c r="E204" s="13"/>
      <c r="F204" s="14" t="s">
        <v>612</v>
      </c>
      <c r="G204" s="13" t="s">
        <v>175</v>
      </c>
      <c r="H204" s="13">
        <v>1.0</v>
      </c>
      <c r="I204" s="13">
        <v>3.0</v>
      </c>
      <c r="J204" s="35">
        <v>3.0</v>
      </c>
      <c r="K204" s="35">
        <v>20.0</v>
      </c>
      <c r="L204" s="13"/>
      <c r="M204" s="13"/>
      <c r="N204" s="13">
        <v>8.0</v>
      </c>
      <c r="O204" s="13">
        <v>3.0</v>
      </c>
      <c r="P204" s="13"/>
      <c r="Q204" s="13">
        <v>7.0</v>
      </c>
      <c r="R204" s="13"/>
      <c r="S204" s="13"/>
      <c r="T204" s="13">
        <v>1.0</v>
      </c>
      <c r="U204" s="13">
        <v>1.0</v>
      </c>
      <c r="V204" s="13">
        <v>4.0</v>
      </c>
      <c r="W204" s="13">
        <v>2.0</v>
      </c>
      <c r="X204" s="13">
        <v>3.0</v>
      </c>
      <c r="Y204" s="13">
        <v>1.0</v>
      </c>
      <c r="Z204" s="13">
        <v>1.0</v>
      </c>
      <c r="AA204" s="13">
        <v>2.0</v>
      </c>
      <c r="AB204" s="13">
        <v>2.0</v>
      </c>
      <c r="AC204" s="13"/>
      <c r="AD204" s="13">
        <v>2.0</v>
      </c>
      <c r="AE204" s="13">
        <v>1.0</v>
      </c>
      <c r="AF204" s="13"/>
    </row>
    <row r="205" ht="15.75" customHeight="1">
      <c r="A205" s="11">
        <v>202.0</v>
      </c>
      <c r="B205" s="11">
        <v>11.0</v>
      </c>
      <c r="C205" s="12" t="s">
        <v>602</v>
      </c>
      <c r="D205" s="11" t="s">
        <v>613</v>
      </c>
      <c r="E205" s="11"/>
      <c r="F205" s="12" t="s">
        <v>614</v>
      </c>
      <c r="G205" s="11" t="s">
        <v>175</v>
      </c>
      <c r="H205" s="11">
        <v>1.0</v>
      </c>
      <c r="I205" s="11">
        <v>4.0</v>
      </c>
      <c r="J205" s="33">
        <v>2.0</v>
      </c>
      <c r="K205" s="33">
        <v>20.0</v>
      </c>
      <c r="L205" s="11"/>
      <c r="M205" s="11"/>
      <c r="N205" s="11">
        <v>8.0</v>
      </c>
      <c r="O205" s="11">
        <v>3.0</v>
      </c>
      <c r="P205" s="11"/>
      <c r="Q205" s="11">
        <v>7.0</v>
      </c>
      <c r="R205" s="11"/>
      <c r="S205" s="11"/>
      <c r="T205" s="11">
        <v>1.0</v>
      </c>
      <c r="U205" s="11">
        <v>1.0</v>
      </c>
      <c r="V205" s="11">
        <v>4.0</v>
      </c>
      <c r="W205" s="11">
        <v>2.0</v>
      </c>
      <c r="X205" s="11">
        <v>3.0</v>
      </c>
      <c r="Y205" s="11">
        <v>1.0</v>
      </c>
      <c r="Z205" s="11">
        <v>1.0</v>
      </c>
      <c r="AA205" s="11">
        <v>2.0</v>
      </c>
      <c r="AB205" s="11">
        <v>2.0</v>
      </c>
      <c r="AC205" s="11"/>
      <c r="AD205" s="11">
        <v>2.0</v>
      </c>
      <c r="AE205" s="11">
        <v>1.0</v>
      </c>
      <c r="AF205" s="11"/>
    </row>
    <row r="206" ht="15.75" customHeight="1">
      <c r="A206" s="13">
        <v>203.0</v>
      </c>
      <c r="B206" s="13">
        <v>11.0</v>
      </c>
      <c r="C206" s="14" t="s">
        <v>602</v>
      </c>
      <c r="D206" s="13" t="s">
        <v>615</v>
      </c>
      <c r="E206" s="13" t="s">
        <v>616</v>
      </c>
      <c r="F206" s="14" t="s">
        <v>617</v>
      </c>
      <c r="G206" s="13" t="s">
        <v>175</v>
      </c>
      <c r="H206" s="13">
        <v>2.0</v>
      </c>
      <c r="I206" s="13">
        <v>1.0</v>
      </c>
      <c r="J206" s="35">
        <v>5.0</v>
      </c>
      <c r="K206" s="35">
        <v>20.0</v>
      </c>
      <c r="L206" s="13"/>
      <c r="M206" s="13"/>
      <c r="N206" s="13">
        <v>6.0</v>
      </c>
      <c r="O206" s="13">
        <v>2.0</v>
      </c>
      <c r="P206" s="13"/>
      <c r="Q206" s="13">
        <v>7.0</v>
      </c>
      <c r="R206" s="13">
        <v>1.0</v>
      </c>
      <c r="S206" s="13"/>
      <c r="T206" s="13">
        <v>2.0</v>
      </c>
      <c r="U206" s="13">
        <v>1.0</v>
      </c>
      <c r="V206" s="13">
        <v>3.0</v>
      </c>
      <c r="W206" s="13">
        <v>1.0</v>
      </c>
      <c r="X206" s="13">
        <v>3.0</v>
      </c>
      <c r="Y206" s="13">
        <v>1.0</v>
      </c>
      <c r="Z206" s="13">
        <v>2.0</v>
      </c>
      <c r="AA206" s="13">
        <v>3.0</v>
      </c>
      <c r="AB206" s="13">
        <v>2.0</v>
      </c>
      <c r="AC206" s="13">
        <v>1.0</v>
      </c>
      <c r="AD206" s="13">
        <v>1.0</v>
      </c>
      <c r="AE206" s="13">
        <v>1.0</v>
      </c>
      <c r="AF206" s="13"/>
    </row>
    <row r="207" ht="15.75" customHeight="1">
      <c r="A207" s="11">
        <v>204.0</v>
      </c>
      <c r="B207" s="11">
        <v>11.0</v>
      </c>
      <c r="C207" s="12" t="s">
        <v>602</v>
      </c>
      <c r="D207" s="11" t="s">
        <v>618</v>
      </c>
      <c r="E207" s="11"/>
      <c r="F207" s="12" t="s">
        <v>619</v>
      </c>
      <c r="G207" s="11" t="s">
        <v>175</v>
      </c>
      <c r="H207" s="11">
        <v>2.0</v>
      </c>
      <c r="I207" s="11">
        <v>2.0</v>
      </c>
      <c r="J207" s="33">
        <v>4.0</v>
      </c>
      <c r="K207" s="33">
        <v>20.0</v>
      </c>
      <c r="L207" s="11"/>
      <c r="M207" s="11"/>
      <c r="N207" s="11">
        <v>6.0</v>
      </c>
      <c r="O207" s="11">
        <v>2.0</v>
      </c>
      <c r="P207" s="11"/>
      <c r="Q207" s="11">
        <v>7.0</v>
      </c>
      <c r="R207" s="11">
        <v>1.0</v>
      </c>
      <c r="S207" s="11"/>
      <c r="T207" s="11">
        <v>2.0</v>
      </c>
      <c r="U207" s="11">
        <v>1.0</v>
      </c>
      <c r="V207" s="11">
        <v>3.0</v>
      </c>
      <c r="W207" s="11">
        <v>1.0</v>
      </c>
      <c r="X207" s="11">
        <v>3.0</v>
      </c>
      <c r="Y207" s="11">
        <v>1.0</v>
      </c>
      <c r="Z207" s="11">
        <v>2.0</v>
      </c>
      <c r="AA207" s="11">
        <v>3.0</v>
      </c>
      <c r="AB207" s="11">
        <v>2.0</v>
      </c>
      <c r="AC207" s="11">
        <v>1.0</v>
      </c>
      <c r="AD207" s="11">
        <v>1.0</v>
      </c>
      <c r="AE207" s="11">
        <v>1.0</v>
      </c>
      <c r="AF207" s="11"/>
    </row>
    <row r="208" ht="15.75" customHeight="1">
      <c r="A208" s="13">
        <v>205.0</v>
      </c>
      <c r="B208" s="13">
        <v>11.0</v>
      </c>
      <c r="C208" s="14" t="s">
        <v>602</v>
      </c>
      <c r="D208" s="13" t="s">
        <v>620</v>
      </c>
      <c r="E208" s="13"/>
      <c r="F208" s="14" t="s">
        <v>621</v>
      </c>
      <c r="G208" s="13" t="s">
        <v>175</v>
      </c>
      <c r="H208" s="13">
        <v>2.0</v>
      </c>
      <c r="I208" s="13">
        <v>3.0</v>
      </c>
      <c r="J208" s="35">
        <v>3.0</v>
      </c>
      <c r="K208" s="35">
        <v>20.0</v>
      </c>
      <c r="L208" s="13"/>
      <c r="M208" s="13"/>
      <c r="N208" s="13">
        <v>10.0</v>
      </c>
      <c r="O208" s="13">
        <v>3.0</v>
      </c>
      <c r="P208" s="13"/>
      <c r="Q208" s="13">
        <v>8.0</v>
      </c>
      <c r="R208" s="13">
        <v>1.0</v>
      </c>
      <c r="S208" s="13"/>
      <c r="T208" s="13">
        <v>2.0</v>
      </c>
      <c r="U208" s="13">
        <v>1.0</v>
      </c>
      <c r="V208" s="13">
        <v>4.0</v>
      </c>
      <c r="W208" s="13">
        <v>1.0</v>
      </c>
      <c r="X208" s="13">
        <v>3.0</v>
      </c>
      <c r="Y208" s="13">
        <v>1.0</v>
      </c>
      <c r="Z208" s="13">
        <v>2.0</v>
      </c>
      <c r="AA208" s="13">
        <v>3.0</v>
      </c>
      <c r="AB208" s="13">
        <v>2.0</v>
      </c>
      <c r="AC208" s="13">
        <v>1.0</v>
      </c>
      <c r="AD208" s="13">
        <v>2.0</v>
      </c>
      <c r="AE208" s="13">
        <v>1.0</v>
      </c>
      <c r="AF208" s="13"/>
    </row>
    <row r="209" ht="15.75" customHeight="1">
      <c r="A209" s="11">
        <v>206.0</v>
      </c>
      <c r="B209" s="11">
        <v>11.0</v>
      </c>
      <c r="C209" s="12" t="s">
        <v>602</v>
      </c>
      <c r="D209" s="11" t="s">
        <v>622</v>
      </c>
      <c r="E209" s="11"/>
      <c r="F209" s="12" t="s">
        <v>623</v>
      </c>
      <c r="G209" s="11" t="s">
        <v>175</v>
      </c>
      <c r="H209" s="11">
        <v>2.0</v>
      </c>
      <c r="I209" s="11">
        <v>4.0</v>
      </c>
      <c r="J209" s="33">
        <v>2.0</v>
      </c>
      <c r="K209" s="33">
        <v>20.0</v>
      </c>
      <c r="L209" s="11"/>
      <c r="M209" s="11"/>
      <c r="N209" s="11">
        <v>10.0</v>
      </c>
      <c r="O209" s="11">
        <v>3.0</v>
      </c>
      <c r="P209" s="11"/>
      <c r="Q209" s="11">
        <v>8.0</v>
      </c>
      <c r="R209" s="11">
        <v>1.0</v>
      </c>
      <c r="S209" s="11"/>
      <c r="T209" s="11">
        <v>2.0</v>
      </c>
      <c r="U209" s="11">
        <v>1.0</v>
      </c>
      <c r="V209" s="11">
        <v>4.0</v>
      </c>
      <c r="W209" s="11">
        <v>1.0</v>
      </c>
      <c r="X209" s="11">
        <v>3.0</v>
      </c>
      <c r="Y209" s="11">
        <v>1.0</v>
      </c>
      <c r="Z209" s="11">
        <v>2.0</v>
      </c>
      <c r="AA209" s="11">
        <v>3.0</v>
      </c>
      <c r="AB209" s="11">
        <v>2.0</v>
      </c>
      <c r="AC209" s="11">
        <v>1.0</v>
      </c>
      <c r="AD209" s="11">
        <v>2.0</v>
      </c>
      <c r="AE209" s="11">
        <v>1.0</v>
      </c>
      <c r="AF209" s="11"/>
    </row>
    <row r="210" ht="15.75" customHeight="1">
      <c r="A210" s="13">
        <v>207.0</v>
      </c>
      <c r="B210" s="13">
        <v>11.0</v>
      </c>
      <c r="C210" s="14" t="s">
        <v>602</v>
      </c>
      <c r="D210" s="13" t="s">
        <v>624</v>
      </c>
      <c r="E210" s="13" t="s">
        <v>625</v>
      </c>
      <c r="F210" s="14" t="s">
        <v>626</v>
      </c>
      <c r="G210" s="13" t="s">
        <v>175</v>
      </c>
      <c r="H210" s="13">
        <v>3.0</v>
      </c>
      <c r="I210" s="13">
        <v>1.0</v>
      </c>
      <c r="J210" s="35">
        <v>5.0</v>
      </c>
      <c r="K210" s="35">
        <v>20.0</v>
      </c>
      <c r="L210" s="13"/>
      <c r="M210" s="13"/>
      <c r="N210" s="13">
        <v>6.0</v>
      </c>
      <c r="O210" s="13">
        <v>2.0</v>
      </c>
      <c r="P210" s="13"/>
      <c r="Q210" s="13">
        <v>6.0</v>
      </c>
      <c r="R210" s="13">
        <v>1.0</v>
      </c>
      <c r="S210" s="13"/>
      <c r="T210" s="13">
        <v>2.0</v>
      </c>
      <c r="U210" s="13">
        <v>1.0</v>
      </c>
      <c r="V210" s="13">
        <v>2.0</v>
      </c>
      <c r="W210" s="13">
        <v>1.0</v>
      </c>
      <c r="X210" s="13">
        <v>2.0</v>
      </c>
      <c r="Y210" s="13">
        <v>1.0</v>
      </c>
      <c r="Z210" s="13"/>
      <c r="AA210" s="13">
        <v>2.0</v>
      </c>
      <c r="AB210" s="13">
        <v>1.0</v>
      </c>
      <c r="AC210" s="13"/>
      <c r="AD210" s="13">
        <v>1.0</v>
      </c>
      <c r="AE210" s="13">
        <v>3.0</v>
      </c>
      <c r="AF210" s="13"/>
    </row>
    <row r="211" ht="15.75" customHeight="1">
      <c r="A211" s="11">
        <v>208.0</v>
      </c>
      <c r="B211" s="11">
        <v>11.0</v>
      </c>
      <c r="C211" s="12" t="s">
        <v>602</v>
      </c>
      <c r="D211" s="11" t="s">
        <v>627</v>
      </c>
      <c r="E211" s="11"/>
      <c r="F211" s="12" t="s">
        <v>628</v>
      </c>
      <c r="G211" s="11" t="s">
        <v>175</v>
      </c>
      <c r="H211" s="11">
        <v>3.0</v>
      </c>
      <c r="I211" s="11">
        <v>2.0</v>
      </c>
      <c r="J211" s="33">
        <v>4.0</v>
      </c>
      <c r="K211" s="33">
        <v>20.0</v>
      </c>
      <c r="L211" s="11"/>
      <c r="M211" s="11"/>
      <c r="N211" s="11">
        <v>6.0</v>
      </c>
      <c r="O211" s="11">
        <v>2.0</v>
      </c>
      <c r="P211" s="11"/>
      <c r="Q211" s="11">
        <v>6.0</v>
      </c>
      <c r="R211" s="11">
        <v>1.0</v>
      </c>
      <c r="S211" s="11"/>
      <c r="T211" s="11">
        <v>2.0</v>
      </c>
      <c r="U211" s="11">
        <v>1.0</v>
      </c>
      <c r="V211" s="11">
        <v>2.0</v>
      </c>
      <c r="W211" s="11">
        <v>1.0</v>
      </c>
      <c r="X211" s="11">
        <v>2.0</v>
      </c>
      <c r="Y211" s="11">
        <v>1.0</v>
      </c>
      <c r="Z211" s="11"/>
      <c r="AA211" s="11">
        <v>2.0</v>
      </c>
      <c r="AB211" s="11">
        <v>1.0</v>
      </c>
      <c r="AC211" s="11"/>
      <c r="AD211" s="11">
        <v>1.0</v>
      </c>
      <c r="AE211" s="11">
        <v>3.0</v>
      </c>
      <c r="AF211" s="11"/>
    </row>
    <row r="212" ht="15.75" customHeight="1">
      <c r="A212" s="13">
        <v>209.0</v>
      </c>
      <c r="B212" s="13">
        <v>11.0</v>
      </c>
      <c r="C212" s="14" t="s">
        <v>602</v>
      </c>
      <c r="D212" s="13" t="s">
        <v>629</v>
      </c>
      <c r="E212" s="13"/>
      <c r="F212" s="14" t="s">
        <v>630</v>
      </c>
      <c r="G212" s="13" t="s">
        <v>175</v>
      </c>
      <c r="H212" s="13">
        <v>3.0</v>
      </c>
      <c r="I212" s="13">
        <v>3.0</v>
      </c>
      <c r="J212" s="35">
        <v>3.0</v>
      </c>
      <c r="K212" s="35">
        <v>20.0</v>
      </c>
      <c r="L212" s="13"/>
      <c r="M212" s="13"/>
      <c r="N212" s="13">
        <v>10.0</v>
      </c>
      <c r="O212" s="13">
        <v>3.0</v>
      </c>
      <c r="P212" s="13"/>
      <c r="Q212" s="13">
        <v>7.0</v>
      </c>
      <c r="R212" s="13">
        <v>1.0</v>
      </c>
      <c r="S212" s="13"/>
      <c r="T212" s="13">
        <v>2.0</v>
      </c>
      <c r="U212" s="13">
        <v>1.0</v>
      </c>
      <c r="V212" s="13">
        <v>3.0</v>
      </c>
      <c r="W212" s="13">
        <v>1.0</v>
      </c>
      <c r="X212" s="13">
        <v>3.0</v>
      </c>
      <c r="Y212" s="13">
        <v>1.0</v>
      </c>
      <c r="Z212" s="13"/>
      <c r="AA212" s="13">
        <v>2.0</v>
      </c>
      <c r="AB212" s="13">
        <v>1.0</v>
      </c>
      <c r="AC212" s="13"/>
      <c r="AD212" s="13">
        <v>1.0</v>
      </c>
      <c r="AE212" s="13">
        <v>4.0</v>
      </c>
      <c r="AF212" s="13"/>
    </row>
    <row r="213" ht="15.75" customHeight="1">
      <c r="A213" s="11">
        <v>210.0</v>
      </c>
      <c r="B213" s="11">
        <v>11.0</v>
      </c>
      <c r="C213" s="12" t="s">
        <v>602</v>
      </c>
      <c r="D213" s="11" t="s">
        <v>631</v>
      </c>
      <c r="E213" s="11"/>
      <c r="F213" s="12" t="s">
        <v>632</v>
      </c>
      <c r="G213" s="11" t="s">
        <v>175</v>
      </c>
      <c r="H213" s="11">
        <v>3.0</v>
      </c>
      <c r="I213" s="11">
        <v>4.0</v>
      </c>
      <c r="J213" s="33">
        <v>2.0</v>
      </c>
      <c r="K213" s="33">
        <v>20.0</v>
      </c>
      <c r="L213" s="11"/>
      <c r="M213" s="11"/>
      <c r="N213" s="11">
        <v>10.0</v>
      </c>
      <c r="O213" s="11">
        <v>3.0</v>
      </c>
      <c r="P213" s="11"/>
      <c r="Q213" s="11">
        <v>7.0</v>
      </c>
      <c r="R213" s="11">
        <v>1.0</v>
      </c>
      <c r="S213" s="11"/>
      <c r="T213" s="11">
        <v>2.0</v>
      </c>
      <c r="U213" s="11">
        <v>1.0</v>
      </c>
      <c r="V213" s="11">
        <v>3.0</v>
      </c>
      <c r="W213" s="11">
        <v>1.0</v>
      </c>
      <c r="X213" s="11">
        <v>3.0</v>
      </c>
      <c r="Y213" s="11">
        <v>1.0</v>
      </c>
      <c r="Z213" s="11"/>
      <c r="AA213" s="11">
        <v>2.0</v>
      </c>
      <c r="AB213" s="11">
        <v>1.0</v>
      </c>
      <c r="AC213" s="11"/>
      <c r="AD213" s="11">
        <v>1.0</v>
      </c>
      <c r="AE213" s="11">
        <v>4.0</v>
      </c>
      <c r="AF213" s="11"/>
    </row>
    <row r="214" ht="15.75" customHeight="1">
      <c r="A214" s="13">
        <v>211.0</v>
      </c>
      <c r="B214" s="13">
        <v>11.0</v>
      </c>
      <c r="C214" s="14" t="s">
        <v>602</v>
      </c>
      <c r="D214" s="13" t="s">
        <v>633</v>
      </c>
      <c r="E214" s="13" t="s">
        <v>634</v>
      </c>
      <c r="F214" s="14" t="s">
        <v>635</v>
      </c>
      <c r="G214" s="13" t="s">
        <v>175</v>
      </c>
      <c r="H214" s="13">
        <v>4.0</v>
      </c>
      <c r="I214" s="13">
        <v>1.0</v>
      </c>
      <c r="J214" s="35">
        <v>5.0</v>
      </c>
      <c r="K214" s="35">
        <v>20.0</v>
      </c>
      <c r="L214" s="13"/>
      <c r="M214" s="13"/>
      <c r="N214" s="13">
        <v>6.0</v>
      </c>
      <c r="O214" s="13">
        <v>3.0</v>
      </c>
      <c r="P214" s="13"/>
      <c r="Q214" s="13">
        <v>6.0</v>
      </c>
      <c r="R214" s="13">
        <v>1.0</v>
      </c>
      <c r="S214" s="13">
        <v>1.0</v>
      </c>
      <c r="T214" s="13">
        <v>2.0</v>
      </c>
      <c r="U214" s="13">
        <v>2.0</v>
      </c>
      <c r="V214" s="13">
        <v>2.0</v>
      </c>
      <c r="W214" s="13">
        <v>2.0</v>
      </c>
      <c r="X214" s="13">
        <v>3.0</v>
      </c>
      <c r="Y214" s="13">
        <v>1.0</v>
      </c>
      <c r="Z214" s="13"/>
      <c r="AA214" s="13">
        <v>2.0</v>
      </c>
      <c r="AB214" s="13">
        <v>1.0</v>
      </c>
      <c r="AC214" s="13"/>
      <c r="AD214" s="13">
        <v>1.0</v>
      </c>
      <c r="AE214" s="13">
        <v>2.0</v>
      </c>
      <c r="AF214" s="13"/>
    </row>
    <row r="215" ht="15.75" customHeight="1">
      <c r="A215" s="11">
        <v>212.0</v>
      </c>
      <c r="B215" s="11">
        <v>11.0</v>
      </c>
      <c r="C215" s="12" t="s">
        <v>602</v>
      </c>
      <c r="D215" s="11" t="s">
        <v>636</v>
      </c>
      <c r="E215" s="11"/>
      <c r="F215" s="12" t="s">
        <v>637</v>
      </c>
      <c r="G215" s="11" t="s">
        <v>175</v>
      </c>
      <c r="H215" s="11">
        <v>4.0</v>
      </c>
      <c r="I215" s="11">
        <v>2.0</v>
      </c>
      <c r="J215" s="33">
        <v>4.0</v>
      </c>
      <c r="K215" s="33">
        <v>20.0</v>
      </c>
      <c r="L215" s="11"/>
      <c r="M215" s="11"/>
      <c r="N215" s="11">
        <v>6.0</v>
      </c>
      <c r="O215" s="11">
        <v>3.0</v>
      </c>
      <c r="P215" s="11"/>
      <c r="Q215" s="11">
        <v>6.0</v>
      </c>
      <c r="R215" s="11">
        <v>1.0</v>
      </c>
      <c r="S215" s="11">
        <v>1.0</v>
      </c>
      <c r="T215" s="11">
        <v>2.0</v>
      </c>
      <c r="U215" s="11">
        <v>2.0</v>
      </c>
      <c r="V215" s="11">
        <v>2.0</v>
      </c>
      <c r="W215" s="11">
        <v>2.0</v>
      </c>
      <c r="X215" s="11">
        <v>3.0</v>
      </c>
      <c r="Y215" s="11">
        <v>1.0</v>
      </c>
      <c r="Z215" s="11"/>
      <c r="AA215" s="11">
        <v>2.0</v>
      </c>
      <c r="AB215" s="11">
        <v>1.0</v>
      </c>
      <c r="AC215" s="11"/>
      <c r="AD215" s="11">
        <v>1.0</v>
      </c>
      <c r="AE215" s="11">
        <v>2.0</v>
      </c>
      <c r="AF215" s="11"/>
    </row>
    <row r="216" ht="15.75" customHeight="1">
      <c r="A216" s="13">
        <v>213.0</v>
      </c>
      <c r="B216" s="13">
        <v>11.0</v>
      </c>
      <c r="C216" s="14" t="s">
        <v>602</v>
      </c>
      <c r="D216" s="13" t="s">
        <v>638</v>
      </c>
      <c r="E216" s="13"/>
      <c r="F216" s="14" t="s">
        <v>639</v>
      </c>
      <c r="G216" s="13" t="s">
        <v>175</v>
      </c>
      <c r="H216" s="13">
        <v>4.0</v>
      </c>
      <c r="I216" s="13">
        <v>3.0</v>
      </c>
      <c r="J216" s="35">
        <v>3.0</v>
      </c>
      <c r="K216" s="35">
        <v>20.0</v>
      </c>
      <c r="L216" s="13"/>
      <c r="M216" s="13"/>
      <c r="N216" s="13">
        <v>10.0</v>
      </c>
      <c r="O216" s="13">
        <v>4.0</v>
      </c>
      <c r="P216" s="13"/>
      <c r="Q216" s="13">
        <v>7.0</v>
      </c>
      <c r="R216" s="13">
        <v>1.0</v>
      </c>
      <c r="S216" s="13">
        <v>1.0</v>
      </c>
      <c r="T216" s="13">
        <v>2.0</v>
      </c>
      <c r="U216" s="13">
        <v>2.0</v>
      </c>
      <c r="V216" s="13">
        <v>3.0</v>
      </c>
      <c r="W216" s="13">
        <v>2.0</v>
      </c>
      <c r="X216" s="13">
        <v>3.0</v>
      </c>
      <c r="Y216" s="13">
        <v>1.0</v>
      </c>
      <c r="Z216" s="13"/>
      <c r="AA216" s="13">
        <v>2.0</v>
      </c>
      <c r="AB216" s="13">
        <v>2.0</v>
      </c>
      <c r="AC216" s="13"/>
      <c r="AD216" s="13">
        <v>1.0</v>
      </c>
      <c r="AE216" s="13">
        <v>3.0</v>
      </c>
      <c r="AF216" s="13"/>
    </row>
    <row r="217" ht="15.75" customHeight="1">
      <c r="A217" s="11">
        <v>214.0</v>
      </c>
      <c r="B217" s="11">
        <v>11.0</v>
      </c>
      <c r="C217" s="12" t="s">
        <v>602</v>
      </c>
      <c r="D217" s="11" t="s">
        <v>640</v>
      </c>
      <c r="E217" s="11"/>
      <c r="F217" s="12" t="s">
        <v>641</v>
      </c>
      <c r="G217" s="11" t="s">
        <v>175</v>
      </c>
      <c r="H217" s="11">
        <v>4.0</v>
      </c>
      <c r="I217" s="11">
        <v>4.0</v>
      </c>
      <c r="J217" s="33">
        <v>2.0</v>
      </c>
      <c r="K217" s="33">
        <v>20.0</v>
      </c>
      <c r="L217" s="11"/>
      <c r="M217" s="11"/>
      <c r="N217" s="11">
        <v>10.0</v>
      </c>
      <c r="O217" s="11">
        <v>4.0</v>
      </c>
      <c r="P217" s="11"/>
      <c r="Q217" s="11">
        <v>7.0</v>
      </c>
      <c r="R217" s="11">
        <v>1.0</v>
      </c>
      <c r="S217" s="11">
        <v>1.0</v>
      </c>
      <c r="T217" s="11">
        <v>2.0</v>
      </c>
      <c r="U217" s="11">
        <v>2.0</v>
      </c>
      <c r="V217" s="11">
        <v>3.0</v>
      </c>
      <c r="W217" s="11">
        <v>2.0</v>
      </c>
      <c r="X217" s="11">
        <v>3.0</v>
      </c>
      <c r="Y217" s="11">
        <v>1.0</v>
      </c>
      <c r="Z217" s="11"/>
      <c r="AA217" s="11">
        <v>2.0</v>
      </c>
      <c r="AB217" s="11">
        <v>2.0</v>
      </c>
      <c r="AC217" s="11"/>
      <c r="AD217" s="11">
        <v>1.0</v>
      </c>
      <c r="AE217" s="11">
        <v>3.0</v>
      </c>
      <c r="AF217" s="11"/>
    </row>
    <row r="218" ht="15.75" customHeight="1">
      <c r="A218" s="13">
        <v>215.0</v>
      </c>
      <c r="B218" s="13">
        <v>11.0</v>
      </c>
      <c r="C218" s="14" t="s">
        <v>602</v>
      </c>
      <c r="D218" s="14" t="s">
        <v>642</v>
      </c>
      <c r="E218" s="13"/>
      <c r="F218" s="14" t="s">
        <v>643</v>
      </c>
      <c r="G218" s="13" t="s">
        <v>74</v>
      </c>
      <c r="H218" s="13">
        <v>5.0</v>
      </c>
      <c r="I218" s="13">
        <v>5.0</v>
      </c>
      <c r="J218" s="35">
        <v>1.0</v>
      </c>
      <c r="K218" s="35">
        <v>105.0</v>
      </c>
      <c r="L218" s="13"/>
      <c r="M218" s="13"/>
      <c r="N218" s="13">
        <v>24.0</v>
      </c>
      <c r="O218" s="13">
        <v>8.0</v>
      </c>
      <c r="P218" s="13">
        <v>4.0</v>
      </c>
      <c r="Q218" s="13">
        <v>22.0</v>
      </c>
      <c r="R218" s="13">
        <v>2.0</v>
      </c>
      <c r="S218" s="13">
        <v>2.0</v>
      </c>
      <c r="T218" s="13">
        <v>4.0</v>
      </c>
      <c r="U218" s="13">
        <v>4.0</v>
      </c>
      <c r="V218" s="13">
        <v>9.0</v>
      </c>
      <c r="W218" s="13">
        <v>6.0</v>
      </c>
      <c r="X218" s="13">
        <v>6.0</v>
      </c>
      <c r="Y218" s="13">
        <v>5.0</v>
      </c>
      <c r="Z218" s="13">
        <v>2.0</v>
      </c>
      <c r="AA218" s="13">
        <v>3.0</v>
      </c>
      <c r="AB218" s="13">
        <v>3.0</v>
      </c>
      <c r="AC218" s="13">
        <v>1.0</v>
      </c>
      <c r="AD218" s="13">
        <v>3.0</v>
      </c>
      <c r="AE218" s="13">
        <v>4.0</v>
      </c>
      <c r="AF218" s="13"/>
    </row>
    <row r="219" ht="15.75" customHeight="1">
      <c r="A219" s="11">
        <v>216.0</v>
      </c>
      <c r="B219" s="11">
        <v>12.0</v>
      </c>
      <c r="C219" s="11" t="s">
        <v>69</v>
      </c>
      <c r="D219" s="11" t="s">
        <v>644</v>
      </c>
      <c r="E219" s="11"/>
      <c r="F219" s="11" t="s">
        <v>645</v>
      </c>
      <c r="G219" s="11" t="s">
        <v>170</v>
      </c>
      <c r="H219" s="11">
        <v>0.0</v>
      </c>
      <c r="I219" s="11">
        <v>0.0</v>
      </c>
      <c r="J219" s="33">
        <v>10.0</v>
      </c>
      <c r="K219" s="33">
        <v>75.0</v>
      </c>
      <c r="L219" s="11"/>
      <c r="M219" s="34" t="s">
        <v>646</v>
      </c>
      <c r="N219" s="11">
        <v>20.0</v>
      </c>
      <c r="O219" s="11">
        <v>6.0</v>
      </c>
      <c r="P219" s="11">
        <v>4.0</v>
      </c>
      <c r="Q219" s="11">
        <v>18.0</v>
      </c>
      <c r="R219" s="11">
        <v>1.0</v>
      </c>
      <c r="S219" s="11">
        <v>2.0</v>
      </c>
      <c r="T219" s="11">
        <v>2.0</v>
      </c>
      <c r="U219" s="11">
        <v>2.0</v>
      </c>
      <c r="V219" s="11">
        <v>6.0</v>
      </c>
      <c r="W219" s="11">
        <v>6.0</v>
      </c>
      <c r="X219" s="11">
        <v>5.0</v>
      </c>
      <c r="Y219" s="11">
        <v>4.0</v>
      </c>
      <c r="Z219" s="11"/>
      <c r="AA219" s="11">
        <v>4.0</v>
      </c>
      <c r="AB219" s="11">
        <v>2.0</v>
      </c>
      <c r="AC219" s="11"/>
      <c r="AD219" s="11">
        <v>4.0</v>
      </c>
      <c r="AE219" s="11">
        <v>1.0</v>
      </c>
      <c r="AF219" s="11"/>
    </row>
    <row r="220" ht="15.75" customHeight="1">
      <c r="A220" s="13">
        <v>217.0</v>
      </c>
      <c r="B220" s="13">
        <v>12.0</v>
      </c>
      <c r="C220" s="13" t="s">
        <v>69</v>
      </c>
      <c r="D220" s="13" t="s">
        <v>647</v>
      </c>
      <c r="E220" s="13" t="s">
        <v>648</v>
      </c>
      <c r="F220" s="13" t="s">
        <v>649</v>
      </c>
      <c r="G220" s="13" t="s">
        <v>175</v>
      </c>
      <c r="H220" s="13">
        <v>1.0</v>
      </c>
      <c r="I220" s="13">
        <v>1.0</v>
      </c>
      <c r="J220" s="35">
        <v>5.0</v>
      </c>
      <c r="K220" s="35">
        <v>20.0</v>
      </c>
      <c r="L220" s="13"/>
      <c r="M220" s="13"/>
      <c r="N220" s="13">
        <v>6.0</v>
      </c>
      <c r="O220" s="13">
        <v>2.0</v>
      </c>
      <c r="P220" s="13"/>
      <c r="Q220" s="13">
        <v>6.0</v>
      </c>
      <c r="R220" s="13"/>
      <c r="S220" s="13">
        <v>1.0</v>
      </c>
      <c r="T220" s="13">
        <v>1.0</v>
      </c>
      <c r="U220" s="13">
        <v>1.0</v>
      </c>
      <c r="V220" s="13">
        <v>3.0</v>
      </c>
      <c r="W220" s="13">
        <v>3.0</v>
      </c>
      <c r="X220" s="13">
        <v>3.0</v>
      </c>
      <c r="Y220" s="13">
        <v>2.0</v>
      </c>
      <c r="Z220" s="13"/>
      <c r="AA220" s="13">
        <v>2.0</v>
      </c>
      <c r="AB220" s="13">
        <v>2.0</v>
      </c>
      <c r="AC220" s="13"/>
      <c r="AD220" s="13">
        <v>2.0</v>
      </c>
      <c r="AE220" s="13"/>
      <c r="AF220" s="13"/>
    </row>
    <row r="221" ht="15.75" customHeight="1">
      <c r="A221" s="11">
        <v>218.0</v>
      </c>
      <c r="B221" s="11">
        <v>12.0</v>
      </c>
      <c r="C221" s="11" t="s">
        <v>69</v>
      </c>
      <c r="D221" s="11" t="s">
        <v>650</v>
      </c>
      <c r="E221" s="11"/>
      <c r="F221" s="11" t="s">
        <v>651</v>
      </c>
      <c r="G221" s="11" t="s">
        <v>175</v>
      </c>
      <c r="H221" s="11">
        <v>1.0</v>
      </c>
      <c r="I221" s="11">
        <v>2.0</v>
      </c>
      <c r="J221" s="33">
        <v>4.0</v>
      </c>
      <c r="K221" s="33">
        <v>20.0</v>
      </c>
      <c r="L221" s="11"/>
      <c r="M221" s="11"/>
      <c r="N221" s="11">
        <v>6.0</v>
      </c>
      <c r="O221" s="11">
        <v>2.0</v>
      </c>
      <c r="P221" s="11"/>
      <c r="Q221" s="11">
        <v>6.0</v>
      </c>
      <c r="R221" s="11"/>
      <c r="S221" s="11">
        <v>1.0</v>
      </c>
      <c r="T221" s="11">
        <v>1.0</v>
      </c>
      <c r="U221" s="11">
        <v>1.0</v>
      </c>
      <c r="V221" s="11">
        <v>3.0</v>
      </c>
      <c r="W221" s="11">
        <v>3.0</v>
      </c>
      <c r="X221" s="11">
        <v>3.0</v>
      </c>
      <c r="Y221" s="11">
        <v>2.0</v>
      </c>
      <c r="Z221" s="11"/>
      <c r="AA221" s="11">
        <v>2.0</v>
      </c>
      <c r="AB221" s="11">
        <v>2.0</v>
      </c>
      <c r="AC221" s="11"/>
      <c r="AD221" s="11">
        <v>2.0</v>
      </c>
      <c r="AE221" s="11"/>
      <c r="AF221" s="11"/>
    </row>
    <row r="222" ht="15.75" customHeight="1">
      <c r="A222" s="13">
        <v>219.0</v>
      </c>
      <c r="B222" s="13">
        <v>12.0</v>
      </c>
      <c r="C222" s="13" t="s">
        <v>69</v>
      </c>
      <c r="D222" s="13" t="s">
        <v>652</v>
      </c>
      <c r="E222" s="13"/>
      <c r="F222" s="13" t="s">
        <v>653</v>
      </c>
      <c r="G222" s="13" t="s">
        <v>175</v>
      </c>
      <c r="H222" s="13">
        <v>1.0</v>
      </c>
      <c r="I222" s="13">
        <v>3.0</v>
      </c>
      <c r="J222" s="35">
        <v>3.0</v>
      </c>
      <c r="K222" s="35">
        <v>20.0</v>
      </c>
      <c r="L222" s="13"/>
      <c r="M222" s="13"/>
      <c r="N222" s="13">
        <v>10.0</v>
      </c>
      <c r="O222" s="13">
        <v>3.0</v>
      </c>
      <c r="P222" s="13"/>
      <c r="Q222" s="13">
        <v>7.0</v>
      </c>
      <c r="R222" s="13"/>
      <c r="S222" s="13">
        <v>1.0</v>
      </c>
      <c r="T222" s="13">
        <v>1.0</v>
      </c>
      <c r="U222" s="13">
        <v>1.0</v>
      </c>
      <c r="V222" s="13">
        <v>4.0</v>
      </c>
      <c r="W222" s="13">
        <v>3.0</v>
      </c>
      <c r="X222" s="13">
        <v>4.0</v>
      </c>
      <c r="Y222" s="13">
        <v>2.0</v>
      </c>
      <c r="Z222" s="13"/>
      <c r="AA222" s="13">
        <v>2.0</v>
      </c>
      <c r="AB222" s="13">
        <v>2.0</v>
      </c>
      <c r="AC222" s="13"/>
      <c r="AD222" s="13">
        <v>3.0</v>
      </c>
      <c r="AE222" s="13"/>
      <c r="AF222" s="13"/>
    </row>
    <row r="223" ht="15.75" customHeight="1">
      <c r="A223" s="11">
        <v>220.0</v>
      </c>
      <c r="B223" s="11">
        <v>12.0</v>
      </c>
      <c r="C223" s="11" t="s">
        <v>69</v>
      </c>
      <c r="D223" s="11" t="s">
        <v>654</v>
      </c>
      <c r="E223" s="11"/>
      <c r="F223" s="11" t="s">
        <v>655</v>
      </c>
      <c r="G223" s="11" t="s">
        <v>175</v>
      </c>
      <c r="H223" s="11">
        <v>1.0</v>
      </c>
      <c r="I223" s="11">
        <v>4.0</v>
      </c>
      <c r="J223" s="33">
        <v>2.0</v>
      </c>
      <c r="K223" s="33">
        <v>20.0</v>
      </c>
      <c r="L223" s="11"/>
      <c r="M223" s="11"/>
      <c r="N223" s="11">
        <v>10.0</v>
      </c>
      <c r="O223" s="11">
        <v>3.0</v>
      </c>
      <c r="P223" s="11"/>
      <c r="Q223" s="11">
        <v>7.0</v>
      </c>
      <c r="R223" s="11"/>
      <c r="S223" s="11">
        <v>1.0</v>
      </c>
      <c r="T223" s="11">
        <v>1.0</v>
      </c>
      <c r="U223" s="11">
        <v>1.0</v>
      </c>
      <c r="V223" s="11">
        <v>4.0</v>
      </c>
      <c r="W223" s="11">
        <v>3.0</v>
      </c>
      <c r="X223" s="11">
        <v>4.0</v>
      </c>
      <c r="Y223" s="11">
        <v>2.0</v>
      </c>
      <c r="Z223" s="11"/>
      <c r="AA223" s="11">
        <v>2.0</v>
      </c>
      <c r="AB223" s="11">
        <v>2.0</v>
      </c>
      <c r="AC223" s="11"/>
      <c r="AD223" s="11">
        <v>3.0</v>
      </c>
      <c r="AE223" s="11"/>
      <c r="AF223" s="11"/>
    </row>
    <row r="224" ht="15.75" customHeight="1">
      <c r="A224" s="13">
        <v>221.0</v>
      </c>
      <c r="B224" s="13">
        <v>12.0</v>
      </c>
      <c r="C224" s="13" t="s">
        <v>69</v>
      </c>
      <c r="D224" s="13" t="s">
        <v>656</v>
      </c>
      <c r="E224" s="13" t="s">
        <v>657</v>
      </c>
      <c r="F224" s="13" t="s">
        <v>658</v>
      </c>
      <c r="G224" s="13" t="s">
        <v>175</v>
      </c>
      <c r="H224" s="13">
        <v>2.0</v>
      </c>
      <c r="I224" s="13">
        <v>1.0</v>
      </c>
      <c r="J224" s="35">
        <v>5.0</v>
      </c>
      <c r="K224" s="35">
        <v>20.0</v>
      </c>
      <c r="L224" s="13"/>
      <c r="M224" s="13"/>
      <c r="N224" s="13">
        <v>6.0</v>
      </c>
      <c r="O224" s="13">
        <v>2.0</v>
      </c>
      <c r="P224" s="13"/>
      <c r="Q224" s="13">
        <v>6.0</v>
      </c>
      <c r="R224" s="13"/>
      <c r="S224" s="13">
        <v>1.0</v>
      </c>
      <c r="T224" s="13">
        <v>1.0</v>
      </c>
      <c r="U224" s="13">
        <v>1.0</v>
      </c>
      <c r="V224" s="13">
        <v>3.0</v>
      </c>
      <c r="W224" s="13">
        <v>2.0</v>
      </c>
      <c r="X224" s="13">
        <v>3.0</v>
      </c>
      <c r="Y224" s="13">
        <v>1.0</v>
      </c>
      <c r="Z224" s="13"/>
      <c r="AA224" s="13">
        <v>3.0</v>
      </c>
      <c r="AB224" s="13">
        <v>2.0</v>
      </c>
      <c r="AC224" s="13">
        <v>1.0</v>
      </c>
      <c r="AD224" s="13">
        <v>2.0</v>
      </c>
      <c r="AE224" s="13"/>
      <c r="AF224" s="13"/>
    </row>
    <row r="225" ht="15.75" customHeight="1">
      <c r="A225" s="11">
        <v>222.0</v>
      </c>
      <c r="B225" s="11">
        <v>12.0</v>
      </c>
      <c r="C225" s="11" t="s">
        <v>69</v>
      </c>
      <c r="D225" s="11" t="s">
        <v>659</v>
      </c>
      <c r="E225" s="11"/>
      <c r="F225" s="11" t="s">
        <v>660</v>
      </c>
      <c r="G225" s="11" t="s">
        <v>175</v>
      </c>
      <c r="H225" s="11">
        <v>2.0</v>
      </c>
      <c r="I225" s="11">
        <v>2.0</v>
      </c>
      <c r="J225" s="33">
        <v>4.0</v>
      </c>
      <c r="K225" s="33">
        <v>20.0</v>
      </c>
      <c r="L225" s="11"/>
      <c r="M225" s="11"/>
      <c r="N225" s="11">
        <v>6.0</v>
      </c>
      <c r="O225" s="11">
        <v>2.0</v>
      </c>
      <c r="P225" s="11"/>
      <c r="Q225" s="11">
        <v>6.0</v>
      </c>
      <c r="R225" s="11"/>
      <c r="S225" s="11">
        <v>1.0</v>
      </c>
      <c r="T225" s="11">
        <v>1.0</v>
      </c>
      <c r="U225" s="11">
        <v>1.0</v>
      </c>
      <c r="V225" s="11">
        <v>3.0</v>
      </c>
      <c r="W225" s="11">
        <v>2.0</v>
      </c>
      <c r="X225" s="11">
        <v>3.0</v>
      </c>
      <c r="Y225" s="11">
        <v>1.0</v>
      </c>
      <c r="Z225" s="11"/>
      <c r="AA225" s="11">
        <v>3.0</v>
      </c>
      <c r="AB225" s="11">
        <v>2.0</v>
      </c>
      <c r="AC225" s="11">
        <v>1.0</v>
      </c>
      <c r="AD225" s="11">
        <v>2.0</v>
      </c>
      <c r="AE225" s="11"/>
      <c r="AF225" s="11"/>
    </row>
    <row r="226" ht="15.75" customHeight="1">
      <c r="A226" s="13">
        <v>223.0</v>
      </c>
      <c r="B226" s="13">
        <v>12.0</v>
      </c>
      <c r="C226" s="13" t="s">
        <v>69</v>
      </c>
      <c r="D226" s="13" t="s">
        <v>661</v>
      </c>
      <c r="E226" s="13"/>
      <c r="F226" s="13" t="s">
        <v>662</v>
      </c>
      <c r="G226" s="13" t="s">
        <v>175</v>
      </c>
      <c r="H226" s="13">
        <v>2.0</v>
      </c>
      <c r="I226" s="13">
        <v>3.0</v>
      </c>
      <c r="J226" s="35">
        <v>3.0</v>
      </c>
      <c r="K226" s="35">
        <v>20.0</v>
      </c>
      <c r="L226" s="13"/>
      <c r="M226" s="13"/>
      <c r="N226" s="13">
        <v>10.0</v>
      </c>
      <c r="O226" s="13">
        <v>3.0</v>
      </c>
      <c r="P226" s="13"/>
      <c r="Q226" s="13">
        <v>7.0</v>
      </c>
      <c r="R226" s="13"/>
      <c r="S226" s="13">
        <v>1.0</v>
      </c>
      <c r="T226" s="13">
        <v>1.0</v>
      </c>
      <c r="U226" s="13">
        <v>1.0</v>
      </c>
      <c r="V226" s="13">
        <v>4.0</v>
      </c>
      <c r="W226" s="13">
        <v>2.0</v>
      </c>
      <c r="X226" s="13">
        <v>4.0</v>
      </c>
      <c r="Y226" s="13">
        <v>1.0</v>
      </c>
      <c r="Z226" s="13"/>
      <c r="AA226" s="13">
        <v>3.0</v>
      </c>
      <c r="AB226" s="13">
        <v>2.0</v>
      </c>
      <c r="AC226" s="13">
        <v>1.0</v>
      </c>
      <c r="AD226" s="13">
        <v>3.0</v>
      </c>
      <c r="AE226" s="13">
        <v>1.0</v>
      </c>
      <c r="AF226" s="13"/>
    </row>
    <row r="227" ht="15.75" customHeight="1">
      <c r="A227" s="11">
        <v>224.0</v>
      </c>
      <c r="B227" s="11">
        <v>12.0</v>
      </c>
      <c r="C227" s="11" t="s">
        <v>69</v>
      </c>
      <c r="D227" s="11" t="s">
        <v>663</v>
      </c>
      <c r="E227" s="11"/>
      <c r="F227" s="11" t="s">
        <v>664</v>
      </c>
      <c r="G227" s="11" t="s">
        <v>175</v>
      </c>
      <c r="H227" s="11">
        <v>2.0</v>
      </c>
      <c r="I227" s="11">
        <v>4.0</v>
      </c>
      <c r="J227" s="33">
        <v>2.0</v>
      </c>
      <c r="K227" s="33">
        <v>20.0</v>
      </c>
      <c r="L227" s="11"/>
      <c r="M227" s="11"/>
      <c r="N227" s="11">
        <v>10.0</v>
      </c>
      <c r="O227" s="11">
        <v>3.0</v>
      </c>
      <c r="P227" s="11"/>
      <c r="Q227" s="11">
        <v>7.0</v>
      </c>
      <c r="R227" s="11"/>
      <c r="S227" s="11">
        <v>1.0</v>
      </c>
      <c r="T227" s="11">
        <v>1.0</v>
      </c>
      <c r="U227" s="11">
        <v>1.0</v>
      </c>
      <c r="V227" s="11">
        <v>4.0</v>
      </c>
      <c r="W227" s="11">
        <v>2.0</v>
      </c>
      <c r="X227" s="11">
        <v>4.0</v>
      </c>
      <c r="Y227" s="11">
        <v>1.0</v>
      </c>
      <c r="Z227" s="11"/>
      <c r="AA227" s="11">
        <v>3.0</v>
      </c>
      <c r="AB227" s="11">
        <v>2.0</v>
      </c>
      <c r="AC227" s="11">
        <v>1.0</v>
      </c>
      <c r="AD227" s="11">
        <v>3.0</v>
      </c>
      <c r="AE227" s="11">
        <v>1.0</v>
      </c>
      <c r="AF227" s="11"/>
    </row>
    <row r="228" ht="15.75" customHeight="1">
      <c r="A228" s="13">
        <v>225.0</v>
      </c>
      <c r="B228" s="13">
        <v>12.0</v>
      </c>
      <c r="C228" s="13" t="s">
        <v>69</v>
      </c>
      <c r="D228" s="13" t="s">
        <v>665</v>
      </c>
      <c r="E228" s="13" t="s">
        <v>666</v>
      </c>
      <c r="F228" s="13" t="s">
        <v>667</v>
      </c>
      <c r="G228" s="13" t="s">
        <v>175</v>
      </c>
      <c r="H228" s="13">
        <v>3.0</v>
      </c>
      <c r="I228" s="13">
        <v>1.0</v>
      </c>
      <c r="J228" s="35">
        <v>5.0</v>
      </c>
      <c r="K228" s="35">
        <v>20.0</v>
      </c>
      <c r="L228" s="13"/>
      <c r="M228" s="13"/>
      <c r="N228" s="13">
        <v>6.0</v>
      </c>
      <c r="O228" s="13">
        <v>2.0</v>
      </c>
      <c r="P228" s="13"/>
      <c r="Q228" s="13">
        <v>5.0</v>
      </c>
      <c r="R228" s="13">
        <v>1.0</v>
      </c>
      <c r="S228" s="13">
        <v>1.0</v>
      </c>
      <c r="T228" s="13">
        <v>2.0</v>
      </c>
      <c r="U228" s="13">
        <v>1.0</v>
      </c>
      <c r="V228" s="13">
        <v>2.0</v>
      </c>
      <c r="W228" s="13">
        <v>2.0</v>
      </c>
      <c r="X228" s="13">
        <v>2.0</v>
      </c>
      <c r="Y228" s="13">
        <v>1.0</v>
      </c>
      <c r="Z228" s="13"/>
      <c r="AA228" s="13">
        <v>2.0</v>
      </c>
      <c r="AB228" s="13">
        <v>1.0</v>
      </c>
      <c r="AC228" s="13"/>
      <c r="AD228" s="13">
        <v>3.0</v>
      </c>
      <c r="AE228" s="13"/>
      <c r="AF228" s="13"/>
    </row>
    <row r="229" ht="15.75" customHeight="1">
      <c r="A229" s="11">
        <v>226.0</v>
      </c>
      <c r="B229" s="11">
        <v>12.0</v>
      </c>
      <c r="C229" s="11" t="s">
        <v>69</v>
      </c>
      <c r="D229" s="11" t="s">
        <v>668</v>
      </c>
      <c r="E229" s="11"/>
      <c r="F229" s="11" t="s">
        <v>669</v>
      </c>
      <c r="G229" s="11" t="s">
        <v>175</v>
      </c>
      <c r="H229" s="11">
        <v>3.0</v>
      </c>
      <c r="I229" s="11">
        <v>2.0</v>
      </c>
      <c r="J229" s="33">
        <v>4.0</v>
      </c>
      <c r="K229" s="33">
        <v>20.0</v>
      </c>
      <c r="L229" s="11"/>
      <c r="M229" s="11"/>
      <c r="N229" s="11">
        <v>6.0</v>
      </c>
      <c r="O229" s="11">
        <v>2.0</v>
      </c>
      <c r="P229" s="11"/>
      <c r="Q229" s="11">
        <v>5.0</v>
      </c>
      <c r="R229" s="11">
        <v>1.0</v>
      </c>
      <c r="S229" s="11">
        <v>1.0</v>
      </c>
      <c r="T229" s="11">
        <v>2.0</v>
      </c>
      <c r="U229" s="11">
        <v>1.0</v>
      </c>
      <c r="V229" s="11">
        <v>2.0</v>
      </c>
      <c r="W229" s="11">
        <v>2.0</v>
      </c>
      <c r="X229" s="11">
        <v>2.0</v>
      </c>
      <c r="Y229" s="11">
        <v>1.0</v>
      </c>
      <c r="Z229" s="11"/>
      <c r="AA229" s="11">
        <v>2.0</v>
      </c>
      <c r="AB229" s="11">
        <v>1.0</v>
      </c>
      <c r="AC229" s="11"/>
      <c r="AD229" s="11">
        <v>3.0</v>
      </c>
      <c r="AE229" s="11"/>
      <c r="AF229" s="11"/>
    </row>
    <row r="230" ht="15.75" customHeight="1">
      <c r="A230" s="13">
        <v>227.0</v>
      </c>
      <c r="B230" s="13">
        <v>12.0</v>
      </c>
      <c r="C230" s="13" t="s">
        <v>69</v>
      </c>
      <c r="D230" s="13" t="s">
        <v>670</v>
      </c>
      <c r="E230" s="13"/>
      <c r="F230" s="13" t="s">
        <v>671</v>
      </c>
      <c r="G230" s="13" t="s">
        <v>175</v>
      </c>
      <c r="H230" s="13">
        <v>3.0</v>
      </c>
      <c r="I230" s="13">
        <v>3.0</v>
      </c>
      <c r="J230" s="35">
        <v>3.0</v>
      </c>
      <c r="K230" s="35">
        <v>20.0</v>
      </c>
      <c r="L230" s="13"/>
      <c r="M230" s="13"/>
      <c r="N230" s="13">
        <v>10.0</v>
      </c>
      <c r="O230" s="13">
        <v>3.0</v>
      </c>
      <c r="P230" s="13"/>
      <c r="Q230" s="13">
        <v>6.0</v>
      </c>
      <c r="R230" s="13">
        <v>1.0</v>
      </c>
      <c r="S230" s="13">
        <v>1.0</v>
      </c>
      <c r="T230" s="13">
        <v>2.0</v>
      </c>
      <c r="U230" s="13">
        <v>1.0</v>
      </c>
      <c r="V230" s="13">
        <v>3.0</v>
      </c>
      <c r="W230" s="13">
        <v>2.0</v>
      </c>
      <c r="X230" s="13">
        <v>3.0</v>
      </c>
      <c r="Y230" s="13">
        <v>1.0</v>
      </c>
      <c r="Z230" s="13"/>
      <c r="AA230" s="13">
        <v>2.0</v>
      </c>
      <c r="AB230" s="13">
        <v>1.0</v>
      </c>
      <c r="AC230" s="13"/>
      <c r="AD230" s="13">
        <v>4.0</v>
      </c>
      <c r="AE230" s="13"/>
      <c r="AF230" s="13"/>
    </row>
    <row r="231" ht="15.75" customHeight="1">
      <c r="A231" s="11">
        <v>228.0</v>
      </c>
      <c r="B231" s="11">
        <v>12.0</v>
      </c>
      <c r="C231" s="11" t="s">
        <v>69</v>
      </c>
      <c r="D231" s="11" t="s">
        <v>672</v>
      </c>
      <c r="E231" s="11"/>
      <c r="F231" s="11" t="s">
        <v>673</v>
      </c>
      <c r="G231" s="11" t="s">
        <v>175</v>
      </c>
      <c r="H231" s="11">
        <v>3.0</v>
      </c>
      <c r="I231" s="11">
        <v>4.0</v>
      </c>
      <c r="J231" s="33">
        <v>2.0</v>
      </c>
      <c r="K231" s="33">
        <v>20.0</v>
      </c>
      <c r="L231" s="11"/>
      <c r="M231" s="11"/>
      <c r="N231" s="11">
        <v>10.0</v>
      </c>
      <c r="O231" s="11">
        <v>3.0</v>
      </c>
      <c r="P231" s="11"/>
      <c r="Q231" s="11">
        <v>6.0</v>
      </c>
      <c r="R231" s="11">
        <v>1.0</v>
      </c>
      <c r="S231" s="11">
        <v>1.0</v>
      </c>
      <c r="T231" s="11">
        <v>2.0</v>
      </c>
      <c r="U231" s="11">
        <v>1.0</v>
      </c>
      <c r="V231" s="11">
        <v>3.0</v>
      </c>
      <c r="W231" s="11">
        <v>2.0</v>
      </c>
      <c r="X231" s="11">
        <v>3.0</v>
      </c>
      <c r="Y231" s="11">
        <v>1.0</v>
      </c>
      <c r="Z231" s="11"/>
      <c r="AA231" s="11">
        <v>2.0</v>
      </c>
      <c r="AB231" s="11">
        <v>1.0</v>
      </c>
      <c r="AC231" s="11"/>
      <c r="AD231" s="11">
        <v>4.0</v>
      </c>
      <c r="AE231" s="11"/>
      <c r="AF231" s="11"/>
    </row>
    <row r="232" ht="15.75" customHeight="1">
      <c r="A232" s="13">
        <v>229.0</v>
      </c>
      <c r="B232" s="13">
        <v>12.0</v>
      </c>
      <c r="C232" s="13" t="s">
        <v>69</v>
      </c>
      <c r="D232" s="13" t="s">
        <v>674</v>
      </c>
      <c r="E232" s="13" t="s">
        <v>675</v>
      </c>
      <c r="F232" s="13" t="s">
        <v>676</v>
      </c>
      <c r="G232" s="13" t="s">
        <v>175</v>
      </c>
      <c r="H232" s="13">
        <v>4.0</v>
      </c>
      <c r="I232" s="13">
        <v>1.0</v>
      </c>
      <c r="J232" s="35">
        <v>5.0</v>
      </c>
      <c r="K232" s="35">
        <v>20.0</v>
      </c>
      <c r="L232" s="13"/>
      <c r="M232" s="13"/>
      <c r="N232" s="13">
        <v>6.0</v>
      </c>
      <c r="O232" s="13">
        <v>2.0</v>
      </c>
      <c r="P232" s="13"/>
      <c r="Q232" s="13">
        <v>5.0</v>
      </c>
      <c r="R232" s="13">
        <v>1.0</v>
      </c>
      <c r="S232" s="13"/>
      <c r="T232" s="13">
        <v>2.0</v>
      </c>
      <c r="U232" s="13">
        <v>1.0</v>
      </c>
      <c r="V232" s="13">
        <v>2.0</v>
      </c>
      <c r="W232" s="13">
        <v>2.0</v>
      </c>
      <c r="X232" s="13">
        <v>3.0</v>
      </c>
      <c r="Y232" s="13">
        <v>1.0</v>
      </c>
      <c r="Z232" s="13"/>
      <c r="AA232" s="13">
        <v>1.0</v>
      </c>
      <c r="AB232" s="13">
        <v>1.0</v>
      </c>
      <c r="AC232" s="13"/>
      <c r="AD232" s="13">
        <v>3.0</v>
      </c>
      <c r="AE232" s="13"/>
      <c r="AF232" s="13"/>
    </row>
    <row r="233" ht="15.75" customHeight="1">
      <c r="A233" s="11">
        <v>230.0</v>
      </c>
      <c r="B233" s="11">
        <v>12.0</v>
      </c>
      <c r="C233" s="11" t="s">
        <v>69</v>
      </c>
      <c r="D233" s="11" t="s">
        <v>677</v>
      </c>
      <c r="E233" s="11"/>
      <c r="F233" s="11" t="s">
        <v>678</v>
      </c>
      <c r="G233" s="11" t="s">
        <v>175</v>
      </c>
      <c r="H233" s="11">
        <v>4.0</v>
      </c>
      <c r="I233" s="11">
        <v>2.0</v>
      </c>
      <c r="J233" s="33">
        <v>4.0</v>
      </c>
      <c r="K233" s="33">
        <v>20.0</v>
      </c>
      <c r="L233" s="11"/>
      <c r="M233" s="11"/>
      <c r="N233" s="11">
        <v>6.0</v>
      </c>
      <c r="O233" s="11">
        <v>2.0</v>
      </c>
      <c r="P233" s="11"/>
      <c r="Q233" s="11">
        <v>5.0</v>
      </c>
      <c r="R233" s="11">
        <v>1.0</v>
      </c>
      <c r="S233" s="11"/>
      <c r="T233" s="11">
        <v>2.0</v>
      </c>
      <c r="U233" s="11">
        <v>1.0</v>
      </c>
      <c r="V233" s="11">
        <v>2.0</v>
      </c>
      <c r="W233" s="11">
        <v>2.0</v>
      </c>
      <c r="X233" s="11">
        <v>3.0</v>
      </c>
      <c r="Y233" s="11">
        <v>1.0</v>
      </c>
      <c r="Z233" s="11"/>
      <c r="AA233" s="11">
        <v>1.0</v>
      </c>
      <c r="AB233" s="11">
        <v>1.0</v>
      </c>
      <c r="AC233" s="11"/>
      <c r="AD233" s="11">
        <v>3.0</v>
      </c>
      <c r="AE233" s="11"/>
      <c r="AF233" s="11"/>
    </row>
    <row r="234" ht="15.75" customHeight="1">
      <c r="A234" s="13">
        <v>231.0</v>
      </c>
      <c r="B234" s="13">
        <v>12.0</v>
      </c>
      <c r="C234" s="13" t="s">
        <v>69</v>
      </c>
      <c r="D234" s="13" t="s">
        <v>679</v>
      </c>
      <c r="E234" s="13"/>
      <c r="F234" s="13" t="s">
        <v>680</v>
      </c>
      <c r="G234" s="13" t="s">
        <v>175</v>
      </c>
      <c r="H234" s="13">
        <v>4.0</v>
      </c>
      <c r="I234" s="13">
        <v>3.0</v>
      </c>
      <c r="J234" s="35">
        <v>3.0</v>
      </c>
      <c r="K234" s="35">
        <v>20.0</v>
      </c>
      <c r="L234" s="13"/>
      <c r="M234" s="13"/>
      <c r="N234" s="13">
        <v>10.0</v>
      </c>
      <c r="O234" s="13">
        <v>3.0</v>
      </c>
      <c r="P234" s="13"/>
      <c r="Q234" s="13">
        <v>6.0</v>
      </c>
      <c r="R234" s="13">
        <v>1.0</v>
      </c>
      <c r="S234" s="13"/>
      <c r="T234" s="13">
        <v>2.0</v>
      </c>
      <c r="U234" s="13">
        <v>1.0</v>
      </c>
      <c r="V234" s="13">
        <v>3.0</v>
      </c>
      <c r="W234" s="13">
        <v>2.0</v>
      </c>
      <c r="X234" s="13">
        <v>3.0</v>
      </c>
      <c r="Y234" s="13">
        <v>1.0</v>
      </c>
      <c r="Z234" s="13"/>
      <c r="AA234" s="13">
        <v>1.0</v>
      </c>
      <c r="AB234" s="13">
        <v>1.0</v>
      </c>
      <c r="AC234" s="13"/>
      <c r="AD234" s="13">
        <v>4.0</v>
      </c>
      <c r="AE234" s="13"/>
      <c r="AF234" s="13"/>
    </row>
    <row r="235" ht="15.75" customHeight="1">
      <c r="A235" s="11">
        <v>232.0</v>
      </c>
      <c r="B235" s="11">
        <v>12.0</v>
      </c>
      <c r="C235" s="11" t="s">
        <v>69</v>
      </c>
      <c r="D235" s="11" t="s">
        <v>681</v>
      </c>
      <c r="E235" s="11"/>
      <c r="F235" s="11" t="s">
        <v>682</v>
      </c>
      <c r="G235" s="11" t="s">
        <v>175</v>
      </c>
      <c r="H235" s="11">
        <v>4.0</v>
      </c>
      <c r="I235" s="11">
        <v>4.0</v>
      </c>
      <c r="J235" s="33">
        <v>2.0</v>
      </c>
      <c r="K235" s="33">
        <v>20.0</v>
      </c>
      <c r="L235" s="11"/>
      <c r="M235" s="11"/>
      <c r="N235" s="11">
        <v>10.0</v>
      </c>
      <c r="O235" s="11">
        <v>3.0</v>
      </c>
      <c r="P235" s="11"/>
      <c r="Q235" s="11">
        <v>6.0</v>
      </c>
      <c r="R235" s="11">
        <v>1.0</v>
      </c>
      <c r="S235" s="11"/>
      <c r="T235" s="11">
        <v>2.0</v>
      </c>
      <c r="U235" s="11">
        <v>1.0</v>
      </c>
      <c r="V235" s="11">
        <v>3.0</v>
      </c>
      <c r="W235" s="11">
        <v>2.0</v>
      </c>
      <c r="X235" s="11">
        <v>3.0</v>
      </c>
      <c r="Y235" s="11">
        <v>1.0</v>
      </c>
      <c r="Z235" s="11"/>
      <c r="AA235" s="11">
        <v>1.0</v>
      </c>
      <c r="AB235" s="11">
        <v>1.0</v>
      </c>
      <c r="AC235" s="11"/>
      <c r="AD235" s="11">
        <v>4.0</v>
      </c>
      <c r="AE235" s="11"/>
      <c r="AF235" s="11"/>
    </row>
    <row r="236" ht="15.75" customHeight="1">
      <c r="A236" s="13">
        <v>233.0</v>
      </c>
      <c r="B236" s="13">
        <v>12.0</v>
      </c>
      <c r="C236" s="13" t="s">
        <v>69</v>
      </c>
      <c r="D236" s="13" t="s">
        <v>683</v>
      </c>
      <c r="E236" s="13"/>
      <c r="F236" s="13" t="s">
        <v>684</v>
      </c>
      <c r="G236" s="13" t="s">
        <v>74</v>
      </c>
      <c r="H236" s="13">
        <v>5.0</v>
      </c>
      <c r="I236" s="13">
        <v>5.0</v>
      </c>
      <c r="J236" s="35">
        <v>1.0</v>
      </c>
      <c r="K236" s="35">
        <v>105.0</v>
      </c>
      <c r="L236" s="13"/>
      <c r="M236" s="13"/>
      <c r="N236" s="13">
        <v>26.0</v>
      </c>
      <c r="O236" s="13">
        <v>8.0</v>
      </c>
      <c r="P236" s="13">
        <v>4.0</v>
      </c>
      <c r="Q236" s="13">
        <v>22.0</v>
      </c>
      <c r="R236" s="13">
        <v>2.0</v>
      </c>
      <c r="S236" s="13">
        <v>3.0</v>
      </c>
      <c r="T236" s="13">
        <v>4.0</v>
      </c>
      <c r="U236" s="13">
        <v>4.0</v>
      </c>
      <c r="V236" s="13">
        <v>9.0</v>
      </c>
      <c r="W236" s="13">
        <v>7.0</v>
      </c>
      <c r="X236" s="13">
        <v>6.0</v>
      </c>
      <c r="Y236" s="13">
        <v>5.0</v>
      </c>
      <c r="Z236" s="13"/>
      <c r="AA236" s="13">
        <v>4.0</v>
      </c>
      <c r="AB236" s="13">
        <v>3.0</v>
      </c>
      <c r="AC236" s="13"/>
      <c r="AD236" s="13">
        <v>6.0</v>
      </c>
      <c r="AE236" s="13">
        <v>1.0</v>
      </c>
      <c r="AF236" s="13"/>
    </row>
    <row r="237" ht="15.75" customHeight="1">
      <c r="A237" s="11">
        <v>234.0</v>
      </c>
      <c r="B237" s="11">
        <v>13.0</v>
      </c>
      <c r="C237" s="11" t="s">
        <v>71</v>
      </c>
      <c r="D237" s="11" t="s">
        <v>685</v>
      </c>
      <c r="E237" s="11"/>
      <c r="F237" s="11" t="s">
        <v>686</v>
      </c>
      <c r="G237" s="11" t="s">
        <v>170</v>
      </c>
      <c r="H237" s="11">
        <v>0.0</v>
      </c>
      <c r="I237" s="11">
        <v>0.0</v>
      </c>
      <c r="J237" s="33">
        <v>10.0</v>
      </c>
      <c r="K237" s="33">
        <v>75.0</v>
      </c>
      <c r="L237" s="11"/>
      <c r="M237" s="34" t="s">
        <v>687</v>
      </c>
      <c r="N237" s="11">
        <v>24.0</v>
      </c>
      <c r="O237" s="11">
        <v>9.0</v>
      </c>
      <c r="P237" s="11">
        <v>9.0</v>
      </c>
      <c r="Q237" s="11">
        <v>6.0</v>
      </c>
      <c r="R237" s="11">
        <v>5.0</v>
      </c>
      <c r="S237" s="11">
        <v>2.0</v>
      </c>
      <c r="T237" s="11">
        <v>4.0</v>
      </c>
      <c r="U237" s="11">
        <v>6.0</v>
      </c>
      <c r="V237" s="11">
        <v>3.0</v>
      </c>
      <c r="W237" s="11">
        <v>3.0</v>
      </c>
      <c r="X237" s="11">
        <v>3.0</v>
      </c>
      <c r="Y237" s="11">
        <v>3.0</v>
      </c>
      <c r="Z237" s="11"/>
      <c r="AA237" s="11">
        <v>4.0</v>
      </c>
      <c r="AB237" s="11">
        <v>4.0</v>
      </c>
      <c r="AC237" s="11"/>
      <c r="AD237" s="11">
        <v>2.0</v>
      </c>
      <c r="AE237" s="11">
        <v>1.0</v>
      </c>
      <c r="AF237" s="11"/>
    </row>
    <row r="238" ht="15.75" customHeight="1">
      <c r="A238" s="13">
        <v>235.0</v>
      </c>
      <c r="B238" s="13">
        <v>13.0</v>
      </c>
      <c r="C238" s="13" t="s">
        <v>71</v>
      </c>
      <c r="D238" s="13" t="s">
        <v>688</v>
      </c>
      <c r="E238" s="13" t="s">
        <v>689</v>
      </c>
      <c r="F238" s="13" t="s">
        <v>690</v>
      </c>
      <c r="G238" s="13" t="s">
        <v>175</v>
      </c>
      <c r="H238" s="13">
        <v>1.0</v>
      </c>
      <c r="I238" s="13">
        <v>1.0</v>
      </c>
      <c r="J238" s="35">
        <v>5.0</v>
      </c>
      <c r="K238" s="35">
        <v>20.0</v>
      </c>
      <c r="L238" s="13"/>
      <c r="M238" s="13"/>
      <c r="N238" s="13">
        <v>7.0</v>
      </c>
      <c r="O238" s="13">
        <v>3.0</v>
      </c>
      <c r="P238" s="13">
        <v>3.0</v>
      </c>
      <c r="Q238" s="13">
        <v>2.0</v>
      </c>
      <c r="R238" s="13">
        <v>3.0</v>
      </c>
      <c r="S238" s="13">
        <v>1.0</v>
      </c>
      <c r="T238" s="13">
        <v>3.0</v>
      </c>
      <c r="U238" s="13">
        <v>4.0</v>
      </c>
      <c r="V238" s="13">
        <v>1.0</v>
      </c>
      <c r="W238" s="13">
        <v>2.0</v>
      </c>
      <c r="X238" s="13">
        <v>2.0</v>
      </c>
      <c r="Y238" s="13">
        <v>2.0</v>
      </c>
      <c r="Z238" s="13"/>
      <c r="AA238" s="13">
        <v>2.0</v>
      </c>
      <c r="AB238" s="13">
        <v>2.0</v>
      </c>
      <c r="AC238" s="13"/>
      <c r="AD238" s="13">
        <v>1.0</v>
      </c>
      <c r="AE238" s="13">
        <v>1.0</v>
      </c>
      <c r="AF238" s="13"/>
    </row>
    <row r="239" ht="15.75" customHeight="1">
      <c r="A239" s="11">
        <v>236.0</v>
      </c>
      <c r="B239" s="11">
        <v>13.0</v>
      </c>
      <c r="C239" s="11" t="s">
        <v>71</v>
      </c>
      <c r="D239" s="11" t="s">
        <v>691</v>
      </c>
      <c r="E239" s="11"/>
      <c r="F239" s="11" t="s">
        <v>692</v>
      </c>
      <c r="G239" s="11" t="s">
        <v>175</v>
      </c>
      <c r="H239" s="11">
        <v>1.0</v>
      </c>
      <c r="I239" s="11">
        <v>2.0</v>
      </c>
      <c r="J239" s="33">
        <v>4.0</v>
      </c>
      <c r="K239" s="33">
        <v>20.0</v>
      </c>
      <c r="L239" s="11"/>
      <c r="M239" s="11"/>
      <c r="N239" s="11">
        <v>7.0</v>
      </c>
      <c r="O239" s="11">
        <v>3.0</v>
      </c>
      <c r="P239" s="11">
        <v>3.0</v>
      </c>
      <c r="Q239" s="11">
        <v>2.0</v>
      </c>
      <c r="R239" s="11">
        <v>3.0</v>
      </c>
      <c r="S239" s="11">
        <v>1.0</v>
      </c>
      <c r="T239" s="11">
        <v>3.0</v>
      </c>
      <c r="U239" s="11">
        <v>4.0</v>
      </c>
      <c r="V239" s="11">
        <v>1.0</v>
      </c>
      <c r="W239" s="11">
        <v>2.0</v>
      </c>
      <c r="X239" s="11">
        <v>2.0</v>
      </c>
      <c r="Y239" s="11">
        <v>2.0</v>
      </c>
      <c r="Z239" s="11"/>
      <c r="AA239" s="11">
        <v>2.0</v>
      </c>
      <c r="AB239" s="11">
        <v>2.0</v>
      </c>
      <c r="AC239" s="11"/>
      <c r="AD239" s="11">
        <v>1.0</v>
      </c>
      <c r="AE239" s="11">
        <v>1.0</v>
      </c>
      <c r="AF239" s="11"/>
    </row>
    <row r="240" ht="15.75" customHeight="1">
      <c r="A240" s="13">
        <v>237.0</v>
      </c>
      <c r="B240" s="13">
        <v>13.0</v>
      </c>
      <c r="C240" s="13" t="s">
        <v>71</v>
      </c>
      <c r="D240" s="13" t="s">
        <v>693</v>
      </c>
      <c r="E240" s="13"/>
      <c r="F240" s="13" t="s">
        <v>694</v>
      </c>
      <c r="G240" s="13" t="s">
        <v>175</v>
      </c>
      <c r="H240" s="13">
        <v>1.0</v>
      </c>
      <c r="I240" s="13">
        <v>3.0</v>
      </c>
      <c r="J240" s="35">
        <v>3.0</v>
      </c>
      <c r="K240" s="35">
        <v>20.0</v>
      </c>
      <c r="L240" s="13"/>
      <c r="M240" s="13"/>
      <c r="N240" s="13">
        <v>11.0</v>
      </c>
      <c r="O240" s="13">
        <v>4.0</v>
      </c>
      <c r="P240" s="13">
        <v>4.0</v>
      </c>
      <c r="Q240" s="13">
        <v>3.0</v>
      </c>
      <c r="R240" s="13">
        <v>4.0</v>
      </c>
      <c r="S240" s="13">
        <v>1.0</v>
      </c>
      <c r="T240" s="13">
        <v>4.0</v>
      </c>
      <c r="U240" s="13">
        <v>4.0</v>
      </c>
      <c r="V240" s="13">
        <v>1.0</v>
      </c>
      <c r="W240" s="13">
        <v>2.0</v>
      </c>
      <c r="X240" s="13">
        <v>2.0</v>
      </c>
      <c r="Y240" s="13">
        <v>2.0</v>
      </c>
      <c r="Z240" s="13"/>
      <c r="AA240" s="13">
        <v>2.0</v>
      </c>
      <c r="AB240" s="13">
        <v>3.0</v>
      </c>
      <c r="AC240" s="13"/>
      <c r="AD240" s="13">
        <v>1.0</v>
      </c>
      <c r="AE240" s="13">
        <v>1.0</v>
      </c>
      <c r="AF240" s="13"/>
    </row>
    <row r="241" ht="15.75" customHeight="1">
      <c r="A241" s="11">
        <v>238.0</v>
      </c>
      <c r="B241" s="11">
        <v>13.0</v>
      </c>
      <c r="C241" s="11" t="s">
        <v>71</v>
      </c>
      <c r="D241" s="11" t="s">
        <v>695</v>
      </c>
      <c r="E241" s="11"/>
      <c r="F241" s="11" t="s">
        <v>696</v>
      </c>
      <c r="G241" s="11" t="s">
        <v>175</v>
      </c>
      <c r="H241" s="11">
        <v>1.0</v>
      </c>
      <c r="I241" s="11">
        <v>4.0</v>
      </c>
      <c r="J241" s="33">
        <v>2.0</v>
      </c>
      <c r="K241" s="33">
        <v>20.0</v>
      </c>
      <c r="L241" s="11"/>
      <c r="M241" s="11"/>
      <c r="N241" s="11">
        <v>11.0</v>
      </c>
      <c r="O241" s="11">
        <v>4.0</v>
      </c>
      <c r="P241" s="11">
        <v>4.0</v>
      </c>
      <c r="Q241" s="11">
        <v>3.0</v>
      </c>
      <c r="R241" s="11">
        <v>4.0</v>
      </c>
      <c r="S241" s="11">
        <v>1.0</v>
      </c>
      <c r="T241" s="11">
        <v>4.0</v>
      </c>
      <c r="U241" s="11">
        <v>4.0</v>
      </c>
      <c r="V241" s="11">
        <v>1.0</v>
      </c>
      <c r="W241" s="11">
        <v>2.0</v>
      </c>
      <c r="X241" s="11">
        <v>2.0</v>
      </c>
      <c r="Y241" s="11">
        <v>2.0</v>
      </c>
      <c r="Z241" s="11"/>
      <c r="AA241" s="11">
        <v>2.0</v>
      </c>
      <c r="AB241" s="11">
        <v>3.0</v>
      </c>
      <c r="AC241" s="11"/>
      <c r="AD241" s="11">
        <v>1.0</v>
      </c>
      <c r="AE241" s="11">
        <v>1.0</v>
      </c>
      <c r="AF241" s="11"/>
    </row>
    <row r="242" ht="15.75" customHeight="1">
      <c r="A242" s="13">
        <v>239.0</v>
      </c>
      <c r="B242" s="13">
        <v>13.0</v>
      </c>
      <c r="C242" s="13" t="s">
        <v>71</v>
      </c>
      <c r="D242" s="13" t="s">
        <v>697</v>
      </c>
      <c r="E242" s="13" t="s">
        <v>698</v>
      </c>
      <c r="F242" s="13" t="s">
        <v>699</v>
      </c>
      <c r="G242" s="13" t="s">
        <v>175</v>
      </c>
      <c r="H242" s="13">
        <v>2.0</v>
      </c>
      <c r="I242" s="13">
        <v>1.0</v>
      </c>
      <c r="J242" s="35">
        <v>5.0</v>
      </c>
      <c r="K242" s="35">
        <v>20.0</v>
      </c>
      <c r="L242" s="13"/>
      <c r="M242" s="13"/>
      <c r="N242" s="13">
        <v>6.0</v>
      </c>
      <c r="O242" s="13">
        <v>3.0</v>
      </c>
      <c r="P242" s="13">
        <v>2.0</v>
      </c>
      <c r="Q242" s="13">
        <v>3.0</v>
      </c>
      <c r="R242" s="13">
        <v>2.0</v>
      </c>
      <c r="S242" s="13">
        <v>1.0</v>
      </c>
      <c r="T242" s="13">
        <v>2.0</v>
      </c>
      <c r="U242" s="13">
        <v>2.0</v>
      </c>
      <c r="V242" s="13">
        <v>2.0</v>
      </c>
      <c r="W242" s="13">
        <v>3.0</v>
      </c>
      <c r="X242" s="13">
        <v>2.0</v>
      </c>
      <c r="Y242" s="13">
        <v>2.0</v>
      </c>
      <c r="Z242" s="13"/>
      <c r="AA242" s="13">
        <v>1.0</v>
      </c>
      <c r="AB242" s="13">
        <v>2.0</v>
      </c>
      <c r="AC242" s="13"/>
      <c r="AD242" s="13">
        <v>2.0</v>
      </c>
      <c r="AE242" s="13"/>
      <c r="AF242" s="13"/>
    </row>
    <row r="243" ht="15.75" customHeight="1">
      <c r="A243" s="11">
        <v>240.0</v>
      </c>
      <c r="B243" s="11">
        <v>13.0</v>
      </c>
      <c r="C243" s="11" t="s">
        <v>71</v>
      </c>
      <c r="D243" s="11" t="s">
        <v>700</v>
      </c>
      <c r="E243" s="11"/>
      <c r="F243" s="11" t="s">
        <v>701</v>
      </c>
      <c r="G243" s="11" t="s">
        <v>175</v>
      </c>
      <c r="H243" s="11">
        <v>2.0</v>
      </c>
      <c r="I243" s="11">
        <v>2.0</v>
      </c>
      <c r="J243" s="33">
        <v>4.0</v>
      </c>
      <c r="K243" s="33">
        <v>20.0</v>
      </c>
      <c r="L243" s="11"/>
      <c r="M243" s="11"/>
      <c r="N243" s="11">
        <v>6.0</v>
      </c>
      <c r="O243" s="11">
        <v>3.0</v>
      </c>
      <c r="P243" s="11">
        <v>2.0</v>
      </c>
      <c r="Q243" s="11">
        <v>3.0</v>
      </c>
      <c r="R243" s="11">
        <v>2.0</v>
      </c>
      <c r="S243" s="11">
        <v>1.0</v>
      </c>
      <c r="T243" s="11">
        <v>2.0</v>
      </c>
      <c r="U243" s="11">
        <v>2.0</v>
      </c>
      <c r="V243" s="11">
        <v>2.0</v>
      </c>
      <c r="W243" s="11">
        <v>3.0</v>
      </c>
      <c r="X243" s="11">
        <v>2.0</v>
      </c>
      <c r="Y243" s="11">
        <v>2.0</v>
      </c>
      <c r="Z243" s="11"/>
      <c r="AA243" s="11">
        <v>1.0</v>
      </c>
      <c r="AB243" s="11">
        <v>2.0</v>
      </c>
      <c r="AC243" s="11"/>
      <c r="AD243" s="11">
        <v>2.0</v>
      </c>
      <c r="AE243" s="11"/>
      <c r="AF243" s="11"/>
    </row>
    <row r="244" ht="15.75" customHeight="1">
      <c r="A244" s="13">
        <v>241.0</v>
      </c>
      <c r="B244" s="13">
        <v>13.0</v>
      </c>
      <c r="C244" s="13" t="s">
        <v>71</v>
      </c>
      <c r="D244" s="13" t="s">
        <v>702</v>
      </c>
      <c r="E244" s="13"/>
      <c r="F244" s="13" t="s">
        <v>703</v>
      </c>
      <c r="G244" s="13" t="s">
        <v>175</v>
      </c>
      <c r="H244" s="13">
        <v>2.0</v>
      </c>
      <c r="I244" s="13">
        <v>3.0</v>
      </c>
      <c r="J244" s="35">
        <v>3.0</v>
      </c>
      <c r="K244" s="35">
        <v>20.0</v>
      </c>
      <c r="L244" s="13"/>
      <c r="M244" s="13"/>
      <c r="N244" s="13">
        <v>10.0</v>
      </c>
      <c r="O244" s="13">
        <v>4.0</v>
      </c>
      <c r="P244" s="13">
        <v>2.0</v>
      </c>
      <c r="Q244" s="13">
        <v>4.0</v>
      </c>
      <c r="R244" s="13">
        <v>2.0</v>
      </c>
      <c r="S244" s="13">
        <v>1.0</v>
      </c>
      <c r="T244" s="13">
        <v>2.0</v>
      </c>
      <c r="U244" s="13">
        <v>2.0</v>
      </c>
      <c r="V244" s="13">
        <v>3.0</v>
      </c>
      <c r="W244" s="13">
        <v>3.0</v>
      </c>
      <c r="X244" s="13">
        <v>3.0</v>
      </c>
      <c r="Y244" s="13">
        <v>2.0</v>
      </c>
      <c r="Z244" s="13"/>
      <c r="AA244" s="13">
        <v>1.0</v>
      </c>
      <c r="AB244" s="13">
        <v>2.0</v>
      </c>
      <c r="AC244" s="13"/>
      <c r="AD244" s="13">
        <v>2.0</v>
      </c>
      <c r="AE244" s="13">
        <v>1.0</v>
      </c>
      <c r="AF244" s="13"/>
    </row>
    <row r="245" ht="15.75" customHeight="1">
      <c r="A245" s="11">
        <v>242.0</v>
      </c>
      <c r="B245" s="11">
        <v>13.0</v>
      </c>
      <c r="C245" s="11" t="s">
        <v>71</v>
      </c>
      <c r="D245" s="11" t="s">
        <v>704</v>
      </c>
      <c r="E245" s="11"/>
      <c r="F245" s="11" t="s">
        <v>705</v>
      </c>
      <c r="G245" s="11" t="s">
        <v>175</v>
      </c>
      <c r="H245" s="11">
        <v>2.0</v>
      </c>
      <c r="I245" s="11">
        <v>4.0</v>
      </c>
      <c r="J245" s="33">
        <v>2.0</v>
      </c>
      <c r="K245" s="33">
        <v>20.0</v>
      </c>
      <c r="L245" s="11"/>
      <c r="M245" s="11"/>
      <c r="N245" s="11">
        <v>10.0</v>
      </c>
      <c r="O245" s="11">
        <v>4.0</v>
      </c>
      <c r="P245" s="11">
        <v>2.0</v>
      </c>
      <c r="Q245" s="11">
        <v>4.0</v>
      </c>
      <c r="R245" s="11">
        <v>2.0</v>
      </c>
      <c r="S245" s="11">
        <v>1.0</v>
      </c>
      <c r="T245" s="11">
        <v>2.0</v>
      </c>
      <c r="U245" s="11">
        <v>2.0</v>
      </c>
      <c r="V245" s="11">
        <v>3.0</v>
      </c>
      <c r="W245" s="11">
        <v>3.0</v>
      </c>
      <c r="X245" s="11">
        <v>3.0</v>
      </c>
      <c r="Y245" s="11">
        <v>2.0</v>
      </c>
      <c r="Z245" s="11"/>
      <c r="AA245" s="11">
        <v>1.0</v>
      </c>
      <c r="AB245" s="11">
        <v>2.0</v>
      </c>
      <c r="AC245" s="11"/>
      <c r="AD245" s="11">
        <v>2.0</v>
      </c>
      <c r="AE245" s="11">
        <v>1.0</v>
      </c>
      <c r="AF245" s="11"/>
    </row>
    <row r="246" ht="15.75" customHeight="1">
      <c r="A246" s="13">
        <v>243.0</v>
      </c>
      <c r="B246" s="13">
        <v>13.0</v>
      </c>
      <c r="C246" s="13" t="s">
        <v>71</v>
      </c>
      <c r="D246" s="13" t="s">
        <v>706</v>
      </c>
      <c r="E246" s="13" t="s">
        <v>707</v>
      </c>
      <c r="F246" s="13" t="s">
        <v>708</v>
      </c>
      <c r="G246" s="13" t="s">
        <v>175</v>
      </c>
      <c r="H246" s="13">
        <v>3.0</v>
      </c>
      <c r="I246" s="13">
        <v>1.0</v>
      </c>
      <c r="J246" s="35">
        <v>5.0</v>
      </c>
      <c r="K246" s="35">
        <v>20.0</v>
      </c>
      <c r="L246" s="13"/>
      <c r="M246" s="13"/>
      <c r="N246" s="13">
        <v>7.0</v>
      </c>
      <c r="O246" s="13">
        <v>3.0</v>
      </c>
      <c r="P246" s="13">
        <v>3.0</v>
      </c>
      <c r="Q246" s="13">
        <v>3.0</v>
      </c>
      <c r="R246" s="13">
        <v>3.0</v>
      </c>
      <c r="S246" s="13">
        <v>1.0</v>
      </c>
      <c r="T246" s="13">
        <v>3.0</v>
      </c>
      <c r="U246" s="13">
        <v>3.0</v>
      </c>
      <c r="V246" s="13">
        <v>1.0</v>
      </c>
      <c r="W246" s="13">
        <v>2.0</v>
      </c>
      <c r="X246" s="13">
        <v>2.0</v>
      </c>
      <c r="Y246" s="13">
        <v>2.0</v>
      </c>
      <c r="Z246" s="13"/>
      <c r="AA246" s="13">
        <v>1.0</v>
      </c>
      <c r="AB246" s="13">
        <v>2.0</v>
      </c>
      <c r="AC246" s="13"/>
      <c r="AD246" s="13">
        <v>1.0</v>
      </c>
      <c r="AE246" s="13">
        <v>1.0</v>
      </c>
      <c r="AF246" s="13"/>
    </row>
    <row r="247" ht="15.75" customHeight="1">
      <c r="A247" s="11">
        <v>244.0</v>
      </c>
      <c r="B247" s="11">
        <v>13.0</v>
      </c>
      <c r="C247" s="11" t="s">
        <v>71</v>
      </c>
      <c r="D247" s="11" t="s">
        <v>709</v>
      </c>
      <c r="E247" s="11"/>
      <c r="F247" s="11" t="s">
        <v>710</v>
      </c>
      <c r="G247" s="11" t="s">
        <v>175</v>
      </c>
      <c r="H247" s="11">
        <v>3.0</v>
      </c>
      <c r="I247" s="11">
        <v>2.0</v>
      </c>
      <c r="J247" s="33">
        <v>4.0</v>
      </c>
      <c r="K247" s="33">
        <v>20.0</v>
      </c>
      <c r="L247" s="11"/>
      <c r="M247" s="11"/>
      <c r="N247" s="11">
        <v>7.0</v>
      </c>
      <c r="O247" s="11">
        <v>3.0</v>
      </c>
      <c r="P247" s="11">
        <v>3.0</v>
      </c>
      <c r="Q247" s="11">
        <v>3.0</v>
      </c>
      <c r="R247" s="11">
        <v>3.0</v>
      </c>
      <c r="S247" s="11">
        <v>1.0</v>
      </c>
      <c r="T247" s="11">
        <v>3.0</v>
      </c>
      <c r="U247" s="11">
        <v>3.0</v>
      </c>
      <c r="V247" s="11">
        <v>1.0</v>
      </c>
      <c r="W247" s="11">
        <v>2.0</v>
      </c>
      <c r="X247" s="11">
        <v>2.0</v>
      </c>
      <c r="Y247" s="11">
        <v>2.0</v>
      </c>
      <c r="Z247" s="11"/>
      <c r="AA247" s="11">
        <v>1.0</v>
      </c>
      <c r="AB247" s="11">
        <v>2.0</v>
      </c>
      <c r="AC247" s="11"/>
      <c r="AD247" s="11">
        <v>1.0</v>
      </c>
      <c r="AE247" s="11">
        <v>1.0</v>
      </c>
      <c r="AF247" s="11"/>
    </row>
    <row r="248" ht="15.75" customHeight="1">
      <c r="A248" s="13">
        <v>245.0</v>
      </c>
      <c r="B248" s="13">
        <v>13.0</v>
      </c>
      <c r="C248" s="13" t="s">
        <v>71</v>
      </c>
      <c r="D248" s="13" t="s">
        <v>711</v>
      </c>
      <c r="E248" s="13"/>
      <c r="F248" s="13" t="s">
        <v>712</v>
      </c>
      <c r="G248" s="13" t="s">
        <v>175</v>
      </c>
      <c r="H248" s="13">
        <v>3.0</v>
      </c>
      <c r="I248" s="13">
        <v>3.0</v>
      </c>
      <c r="J248" s="35">
        <v>3.0</v>
      </c>
      <c r="K248" s="35">
        <v>20.0</v>
      </c>
      <c r="L248" s="13"/>
      <c r="M248" s="13"/>
      <c r="N248" s="13">
        <v>11.0</v>
      </c>
      <c r="O248" s="13">
        <v>4.0</v>
      </c>
      <c r="P248" s="13">
        <v>4.0</v>
      </c>
      <c r="Q248" s="13">
        <v>3.0</v>
      </c>
      <c r="R248" s="13">
        <v>3.0</v>
      </c>
      <c r="S248" s="13">
        <v>1.0</v>
      </c>
      <c r="T248" s="13">
        <v>3.0</v>
      </c>
      <c r="U248" s="13">
        <v>3.0</v>
      </c>
      <c r="V248" s="13">
        <v>2.0</v>
      </c>
      <c r="W248" s="13">
        <v>2.0</v>
      </c>
      <c r="X248" s="13">
        <v>3.0</v>
      </c>
      <c r="Y248" s="13">
        <v>2.0</v>
      </c>
      <c r="Z248" s="13"/>
      <c r="AA248" s="13">
        <v>1.0</v>
      </c>
      <c r="AB248" s="13">
        <v>2.0</v>
      </c>
      <c r="AC248" s="13"/>
      <c r="AD248" s="13">
        <v>2.0</v>
      </c>
      <c r="AE248" s="13">
        <v>1.0</v>
      </c>
      <c r="AF248" s="13"/>
    </row>
    <row r="249" ht="15.75" customHeight="1">
      <c r="A249" s="11">
        <v>246.0</v>
      </c>
      <c r="B249" s="11">
        <v>13.0</v>
      </c>
      <c r="C249" s="11" t="s">
        <v>71</v>
      </c>
      <c r="D249" s="11" t="s">
        <v>713</v>
      </c>
      <c r="E249" s="11"/>
      <c r="F249" s="11" t="s">
        <v>714</v>
      </c>
      <c r="G249" s="11" t="s">
        <v>175</v>
      </c>
      <c r="H249" s="11">
        <v>3.0</v>
      </c>
      <c r="I249" s="11">
        <v>4.0</v>
      </c>
      <c r="J249" s="33">
        <v>2.0</v>
      </c>
      <c r="K249" s="33">
        <v>20.0</v>
      </c>
      <c r="L249" s="11"/>
      <c r="M249" s="11"/>
      <c r="N249" s="11">
        <v>11.0</v>
      </c>
      <c r="O249" s="11">
        <v>4.0</v>
      </c>
      <c r="P249" s="11">
        <v>4.0</v>
      </c>
      <c r="Q249" s="11">
        <v>3.0</v>
      </c>
      <c r="R249" s="11">
        <v>3.0</v>
      </c>
      <c r="S249" s="11">
        <v>1.0</v>
      </c>
      <c r="T249" s="11">
        <v>3.0</v>
      </c>
      <c r="U249" s="11">
        <v>3.0</v>
      </c>
      <c r="V249" s="11">
        <v>2.0</v>
      </c>
      <c r="W249" s="11">
        <v>2.0</v>
      </c>
      <c r="X249" s="11">
        <v>3.0</v>
      </c>
      <c r="Y249" s="11">
        <v>2.0</v>
      </c>
      <c r="Z249" s="11"/>
      <c r="AA249" s="11">
        <v>1.0</v>
      </c>
      <c r="AB249" s="11">
        <v>2.0</v>
      </c>
      <c r="AC249" s="11"/>
      <c r="AD249" s="11">
        <v>2.0</v>
      </c>
      <c r="AE249" s="11">
        <v>1.0</v>
      </c>
      <c r="AF249" s="11"/>
    </row>
    <row r="250" ht="15.75" customHeight="1">
      <c r="A250" s="13">
        <v>247.0</v>
      </c>
      <c r="B250" s="13">
        <v>13.0</v>
      </c>
      <c r="C250" s="13" t="s">
        <v>71</v>
      </c>
      <c r="D250" s="13" t="s">
        <v>715</v>
      </c>
      <c r="E250" s="13" t="s">
        <v>716</v>
      </c>
      <c r="F250" s="13" t="s">
        <v>717</v>
      </c>
      <c r="G250" s="13" t="s">
        <v>175</v>
      </c>
      <c r="H250" s="13">
        <v>4.0</v>
      </c>
      <c r="I250" s="13">
        <v>1.0</v>
      </c>
      <c r="J250" s="35">
        <v>5.0</v>
      </c>
      <c r="K250" s="35">
        <v>20.0</v>
      </c>
      <c r="L250" s="13"/>
      <c r="M250" s="13"/>
      <c r="N250" s="13">
        <v>6.0</v>
      </c>
      <c r="O250" s="13">
        <v>3.0</v>
      </c>
      <c r="P250" s="13">
        <v>3.0</v>
      </c>
      <c r="Q250" s="13">
        <v>4.0</v>
      </c>
      <c r="R250" s="13">
        <v>2.0</v>
      </c>
      <c r="S250" s="13">
        <v>1.0</v>
      </c>
      <c r="T250" s="13">
        <v>2.0</v>
      </c>
      <c r="U250" s="13">
        <v>2.0</v>
      </c>
      <c r="V250" s="13">
        <v>2.0</v>
      </c>
      <c r="W250" s="13">
        <v>2.0</v>
      </c>
      <c r="X250" s="13">
        <v>2.0</v>
      </c>
      <c r="Y250" s="13">
        <v>2.0</v>
      </c>
      <c r="Z250" s="13"/>
      <c r="AA250" s="13">
        <v>1.0</v>
      </c>
      <c r="AB250" s="13">
        <v>2.0</v>
      </c>
      <c r="AC250" s="13"/>
      <c r="AD250" s="13">
        <v>2.0</v>
      </c>
      <c r="AE250" s="13">
        <v>2.0</v>
      </c>
      <c r="AF250" s="13"/>
    </row>
    <row r="251" ht="15.75" customHeight="1">
      <c r="A251" s="11">
        <v>248.0</v>
      </c>
      <c r="B251" s="11">
        <v>13.0</v>
      </c>
      <c r="C251" s="11" t="s">
        <v>71</v>
      </c>
      <c r="D251" s="11" t="s">
        <v>718</v>
      </c>
      <c r="E251" s="11"/>
      <c r="F251" s="11" t="s">
        <v>719</v>
      </c>
      <c r="G251" s="11" t="s">
        <v>175</v>
      </c>
      <c r="H251" s="11">
        <v>4.0</v>
      </c>
      <c r="I251" s="11">
        <v>2.0</v>
      </c>
      <c r="J251" s="33">
        <v>4.0</v>
      </c>
      <c r="K251" s="33">
        <v>20.0</v>
      </c>
      <c r="L251" s="11"/>
      <c r="M251" s="11"/>
      <c r="N251" s="11">
        <v>6.0</v>
      </c>
      <c r="O251" s="11">
        <v>3.0</v>
      </c>
      <c r="P251" s="11">
        <v>3.0</v>
      </c>
      <c r="Q251" s="11">
        <v>4.0</v>
      </c>
      <c r="R251" s="11">
        <v>2.0</v>
      </c>
      <c r="S251" s="11">
        <v>1.0</v>
      </c>
      <c r="T251" s="11">
        <v>2.0</v>
      </c>
      <c r="U251" s="11">
        <v>2.0</v>
      </c>
      <c r="V251" s="11">
        <v>2.0</v>
      </c>
      <c r="W251" s="11">
        <v>2.0</v>
      </c>
      <c r="X251" s="11">
        <v>2.0</v>
      </c>
      <c r="Y251" s="11">
        <v>2.0</v>
      </c>
      <c r="Z251" s="11"/>
      <c r="AA251" s="11">
        <v>1.0</v>
      </c>
      <c r="AB251" s="11">
        <v>2.0</v>
      </c>
      <c r="AC251" s="11"/>
      <c r="AD251" s="11">
        <v>2.0</v>
      </c>
      <c r="AE251" s="11">
        <v>2.0</v>
      </c>
      <c r="AF251" s="11"/>
    </row>
    <row r="252" ht="15.75" customHeight="1">
      <c r="A252" s="13">
        <v>249.0</v>
      </c>
      <c r="B252" s="13">
        <v>13.0</v>
      </c>
      <c r="C252" s="13" t="s">
        <v>71</v>
      </c>
      <c r="D252" s="13" t="s">
        <v>720</v>
      </c>
      <c r="E252" s="13"/>
      <c r="F252" s="13" t="s">
        <v>721</v>
      </c>
      <c r="G252" s="13" t="s">
        <v>175</v>
      </c>
      <c r="H252" s="13">
        <v>4.0</v>
      </c>
      <c r="I252" s="13">
        <v>3.0</v>
      </c>
      <c r="J252" s="35">
        <v>3.0</v>
      </c>
      <c r="K252" s="35">
        <v>20.0</v>
      </c>
      <c r="L252" s="13"/>
      <c r="M252" s="13"/>
      <c r="N252" s="13">
        <v>10.0</v>
      </c>
      <c r="O252" s="13">
        <v>4.0</v>
      </c>
      <c r="P252" s="13">
        <v>4.0</v>
      </c>
      <c r="Q252" s="13">
        <v>4.0</v>
      </c>
      <c r="R252" s="13">
        <v>2.0</v>
      </c>
      <c r="S252" s="13">
        <v>1.0</v>
      </c>
      <c r="T252" s="13">
        <v>2.0</v>
      </c>
      <c r="U252" s="13">
        <v>2.0</v>
      </c>
      <c r="V252" s="13">
        <v>3.0</v>
      </c>
      <c r="W252" s="13">
        <v>2.0</v>
      </c>
      <c r="X252" s="13">
        <v>3.0</v>
      </c>
      <c r="Y252" s="13">
        <v>2.0</v>
      </c>
      <c r="Z252" s="13"/>
      <c r="AA252" s="13">
        <v>1.0</v>
      </c>
      <c r="AB252" s="13">
        <v>2.0</v>
      </c>
      <c r="AC252" s="13"/>
      <c r="AD252" s="13">
        <v>2.0</v>
      </c>
      <c r="AE252" s="13">
        <v>2.0</v>
      </c>
      <c r="AF252" s="13"/>
    </row>
    <row r="253" ht="15.75" customHeight="1">
      <c r="A253" s="11">
        <v>250.0</v>
      </c>
      <c r="B253" s="11">
        <v>13.0</v>
      </c>
      <c r="C253" s="11" t="s">
        <v>71</v>
      </c>
      <c r="D253" s="11" t="s">
        <v>722</v>
      </c>
      <c r="E253" s="11"/>
      <c r="F253" s="11" t="s">
        <v>723</v>
      </c>
      <c r="G253" s="11" t="s">
        <v>175</v>
      </c>
      <c r="H253" s="11">
        <v>4.0</v>
      </c>
      <c r="I253" s="11">
        <v>4.0</v>
      </c>
      <c r="J253" s="33">
        <v>2.0</v>
      </c>
      <c r="K253" s="33">
        <v>20.0</v>
      </c>
      <c r="L253" s="11"/>
      <c r="M253" s="11"/>
      <c r="N253" s="11">
        <v>10.0</v>
      </c>
      <c r="O253" s="11">
        <v>4.0</v>
      </c>
      <c r="P253" s="11">
        <v>4.0</v>
      </c>
      <c r="Q253" s="11">
        <v>4.0</v>
      </c>
      <c r="R253" s="11">
        <v>2.0</v>
      </c>
      <c r="S253" s="11">
        <v>1.0</v>
      </c>
      <c r="T253" s="11">
        <v>2.0</v>
      </c>
      <c r="U253" s="11">
        <v>2.0</v>
      </c>
      <c r="V253" s="11">
        <v>3.0</v>
      </c>
      <c r="W253" s="11">
        <v>2.0</v>
      </c>
      <c r="X253" s="11">
        <v>3.0</v>
      </c>
      <c r="Y253" s="11">
        <v>2.0</v>
      </c>
      <c r="Z253" s="11"/>
      <c r="AA253" s="11">
        <v>1.0</v>
      </c>
      <c r="AB253" s="11">
        <v>2.0</v>
      </c>
      <c r="AC253" s="11"/>
      <c r="AD253" s="11">
        <v>2.0</v>
      </c>
      <c r="AE253" s="11">
        <v>2.0</v>
      </c>
      <c r="AF253" s="11"/>
    </row>
    <row r="254" ht="15.75" customHeight="1">
      <c r="A254" s="13">
        <v>251.0</v>
      </c>
      <c r="B254" s="13">
        <v>13.0</v>
      </c>
      <c r="C254" s="13" t="s">
        <v>71</v>
      </c>
      <c r="D254" s="13" t="s">
        <v>724</v>
      </c>
      <c r="E254" s="13"/>
      <c r="F254" s="13" t="s">
        <v>725</v>
      </c>
      <c r="G254" s="13" t="s">
        <v>74</v>
      </c>
      <c r="H254" s="13">
        <v>5.0</v>
      </c>
      <c r="I254" s="13">
        <v>5.0</v>
      </c>
      <c r="J254" s="35">
        <v>1.0</v>
      </c>
      <c r="K254" s="35">
        <v>105.0</v>
      </c>
      <c r="L254" s="13"/>
      <c r="M254" s="13"/>
      <c r="N254" s="13">
        <v>32.0</v>
      </c>
      <c r="O254" s="13">
        <v>10.0</v>
      </c>
      <c r="P254" s="13">
        <v>10.0</v>
      </c>
      <c r="Q254" s="13">
        <v>7.0</v>
      </c>
      <c r="R254" s="13">
        <v>6.0</v>
      </c>
      <c r="S254" s="13">
        <v>3.0</v>
      </c>
      <c r="T254" s="13">
        <v>5.0</v>
      </c>
      <c r="U254" s="13">
        <v>7.0</v>
      </c>
      <c r="V254" s="13">
        <v>4.0</v>
      </c>
      <c r="W254" s="13">
        <v>4.0</v>
      </c>
      <c r="X254" s="13">
        <v>4.0</v>
      </c>
      <c r="Y254" s="13">
        <v>3.0</v>
      </c>
      <c r="Z254" s="13"/>
      <c r="AA254" s="13">
        <v>4.0</v>
      </c>
      <c r="AB254" s="13">
        <v>4.0</v>
      </c>
      <c r="AC254" s="13"/>
      <c r="AD254" s="13">
        <v>3.0</v>
      </c>
      <c r="AE254" s="13">
        <v>2.0</v>
      </c>
      <c r="AF254" s="13"/>
    </row>
    <row r="255" ht="15.75" customHeight="1">
      <c r="A255" s="11">
        <v>252.0</v>
      </c>
      <c r="B255" s="11">
        <v>14.0</v>
      </c>
      <c r="C255" s="11" t="s">
        <v>73</v>
      </c>
      <c r="D255" s="11" t="s">
        <v>726</v>
      </c>
      <c r="E255" s="11"/>
      <c r="F255" s="11" t="s">
        <v>727</v>
      </c>
      <c r="G255" s="11" t="s">
        <v>170</v>
      </c>
      <c r="H255" s="11">
        <v>0.0</v>
      </c>
      <c r="I255" s="11">
        <v>0.0</v>
      </c>
      <c r="J255" s="33">
        <v>15.0</v>
      </c>
      <c r="K255" s="33">
        <v>200.0</v>
      </c>
      <c r="L255" s="11"/>
      <c r="M255" s="34" t="s">
        <v>728</v>
      </c>
      <c r="N255" s="11">
        <v>40.0</v>
      </c>
      <c r="O255" s="11">
        <v>8.0</v>
      </c>
      <c r="P255" s="11">
        <v>6.0</v>
      </c>
      <c r="Q255" s="11">
        <v>4.0</v>
      </c>
      <c r="R255" s="11">
        <v>5.0</v>
      </c>
      <c r="S255" s="11">
        <v>8.0</v>
      </c>
      <c r="T255" s="11">
        <v>3.0</v>
      </c>
      <c r="U255" s="11">
        <v>2.0</v>
      </c>
      <c r="V255" s="11">
        <v>2.0</v>
      </c>
      <c r="W255" s="11">
        <v>5.0</v>
      </c>
      <c r="X255" s="11">
        <v>3.0</v>
      </c>
      <c r="Y255" s="11">
        <v>2.0</v>
      </c>
      <c r="Z255" s="11"/>
      <c r="AA255" s="11">
        <v>2.0</v>
      </c>
      <c r="AB255" s="11">
        <v>1.0</v>
      </c>
      <c r="AC255" s="11">
        <v>3.0</v>
      </c>
      <c r="AD255" s="11">
        <v>5.0</v>
      </c>
      <c r="AE255" s="11"/>
      <c r="AF255" s="11"/>
    </row>
    <row r="256" ht="15.75" customHeight="1">
      <c r="A256" s="13">
        <v>253.0</v>
      </c>
      <c r="B256" s="13">
        <v>14.0</v>
      </c>
      <c r="C256" s="13" t="s">
        <v>73</v>
      </c>
      <c r="D256" s="13" t="s">
        <v>729</v>
      </c>
      <c r="E256" s="13" t="s">
        <v>730</v>
      </c>
      <c r="F256" s="13" t="s">
        <v>731</v>
      </c>
      <c r="G256" s="13" t="s">
        <v>175</v>
      </c>
      <c r="H256" s="13">
        <v>1.0</v>
      </c>
      <c r="I256" s="13">
        <v>1.0</v>
      </c>
      <c r="J256" s="35">
        <v>8.0</v>
      </c>
      <c r="K256" s="35">
        <v>38.0</v>
      </c>
      <c r="L256" s="13"/>
      <c r="M256" s="13"/>
      <c r="N256" s="13">
        <v>10.0</v>
      </c>
      <c r="O256" s="13">
        <v>3.0</v>
      </c>
      <c r="P256" s="13">
        <v>1.0</v>
      </c>
      <c r="Q256" s="13">
        <v>2.0</v>
      </c>
      <c r="R256" s="13">
        <v>1.0</v>
      </c>
      <c r="S256" s="13">
        <v>4.0</v>
      </c>
      <c r="T256" s="13">
        <v>1.0</v>
      </c>
      <c r="U256" s="13"/>
      <c r="V256" s="13">
        <v>1.0</v>
      </c>
      <c r="W256" s="13">
        <v>3.0</v>
      </c>
      <c r="X256" s="13">
        <v>1.0</v>
      </c>
      <c r="Y256" s="13">
        <v>1.0</v>
      </c>
      <c r="Z256" s="13"/>
      <c r="AA256" s="13">
        <v>2.0</v>
      </c>
      <c r="AB256" s="13">
        <v>1.0</v>
      </c>
      <c r="AC256" s="13">
        <v>1.0</v>
      </c>
      <c r="AD256" s="13">
        <v>3.0</v>
      </c>
      <c r="AE256" s="13"/>
      <c r="AF256" s="13"/>
    </row>
    <row r="257" ht="15.75" customHeight="1">
      <c r="A257" s="11">
        <v>254.0</v>
      </c>
      <c r="B257" s="11">
        <v>14.0</v>
      </c>
      <c r="C257" s="11" t="s">
        <v>73</v>
      </c>
      <c r="D257" s="11" t="s">
        <v>732</v>
      </c>
      <c r="E257" s="11"/>
      <c r="F257" s="11" t="s">
        <v>733</v>
      </c>
      <c r="G257" s="11" t="s">
        <v>175</v>
      </c>
      <c r="H257" s="11">
        <v>1.0</v>
      </c>
      <c r="I257" s="11">
        <v>2.0</v>
      </c>
      <c r="J257" s="33">
        <v>7.0</v>
      </c>
      <c r="K257" s="33">
        <v>38.0</v>
      </c>
      <c r="L257" s="11"/>
      <c r="M257" s="11"/>
      <c r="N257" s="11">
        <v>10.0</v>
      </c>
      <c r="O257" s="11">
        <v>3.0</v>
      </c>
      <c r="P257" s="11">
        <v>1.0</v>
      </c>
      <c r="Q257" s="11">
        <v>2.0</v>
      </c>
      <c r="R257" s="11">
        <v>1.0</v>
      </c>
      <c r="S257" s="11">
        <v>5.0</v>
      </c>
      <c r="T257" s="11">
        <v>1.0</v>
      </c>
      <c r="U257" s="11"/>
      <c r="V257" s="11">
        <v>1.0</v>
      </c>
      <c r="W257" s="11">
        <v>3.0</v>
      </c>
      <c r="X257" s="11">
        <v>1.0</v>
      </c>
      <c r="Y257" s="11">
        <v>1.0</v>
      </c>
      <c r="Z257" s="11"/>
      <c r="AA257" s="11">
        <v>2.0</v>
      </c>
      <c r="AB257" s="11">
        <v>1.0</v>
      </c>
      <c r="AC257" s="11">
        <v>1.0</v>
      </c>
      <c r="AD257" s="11">
        <v>3.0</v>
      </c>
      <c r="AE257" s="11"/>
      <c r="AF257" s="11"/>
    </row>
    <row r="258" ht="15.75" customHeight="1">
      <c r="A258" s="13">
        <v>255.0</v>
      </c>
      <c r="B258" s="13">
        <v>14.0</v>
      </c>
      <c r="C258" s="13" t="s">
        <v>73</v>
      </c>
      <c r="D258" s="13" t="s">
        <v>734</v>
      </c>
      <c r="E258" s="13"/>
      <c r="F258" s="13" t="s">
        <v>735</v>
      </c>
      <c r="G258" s="13" t="s">
        <v>175</v>
      </c>
      <c r="H258" s="13">
        <v>1.0</v>
      </c>
      <c r="I258" s="13">
        <v>3.0</v>
      </c>
      <c r="J258" s="35">
        <v>6.0</v>
      </c>
      <c r="K258" s="35">
        <v>38.0</v>
      </c>
      <c r="L258" s="13"/>
      <c r="M258" s="13"/>
      <c r="N258" s="13">
        <v>14.0</v>
      </c>
      <c r="O258" s="13">
        <v>4.0</v>
      </c>
      <c r="P258" s="13">
        <v>1.0</v>
      </c>
      <c r="Q258" s="13">
        <v>2.0</v>
      </c>
      <c r="R258" s="13">
        <v>1.0</v>
      </c>
      <c r="S258" s="13">
        <v>6.0</v>
      </c>
      <c r="T258" s="13">
        <v>1.0</v>
      </c>
      <c r="U258" s="13"/>
      <c r="V258" s="13">
        <v>1.0</v>
      </c>
      <c r="W258" s="13">
        <v>4.0</v>
      </c>
      <c r="X258" s="13">
        <v>1.0</v>
      </c>
      <c r="Y258" s="13">
        <v>1.0</v>
      </c>
      <c r="Z258" s="13"/>
      <c r="AA258" s="13">
        <v>2.0</v>
      </c>
      <c r="AB258" s="13">
        <v>1.0</v>
      </c>
      <c r="AC258" s="13">
        <v>1.0</v>
      </c>
      <c r="AD258" s="13">
        <v>4.0</v>
      </c>
      <c r="AE258" s="13"/>
      <c r="AF258" s="13"/>
    </row>
    <row r="259" ht="15.75" customHeight="1">
      <c r="A259" s="11">
        <v>256.0</v>
      </c>
      <c r="B259" s="11">
        <v>14.0</v>
      </c>
      <c r="C259" s="11" t="s">
        <v>73</v>
      </c>
      <c r="D259" s="11" t="s">
        <v>736</v>
      </c>
      <c r="E259" s="11"/>
      <c r="F259" s="11" t="s">
        <v>737</v>
      </c>
      <c r="G259" s="11" t="s">
        <v>175</v>
      </c>
      <c r="H259" s="11">
        <v>1.0</v>
      </c>
      <c r="I259" s="11">
        <v>4.0</v>
      </c>
      <c r="J259" s="33">
        <v>5.0</v>
      </c>
      <c r="K259" s="33">
        <v>38.0</v>
      </c>
      <c r="L259" s="11"/>
      <c r="M259" s="11"/>
      <c r="N259" s="11">
        <v>14.0</v>
      </c>
      <c r="O259" s="11">
        <v>4.0</v>
      </c>
      <c r="P259" s="11">
        <v>1.0</v>
      </c>
      <c r="Q259" s="11">
        <v>2.0</v>
      </c>
      <c r="R259" s="11">
        <v>1.0</v>
      </c>
      <c r="S259" s="11">
        <v>6.0</v>
      </c>
      <c r="T259" s="11">
        <v>1.0</v>
      </c>
      <c r="U259" s="11"/>
      <c r="V259" s="11">
        <v>1.0</v>
      </c>
      <c r="W259" s="11">
        <v>4.0</v>
      </c>
      <c r="X259" s="11">
        <v>1.0</v>
      </c>
      <c r="Y259" s="11">
        <v>1.0</v>
      </c>
      <c r="Z259" s="11"/>
      <c r="AA259" s="11">
        <v>2.0</v>
      </c>
      <c r="AB259" s="11">
        <v>1.0</v>
      </c>
      <c r="AC259" s="11">
        <v>1.0</v>
      </c>
      <c r="AD259" s="11">
        <v>4.0</v>
      </c>
      <c r="AE259" s="11"/>
      <c r="AF259" s="11"/>
    </row>
    <row r="260" ht="15.75" customHeight="1">
      <c r="A260" s="13">
        <v>257.0</v>
      </c>
      <c r="B260" s="13">
        <v>14.0</v>
      </c>
      <c r="C260" s="13" t="s">
        <v>73</v>
      </c>
      <c r="D260" s="13" t="s">
        <v>738</v>
      </c>
      <c r="E260" s="13" t="s">
        <v>739</v>
      </c>
      <c r="F260" s="13" t="s">
        <v>740</v>
      </c>
      <c r="G260" s="13" t="s">
        <v>175</v>
      </c>
      <c r="H260" s="13">
        <v>2.0</v>
      </c>
      <c r="I260" s="13">
        <v>1.0</v>
      </c>
      <c r="J260" s="35">
        <v>8.0</v>
      </c>
      <c r="K260" s="35">
        <v>38.0</v>
      </c>
      <c r="L260" s="13"/>
      <c r="M260" s="13"/>
      <c r="N260" s="13">
        <v>8.0</v>
      </c>
      <c r="O260" s="13">
        <v>3.0</v>
      </c>
      <c r="P260" s="13">
        <v>2.0</v>
      </c>
      <c r="Q260" s="13"/>
      <c r="R260" s="13">
        <v>3.0</v>
      </c>
      <c r="S260" s="13">
        <v>3.0</v>
      </c>
      <c r="T260" s="13">
        <v>2.0</v>
      </c>
      <c r="U260" s="13">
        <v>1.0</v>
      </c>
      <c r="V260" s="13"/>
      <c r="W260" s="13">
        <v>2.0</v>
      </c>
      <c r="X260" s="13">
        <v>1.0</v>
      </c>
      <c r="Y260" s="13">
        <v>1.0</v>
      </c>
      <c r="Z260" s="13"/>
      <c r="AA260" s="13">
        <v>1.0</v>
      </c>
      <c r="AB260" s="13">
        <v>1.0</v>
      </c>
      <c r="AC260" s="13"/>
      <c r="AD260" s="13">
        <v>1.0</v>
      </c>
      <c r="AE260" s="13">
        <v>1.0</v>
      </c>
      <c r="AF260" s="13"/>
    </row>
    <row r="261" ht="15.75" customHeight="1">
      <c r="A261" s="11">
        <v>258.0</v>
      </c>
      <c r="B261" s="11">
        <v>14.0</v>
      </c>
      <c r="C261" s="11" t="s">
        <v>73</v>
      </c>
      <c r="D261" s="11" t="s">
        <v>741</v>
      </c>
      <c r="E261" s="11"/>
      <c r="F261" s="11" t="s">
        <v>742</v>
      </c>
      <c r="G261" s="11" t="s">
        <v>175</v>
      </c>
      <c r="H261" s="11">
        <v>2.0</v>
      </c>
      <c r="I261" s="11">
        <v>2.0</v>
      </c>
      <c r="J261" s="33">
        <v>7.0</v>
      </c>
      <c r="K261" s="33">
        <v>38.0</v>
      </c>
      <c r="L261" s="11"/>
      <c r="M261" s="11"/>
      <c r="N261" s="11">
        <v>8.0</v>
      </c>
      <c r="O261" s="11">
        <v>3.0</v>
      </c>
      <c r="P261" s="11">
        <v>2.0</v>
      </c>
      <c r="Q261" s="11"/>
      <c r="R261" s="11">
        <v>3.0</v>
      </c>
      <c r="S261" s="11">
        <v>3.0</v>
      </c>
      <c r="T261" s="11">
        <v>2.0</v>
      </c>
      <c r="U261" s="11">
        <v>1.0</v>
      </c>
      <c r="V261" s="11"/>
      <c r="W261" s="11">
        <v>2.0</v>
      </c>
      <c r="X261" s="11">
        <v>1.0</v>
      </c>
      <c r="Y261" s="11">
        <v>1.0</v>
      </c>
      <c r="Z261" s="11"/>
      <c r="AA261" s="11">
        <v>1.0</v>
      </c>
      <c r="AB261" s="11">
        <v>1.0</v>
      </c>
      <c r="AC261" s="11"/>
      <c r="AD261" s="11">
        <v>1.0</v>
      </c>
      <c r="AE261" s="11">
        <v>1.0</v>
      </c>
      <c r="AF261" s="11"/>
    </row>
    <row r="262" ht="15.75" customHeight="1">
      <c r="A262" s="13">
        <v>259.0</v>
      </c>
      <c r="B262" s="13">
        <v>14.0</v>
      </c>
      <c r="C262" s="13" t="s">
        <v>73</v>
      </c>
      <c r="D262" s="13" t="s">
        <v>743</v>
      </c>
      <c r="E262" s="13"/>
      <c r="F262" s="13" t="s">
        <v>744</v>
      </c>
      <c r="G262" s="13" t="s">
        <v>175</v>
      </c>
      <c r="H262" s="13">
        <v>2.0</v>
      </c>
      <c r="I262" s="13">
        <v>3.0</v>
      </c>
      <c r="J262" s="35">
        <v>6.0</v>
      </c>
      <c r="K262" s="35">
        <v>38.0</v>
      </c>
      <c r="L262" s="13"/>
      <c r="M262" s="13"/>
      <c r="N262" s="13">
        <v>12.0</v>
      </c>
      <c r="O262" s="13">
        <v>4.0</v>
      </c>
      <c r="P262" s="13">
        <v>3.0</v>
      </c>
      <c r="Q262" s="13"/>
      <c r="R262" s="13">
        <v>4.0</v>
      </c>
      <c r="S262" s="13">
        <v>3.0</v>
      </c>
      <c r="T262" s="13">
        <v>3.0</v>
      </c>
      <c r="U262" s="13">
        <v>1.0</v>
      </c>
      <c r="V262" s="13"/>
      <c r="W262" s="13">
        <v>2.0</v>
      </c>
      <c r="X262" s="13">
        <v>1.0</v>
      </c>
      <c r="Y262" s="13">
        <v>1.0</v>
      </c>
      <c r="Z262" s="13"/>
      <c r="AA262" s="13">
        <v>1.0</v>
      </c>
      <c r="AB262" s="13">
        <v>2.0</v>
      </c>
      <c r="AC262" s="13"/>
      <c r="AD262" s="13">
        <v>1.0</v>
      </c>
      <c r="AE262" s="13">
        <v>1.0</v>
      </c>
      <c r="AF262" s="13"/>
    </row>
    <row r="263" ht="15.75" customHeight="1">
      <c r="A263" s="11">
        <v>260.0</v>
      </c>
      <c r="B263" s="11">
        <v>14.0</v>
      </c>
      <c r="C263" s="11" t="s">
        <v>73</v>
      </c>
      <c r="D263" s="11" t="s">
        <v>745</v>
      </c>
      <c r="E263" s="11"/>
      <c r="F263" s="11" t="s">
        <v>746</v>
      </c>
      <c r="G263" s="11" t="s">
        <v>175</v>
      </c>
      <c r="H263" s="11">
        <v>2.0</v>
      </c>
      <c r="I263" s="11">
        <v>4.0</v>
      </c>
      <c r="J263" s="33">
        <v>5.0</v>
      </c>
      <c r="K263" s="33">
        <v>38.0</v>
      </c>
      <c r="L263" s="11"/>
      <c r="M263" s="11"/>
      <c r="N263" s="11">
        <v>12.0</v>
      </c>
      <c r="O263" s="11">
        <v>4.0</v>
      </c>
      <c r="P263" s="11">
        <v>3.0</v>
      </c>
      <c r="Q263" s="11"/>
      <c r="R263" s="11">
        <v>4.0</v>
      </c>
      <c r="S263" s="11">
        <v>3.0</v>
      </c>
      <c r="T263" s="11">
        <v>3.0</v>
      </c>
      <c r="U263" s="11">
        <v>1.0</v>
      </c>
      <c r="V263" s="11"/>
      <c r="W263" s="11">
        <v>2.0</v>
      </c>
      <c r="X263" s="11">
        <v>1.0</v>
      </c>
      <c r="Y263" s="11">
        <v>1.0</v>
      </c>
      <c r="Z263" s="11"/>
      <c r="AA263" s="11">
        <v>1.0</v>
      </c>
      <c r="AB263" s="11">
        <v>2.0</v>
      </c>
      <c r="AC263" s="11"/>
      <c r="AD263" s="11">
        <v>1.0</v>
      </c>
      <c r="AE263" s="11">
        <v>1.0</v>
      </c>
      <c r="AF263" s="11"/>
    </row>
    <row r="264" ht="15.75" customHeight="1">
      <c r="A264" s="13">
        <v>261.0</v>
      </c>
      <c r="B264" s="13">
        <v>14.0</v>
      </c>
      <c r="C264" s="13" t="s">
        <v>73</v>
      </c>
      <c r="D264" s="13" t="s">
        <v>747</v>
      </c>
      <c r="E264" s="13" t="s">
        <v>748</v>
      </c>
      <c r="F264" s="13" t="s">
        <v>749</v>
      </c>
      <c r="G264" s="13" t="s">
        <v>175</v>
      </c>
      <c r="H264" s="13">
        <v>3.0</v>
      </c>
      <c r="I264" s="13">
        <v>1.0</v>
      </c>
      <c r="J264" s="35">
        <v>8.0</v>
      </c>
      <c r="K264" s="35">
        <v>38.0</v>
      </c>
      <c r="L264" s="13"/>
      <c r="M264" s="13"/>
      <c r="N264" s="13">
        <v>10.0</v>
      </c>
      <c r="O264" s="13">
        <v>2.0</v>
      </c>
      <c r="P264" s="13">
        <v>2.0</v>
      </c>
      <c r="Q264" s="13"/>
      <c r="R264" s="13">
        <v>2.0</v>
      </c>
      <c r="S264" s="13">
        <v>4.0</v>
      </c>
      <c r="T264" s="13">
        <v>1.0</v>
      </c>
      <c r="U264" s="13">
        <v>1.0</v>
      </c>
      <c r="V264" s="13"/>
      <c r="W264" s="13">
        <v>3.0</v>
      </c>
      <c r="X264" s="13">
        <v>1.0</v>
      </c>
      <c r="Y264" s="13">
        <v>1.0</v>
      </c>
      <c r="Z264" s="13"/>
      <c r="AA264" s="13">
        <v>1.0</v>
      </c>
      <c r="AB264" s="13">
        <v>1.0</v>
      </c>
      <c r="AC264" s="13"/>
      <c r="AD264" s="13">
        <v>2.0</v>
      </c>
      <c r="AE264" s="13">
        <v>1.0</v>
      </c>
      <c r="AF264" s="13"/>
    </row>
    <row r="265" ht="15.75" customHeight="1">
      <c r="A265" s="11">
        <v>262.0</v>
      </c>
      <c r="B265" s="11">
        <v>14.0</v>
      </c>
      <c r="C265" s="11" t="s">
        <v>73</v>
      </c>
      <c r="D265" s="11" t="s">
        <v>750</v>
      </c>
      <c r="E265" s="11"/>
      <c r="F265" s="11" t="s">
        <v>751</v>
      </c>
      <c r="G265" s="11" t="s">
        <v>175</v>
      </c>
      <c r="H265" s="11">
        <v>3.0</v>
      </c>
      <c r="I265" s="11">
        <v>2.0</v>
      </c>
      <c r="J265" s="33">
        <v>7.0</v>
      </c>
      <c r="K265" s="33">
        <v>38.0</v>
      </c>
      <c r="L265" s="11"/>
      <c r="M265" s="11"/>
      <c r="N265" s="11">
        <v>10.0</v>
      </c>
      <c r="O265" s="11">
        <v>2.0</v>
      </c>
      <c r="P265" s="11">
        <v>2.0</v>
      </c>
      <c r="Q265" s="11"/>
      <c r="R265" s="11">
        <v>2.0</v>
      </c>
      <c r="S265" s="11">
        <v>4.0</v>
      </c>
      <c r="T265" s="11">
        <v>1.0</v>
      </c>
      <c r="U265" s="11">
        <v>1.0</v>
      </c>
      <c r="V265" s="11"/>
      <c r="W265" s="11">
        <v>3.0</v>
      </c>
      <c r="X265" s="11">
        <v>1.0</v>
      </c>
      <c r="Y265" s="11">
        <v>1.0</v>
      </c>
      <c r="Z265" s="11"/>
      <c r="AA265" s="11">
        <v>1.0</v>
      </c>
      <c r="AB265" s="11">
        <v>1.0</v>
      </c>
      <c r="AC265" s="11"/>
      <c r="AD265" s="11">
        <v>2.0</v>
      </c>
      <c r="AE265" s="11">
        <v>1.0</v>
      </c>
      <c r="AF265" s="11"/>
    </row>
    <row r="266" ht="15.75" customHeight="1">
      <c r="A266" s="13">
        <v>263.0</v>
      </c>
      <c r="B266" s="13">
        <v>14.0</v>
      </c>
      <c r="C266" s="13" t="s">
        <v>73</v>
      </c>
      <c r="D266" s="13" t="s">
        <v>752</v>
      </c>
      <c r="E266" s="13"/>
      <c r="F266" s="13" t="s">
        <v>753</v>
      </c>
      <c r="G266" s="13" t="s">
        <v>175</v>
      </c>
      <c r="H266" s="13">
        <v>3.0</v>
      </c>
      <c r="I266" s="13">
        <v>3.0</v>
      </c>
      <c r="J266" s="35">
        <v>6.0</v>
      </c>
      <c r="K266" s="35">
        <v>38.0</v>
      </c>
      <c r="L266" s="13"/>
      <c r="M266" s="13"/>
      <c r="N266" s="13">
        <v>14.0</v>
      </c>
      <c r="O266" s="13">
        <v>3.0</v>
      </c>
      <c r="P266" s="13">
        <v>3.0</v>
      </c>
      <c r="Q266" s="13"/>
      <c r="R266" s="13">
        <v>3.0</v>
      </c>
      <c r="S266" s="13">
        <v>5.0</v>
      </c>
      <c r="T266" s="13">
        <v>1.0</v>
      </c>
      <c r="U266" s="13">
        <v>2.0</v>
      </c>
      <c r="V266" s="13"/>
      <c r="W266" s="13">
        <v>3.0</v>
      </c>
      <c r="X266" s="13">
        <v>1.0</v>
      </c>
      <c r="Y266" s="13">
        <v>1.0</v>
      </c>
      <c r="Z266" s="13"/>
      <c r="AA266" s="13">
        <v>1.0</v>
      </c>
      <c r="AB266" s="13">
        <v>1.0</v>
      </c>
      <c r="AC266" s="13"/>
      <c r="AD266" s="13">
        <v>3.0</v>
      </c>
      <c r="AE266" s="13">
        <v>1.0</v>
      </c>
      <c r="AF266" s="13"/>
    </row>
    <row r="267" ht="15.75" customHeight="1">
      <c r="A267" s="11">
        <v>264.0</v>
      </c>
      <c r="B267" s="11">
        <v>14.0</v>
      </c>
      <c r="C267" s="11" t="s">
        <v>73</v>
      </c>
      <c r="D267" s="11" t="s">
        <v>754</v>
      </c>
      <c r="E267" s="11"/>
      <c r="F267" s="11" t="s">
        <v>755</v>
      </c>
      <c r="G267" s="11" t="s">
        <v>175</v>
      </c>
      <c r="H267" s="11">
        <v>3.0</v>
      </c>
      <c r="I267" s="11">
        <v>4.0</v>
      </c>
      <c r="J267" s="33">
        <v>5.0</v>
      </c>
      <c r="K267" s="33">
        <v>38.0</v>
      </c>
      <c r="L267" s="11"/>
      <c r="M267" s="11"/>
      <c r="N267" s="11">
        <v>14.0</v>
      </c>
      <c r="O267" s="11">
        <v>3.0</v>
      </c>
      <c r="P267" s="11">
        <v>3.0</v>
      </c>
      <c r="Q267" s="11"/>
      <c r="R267" s="11">
        <v>3.0</v>
      </c>
      <c r="S267" s="11">
        <v>5.0</v>
      </c>
      <c r="T267" s="11">
        <v>1.0</v>
      </c>
      <c r="U267" s="11">
        <v>2.0</v>
      </c>
      <c r="V267" s="11"/>
      <c r="W267" s="11">
        <v>3.0</v>
      </c>
      <c r="X267" s="11">
        <v>1.0</v>
      </c>
      <c r="Y267" s="11">
        <v>1.0</v>
      </c>
      <c r="Z267" s="11"/>
      <c r="AA267" s="11">
        <v>1.0</v>
      </c>
      <c r="AB267" s="11">
        <v>1.0</v>
      </c>
      <c r="AC267" s="11"/>
      <c r="AD267" s="11">
        <v>3.0</v>
      </c>
      <c r="AE267" s="11">
        <v>1.0</v>
      </c>
      <c r="AF267" s="11"/>
    </row>
    <row r="268" ht="15.75" customHeight="1">
      <c r="A268" s="13">
        <v>265.0</v>
      </c>
      <c r="B268" s="13">
        <v>14.0</v>
      </c>
      <c r="C268" s="13" t="s">
        <v>73</v>
      </c>
      <c r="D268" s="13" t="s">
        <v>756</v>
      </c>
      <c r="E268" s="13" t="s">
        <v>757</v>
      </c>
      <c r="F268" s="13" t="s">
        <v>758</v>
      </c>
      <c r="G268" s="13" t="s">
        <v>175</v>
      </c>
      <c r="H268" s="13">
        <v>4.0</v>
      </c>
      <c r="I268" s="13">
        <v>1.0</v>
      </c>
      <c r="J268" s="35">
        <v>8.0</v>
      </c>
      <c r="K268" s="35">
        <v>38.0</v>
      </c>
      <c r="L268" s="13"/>
      <c r="M268" s="13"/>
      <c r="N268" s="13">
        <v>10.0</v>
      </c>
      <c r="O268" s="13">
        <v>3.0</v>
      </c>
      <c r="P268" s="13">
        <v>2.0</v>
      </c>
      <c r="Q268" s="13">
        <v>1.0</v>
      </c>
      <c r="R268" s="13">
        <v>1.0</v>
      </c>
      <c r="S268" s="13">
        <v>3.0</v>
      </c>
      <c r="T268" s="13">
        <v>1.0</v>
      </c>
      <c r="U268" s="13">
        <v>2.0</v>
      </c>
      <c r="V268" s="13"/>
      <c r="W268" s="13">
        <v>2.0</v>
      </c>
      <c r="X268" s="13">
        <v>1.0</v>
      </c>
      <c r="Y268" s="13">
        <v>1.0</v>
      </c>
      <c r="Z268" s="13"/>
      <c r="AA268" s="13">
        <v>1.0</v>
      </c>
      <c r="AB268" s="13">
        <v>1.0</v>
      </c>
      <c r="AC268" s="13"/>
      <c r="AD268" s="13">
        <v>2.0</v>
      </c>
      <c r="AE268" s="13">
        <v>1.0</v>
      </c>
      <c r="AF268" s="13"/>
    </row>
    <row r="269" ht="15.75" customHeight="1">
      <c r="A269" s="11">
        <v>266.0</v>
      </c>
      <c r="B269" s="11">
        <v>14.0</v>
      </c>
      <c r="C269" s="11" t="s">
        <v>73</v>
      </c>
      <c r="D269" s="11" t="s">
        <v>759</v>
      </c>
      <c r="E269" s="11"/>
      <c r="F269" s="11" t="s">
        <v>760</v>
      </c>
      <c r="G269" s="11" t="s">
        <v>175</v>
      </c>
      <c r="H269" s="11">
        <v>4.0</v>
      </c>
      <c r="I269" s="11">
        <v>2.0</v>
      </c>
      <c r="J269" s="33">
        <v>7.0</v>
      </c>
      <c r="K269" s="33">
        <v>38.0</v>
      </c>
      <c r="L269" s="11"/>
      <c r="M269" s="11"/>
      <c r="N269" s="11">
        <v>10.0</v>
      </c>
      <c r="O269" s="11">
        <v>3.0</v>
      </c>
      <c r="P269" s="11">
        <v>2.0</v>
      </c>
      <c r="Q269" s="11">
        <v>1.0</v>
      </c>
      <c r="R269" s="11">
        <v>1.0</v>
      </c>
      <c r="S269" s="11">
        <v>3.0</v>
      </c>
      <c r="T269" s="11">
        <v>1.0</v>
      </c>
      <c r="U269" s="11">
        <v>2.0</v>
      </c>
      <c r="V269" s="11"/>
      <c r="W269" s="11">
        <v>2.0</v>
      </c>
      <c r="X269" s="11">
        <v>1.0</v>
      </c>
      <c r="Y269" s="11">
        <v>1.0</v>
      </c>
      <c r="Z269" s="11"/>
      <c r="AA269" s="11">
        <v>1.0</v>
      </c>
      <c r="AB269" s="11">
        <v>1.0</v>
      </c>
      <c r="AC269" s="11"/>
      <c r="AD269" s="11">
        <v>2.0</v>
      </c>
      <c r="AE269" s="11">
        <v>1.0</v>
      </c>
      <c r="AF269" s="11"/>
    </row>
    <row r="270" ht="15.75" customHeight="1">
      <c r="A270" s="13">
        <v>267.0</v>
      </c>
      <c r="B270" s="13">
        <v>14.0</v>
      </c>
      <c r="C270" s="13" t="s">
        <v>73</v>
      </c>
      <c r="D270" s="13" t="s">
        <v>761</v>
      </c>
      <c r="E270" s="13"/>
      <c r="F270" s="13" t="s">
        <v>762</v>
      </c>
      <c r="G270" s="13" t="s">
        <v>175</v>
      </c>
      <c r="H270" s="13">
        <v>4.0</v>
      </c>
      <c r="I270" s="13">
        <v>3.0</v>
      </c>
      <c r="J270" s="35">
        <v>6.0</v>
      </c>
      <c r="K270" s="35">
        <v>38.0</v>
      </c>
      <c r="L270" s="13"/>
      <c r="M270" s="13"/>
      <c r="N270" s="13">
        <v>14.0</v>
      </c>
      <c r="O270" s="13">
        <v>4.0</v>
      </c>
      <c r="P270" s="13">
        <v>3.0</v>
      </c>
      <c r="Q270" s="13">
        <v>1.0</v>
      </c>
      <c r="R270" s="13">
        <v>1.0</v>
      </c>
      <c r="S270" s="13">
        <v>4.0</v>
      </c>
      <c r="T270" s="13">
        <v>1.0</v>
      </c>
      <c r="U270" s="13">
        <v>2.0</v>
      </c>
      <c r="V270" s="13"/>
      <c r="W270" s="13">
        <v>2.0</v>
      </c>
      <c r="X270" s="13">
        <v>2.0</v>
      </c>
      <c r="Y270" s="13">
        <v>1.0</v>
      </c>
      <c r="Z270" s="13"/>
      <c r="AA270" s="13">
        <v>1.0</v>
      </c>
      <c r="AB270" s="13">
        <v>1.0</v>
      </c>
      <c r="AC270" s="13"/>
      <c r="AD270" s="13">
        <v>3.0</v>
      </c>
      <c r="AE270" s="13">
        <v>1.0</v>
      </c>
      <c r="AF270" s="13"/>
    </row>
    <row r="271" ht="15.75" customHeight="1">
      <c r="A271" s="11">
        <v>268.0</v>
      </c>
      <c r="B271" s="11">
        <v>14.0</v>
      </c>
      <c r="C271" s="11" t="s">
        <v>73</v>
      </c>
      <c r="D271" s="11" t="s">
        <v>763</v>
      </c>
      <c r="E271" s="11"/>
      <c r="F271" s="11" t="s">
        <v>764</v>
      </c>
      <c r="G271" s="11" t="s">
        <v>175</v>
      </c>
      <c r="H271" s="11">
        <v>4.0</v>
      </c>
      <c r="I271" s="11">
        <v>4.0</v>
      </c>
      <c r="J271" s="33">
        <v>5.0</v>
      </c>
      <c r="K271" s="33">
        <v>38.0</v>
      </c>
      <c r="L271" s="11"/>
      <c r="M271" s="11"/>
      <c r="N271" s="11">
        <v>14.0</v>
      </c>
      <c r="O271" s="11">
        <v>4.0</v>
      </c>
      <c r="P271" s="11">
        <v>3.0</v>
      </c>
      <c r="Q271" s="11">
        <v>1.0</v>
      </c>
      <c r="R271" s="11">
        <v>1.0</v>
      </c>
      <c r="S271" s="11">
        <v>4.0</v>
      </c>
      <c r="T271" s="11">
        <v>1.0</v>
      </c>
      <c r="U271" s="11">
        <v>2.0</v>
      </c>
      <c r="V271" s="11"/>
      <c r="W271" s="11">
        <v>2.0</v>
      </c>
      <c r="X271" s="11">
        <v>2.0</v>
      </c>
      <c r="Y271" s="11">
        <v>1.0</v>
      </c>
      <c r="Z271" s="11"/>
      <c r="AA271" s="11">
        <v>1.0</v>
      </c>
      <c r="AB271" s="11">
        <v>1.0</v>
      </c>
      <c r="AC271" s="11"/>
      <c r="AD271" s="11">
        <v>3.0</v>
      </c>
      <c r="AE271" s="11">
        <v>1.0</v>
      </c>
      <c r="AF271" s="11"/>
    </row>
    <row r="272" ht="15.75" customHeight="1">
      <c r="A272" s="13">
        <v>269.0</v>
      </c>
      <c r="B272" s="13">
        <v>14.0</v>
      </c>
      <c r="C272" s="13" t="s">
        <v>73</v>
      </c>
      <c r="D272" s="13" t="s">
        <v>765</v>
      </c>
      <c r="E272" s="13"/>
      <c r="F272" s="13" t="s">
        <v>766</v>
      </c>
      <c r="G272" s="13" t="s">
        <v>74</v>
      </c>
      <c r="H272" s="13">
        <v>5.0</v>
      </c>
      <c r="I272" s="13">
        <v>5.0</v>
      </c>
      <c r="J272" s="35">
        <v>1.0</v>
      </c>
      <c r="K272" s="35">
        <v>192.0</v>
      </c>
      <c r="L272" s="13"/>
      <c r="M272" s="13"/>
      <c r="N272" s="13">
        <v>60.0</v>
      </c>
      <c r="O272" s="13">
        <v>10.0</v>
      </c>
      <c r="P272" s="13">
        <v>8.0</v>
      </c>
      <c r="Q272" s="13">
        <v>6.0</v>
      </c>
      <c r="R272" s="13">
        <v>6.0</v>
      </c>
      <c r="S272" s="13">
        <v>12.0</v>
      </c>
      <c r="T272" s="13">
        <v>4.0</v>
      </c>
      <c r="U272" s="13">
        <v>3.0</v>
      </c>
      <c r="V272" s="13">
        <v>3.0</v>
      </c>
      <c r="W272" s="13">
        <v>7.0</v>
      </c>
      <c r="X272" s="13">
        <v>4.0</v>
      </c>
      <c r="Y272" s="13">
        <v>3.0</v>
      </c>
      <c r="Z272" s="13"/>
      <c r="AA272" s="13">
        <v>3.0</v>
      </c>
      <c r="AB272" s="13">
        <v>2.0</v>
      </c>
      <c r="AC272" s="13">
        <v>4.0</v>
      </c>
      <c r="AD272" s="13">
        <v>8.0</v>
      </c>
      <c r="AE272" s="13">
        <v>1.0</v>
      </c>
      <c r="AF272" s="13"/>
    </row>
    <row r="273" ht="15.75" customHeight="1">
      <c r="A273" s="11">
        <v>270.0</v>
      </c>
      <c r="B273" s="11">
        <v>15.0</v>
      </c>
      <c r="C273" s="11" t="s">
        <v>76</v>
      </c>
      <c r="D273" s="11" t="s">
        <v>767</v>
      </c>
      <c r="E273" s="11"/>
      <c r="F273" s="11" t="s">
        <v>768</v>
      </c>
      <c r="G273" s="11" t="s">
        <v>170</v>
      </c>
      <c r="H273" s="11">
        <v>0.0</v>
      </c>
      <c r="I273" s="11">
        <v>0.0</v>
      </c>
      <c r="J273" s="33">
        <v>15.0</v>
      </c>
      <c r="K273" s="33">
        <v>200.0</v>
      </c>
      <c r="L273" s="11"/>
      <c r="M273" s="34" t="s">
        <v>769</v>
      </c>
      <c r="N273" s="11">
        <v>32.0</v>
      </c>
      <c r="O273" s="11">
        <v>6.0</v>
      </c>
      <c r="P273" s="11">
        <v>12.0</v>
      </c>
      <c r="Q273" s="11">
        <v>4.0</v>
      </c>
      <c r="R273" s="11">
        <v>6.0</v>
      </c>
      <c r="S273" s="11">
        <v>4.0</v>
      </c>
      <c r="T273" s="11">
        <v>6.0</v>
      </c>
      <c r="U273" s="11">
        <v>5.0</v>
      </c>
      <c r="V273" s="11">
        <v>1.0</v>
      </c>
      <c r="W273" s="11">
        <v>3.0</v>
      </c>
      <c r="X273" s="11">
        <v>3.0</v>
      </c>
      <c r="Y273" s="11">
        <v>2.0</v>
      </c>
      <c r="Z273" s="11"/>
      <c r="AA273" s="11">
        <v>1.0</v>
      </c>
      <c r="AB273" s="11">
        <v>2.0</v>
      </c>
      <c r="AC273" s="11"/>
      <c r="AD273" s="11">
        <v>1.0</v>
      </c>
      <c r="AE273" s="11"/>
      <c r="AF273" s="11"/>
    </row>
    <row r="274" ht="15.75" customHeight="1">
      <c r="A274" s="13">
        <v>271.0</v>
      </c>
      <c r="B274" s="13">
        <v>15.0</v>
      </c>
      <c r="C274" s="13" t="s">
        <v>76</v>
      </c>
      <c r="D274" s="13" t="s">
        <v>770</v>
      </c>
      <c r="E274" s="13" t="s">
        <v>771</v>
      </c>
      <c r="F274" s="13" t="s">
        <v>772</v>
      </c>
      <c r="G274" s="13" t="s">
        <v>175</v>
      </c>
      <c r="H274" s="13">
        <v>1.0</v>
      </c>
      <c r="I274" s="13">
        <v>1.0</v>
      </c>
      <c r="J274" s="35">
        <v>8.0</v>
      </c>
      <c r="K274" s="35">
        <v>38.0</v>
      </c>
      <c r="L274" s="13"/>
      <c r="M274" s="13"/>
      <c r="N274" s="13">
        <v>8.0</v>
      </c>
      <c r="O274" s="13">
        <v>2.0</v>
      </c>
      <c r="P274" s="13">
        <v>3.0</v>
      </c>
      <c r="Q274" s="13"/>
      <c r="R274" s="13">
        <v>3.0</v>
      </c>
      <c r="S274" s="13">
        <v>2.0</v>
      </c>
      <c r="T274" s="13">
        <v>2.0</v>
      </c>
      <c r="U274" s="13">
        <v>2.0</v>
      </c>
      <c r="V274" s="13"/>
      <c r="W274" s="13">
        <v>1.0</v>
      </c>
      <c r="X274" s="13">
        <v>2.0</v>
      </c>
      <c r="Y274" s="13">
        <v>1.0</v>
      </c>
      <c r="Z274" s="13"/>
      <c r="AA274" s="13"/>
      <c r="AB274" s="13">
        <v>1.0</v>
      </c>
      <c r="AC274" s="13"/>
      <c r="AD274" s="13"/>
      <c r="AE274" s="13"/>
      <c r="AF274" s="13"/>
    </row>
    <row r="275" ht="15.75" customHeight="1">
      <c r="A275" s="11">
        <v>272.0</v>
      </c>
      <c r="B275" s="11">
        <v>15.0</v>
      </c>
      <c r="C275" s="11" t="s">
        <v>76</v>
      </c>
      <c r="D275" s="11" t="s">
        <v>773</v>
      </c>
      <c r="E275" s="11"/>
      <c r="F275" s="11" t="s">
        <v>774</v>
      </c>
      <c r="G275" s="11" t="s">
        <v>175</v>
      </c>
      <c r="H275" s="11">
        <v>1.0</v>
      </c>
      <c r="I275" s="11">
        <v>2.0</v>
      </c>
      <c r="J275" s="33">
        <v>7.0</v>
      </c>
      <c r="K275" s="33">
        <v>38.0</v>
      </c>
      <c r="L275" s="11"/>
      <c r="M275" s="11"/>
      <c r="N275" s="11">
        <v>8.0</v>
      </c>
      <c r="O275" s="11">
        <v>2.0</v>
      </c>
      <c r="P275" s="11">
        <v>3.0</v>
      </c>
      <c r="Q275" s="11"/>
      <c r="R275" s="11">
        <v>3.0</v>
      </c>
      <c r="S275" s="11">
        <v>2.0</v>
      </c>
      <c r="T275" s="11">
        <v>2.0</v>
      </c>
      <c r="U275" s="11">
        <v>2.0</v>
      </c>
      <c r="V275" s="11"/>
      <c r="W275" s="11">
        <v>1.0</v>
      </c>
      <c r="X275" s="11">
        <v>2.0</v>
      </c>
      <c r="Y275" s="11">
        <v>1.0</v>
      </c>
      <c r="Z275" s="11"/>
      <c r="AA275" s="11"/>
      <c r="AB275" s="11">
        <v>1.0</v>
      </c>
      <c r="AC275" s="11"/>
      <c r="AD275" s="11"/>
      <c r="AE275" s="11"/>
      <c r="AF275" s="11"/>
    </row>
    <row r="276" ht="15.75" customHeight="1">
      <c r="A276" s="13">
        <v>273.0</v>
      </c>
      <c r="B276" s="13">
        <v>15.0</v>
      </c>
      <c r="C276" s="13" t="s">
        <v>76</v>
      </c>
      <c r="D276" s="13" t="s">
        <v>775</v>
      </c>
      <c r="E276" s="13"/>
      <c r="F276" s="13" t="s">
        <v>776</v>
      </c>
      <c r="G276" s="13" t="s">
        <v>175</v>
      </c>
      <c r="H276" s="13">
        <v>1.0</v>
      </c>
      <c r="I276" s="13">
        <v>3.0</v>
      </c>
      <c r="J276" s="35">
        <v>6.0</v>
      </c>
      <c r="K276" s="35">
        <v>38.0</v>
      </c>
      <c r="L276" s="13"/>
      <c r="M276" s="13"/>
      <c r="N276" s="13">
        <v>12.0</v>
      </c>
      <c r="O276" s="13">
        <v>3.0</v>
      </c>
      <c r="P276" s="13">
        <v>4.0</v>
      </c>
      <c r="Q276" s="13"/>
      <c r="R276" s="13">
        <v>4.0</v>
      </c>
      <c r="S276" s="13">
        <v>3.0</v>
      </c>
      <c r="T276" s="13">
        <v>3.0</v>
      </c>
      <c r="U276" s="13">
        <v>2.0</v>
      </c>
      <c r="V276" s="13"/>
      <c r="W276" s="13">
        <v>1.0</v>
      </c>
      <c r="X276" s="13">
        <v>2.0</v>
      </c>
      <c r="Y276" s="13">
        <v>1.0</v>
      </c>
      <c r="Z276" s="13"/>
      <c r="AA276" s="13"/>
      <c r="AB276" s="13">
        <v>2.0</v>
      </c>
      <c r="AC276" s="13"/>
      <c r="AD276" s="13"/>
      <c r="AE276" s="13">
        <v>1.0</v>
      </c>
      <c r="AF276" s="13"/>
    </row>
    <row r="277" ht="15.75" customHeight="1">
      <c r="A277" s="11">
        <v>274.0</v>
      </c>
      <c r="B277" s="11">
        <v>15.0</v>
      </c>
      <c r="C277" s="11" t="s">
        <v>76</v>
      </c>
      <c r="D277" s="11" t="s">
        <v>777</v>
      </c>
      <c r="E277" s="11"/>
      <c r="F277" s="11" t="s">
        <v>778</v>
      </c>
      <c r="G277" s="11" t="s">
        <v>175</v>
      </c>
      <c r="H277" s="11">
        <v>1.0</v>
      </c>
      <c r="I277" s="11">
        <v>4.0</v>
      </c>
      <c r="J277" s="33">
        <v>5.0</v>
      </c>
      <c r="K277" s="33">
        <v>38.0</v>
      </c>
      <c r="L277" s="11"/>
      <c r="M277" s="11"/>
      <c r="N277" s="11">
        <v>12.0</v>
      </c>
      <c r="O277" s="11">
        <v>3.0</v>
      </c>
      <c r="P277" s="11">
        <v>4.0</v>
      </c>
      <c r="Q277" s="11"/>
      <c r="R277" s="11">
        <v>4.0</v>
      </c>
      <c r="S277" s="11">
        <v>3.0</v>
      </c>
      <c r="T277" s="11">
        <v>3.0</v>
      </c>
      <c r="U277" s="11">
        <v>2.0</v>
      </c>
      <c r="V277" s="11"/>
      <c r="W277" s="11">
        <v>1.0</v>
      </c>
      <c r="X277" s="11">
        <v>2.0</v>
      </c>
      <c r="Y277" s="11">
        <v>1.0</v>
      </c>
      <c r="Z277" s="11"/>
      <c r="AA277" s="11"/>
      <c r="AB277" s="11">
        <v>2.0</v>
      </c>
      <c r="AC277" s="11"/>
      <c r="AD277" s="11"/>
      <c r="AE277" s="11">
        <v>1.0</v>
      </c>
      <c r="AF277" s="11"/>
    </row>
    <row r="278" ht="15.75" customHeight="1">
      <c r="A278" s="13">
        <v>275.0</v>
      </c>
      <c r="B278" s="13">
        <v>15.0</v>
      </c>
      <c r="C278" s="13" t="s">
        <v>76</v>
      </c>
      <c r="D278" s="13" t="s">
        <v>779</v>
      </c>
      <c r="E278" s="13" t="s">
        <v>780</v>
      </c>
      <c r="F278" s="13" t="s">
        <v>781</v>
      </c>
      <c r="G278" s="13" t="s">
        <v>175</v>
      </c>
      <c r="H278" s="13">
        <v>2.0</v>
      </c>
      <c r="I278" s="13">
        <v>1.0</v>
      </c>
      <c r="J278" s="35">
        <v>8.0</v>
      </c>
      <c r="K278" s="35">
        <v>38.0</v>
      </c>
      <c r="L278" s="13"/>
      <c r="M278" s="13"/>
      <c r="N278" s="13">
        <v>6.0</v>
      </c>
      <c r="O278" s="13">
        <v>3.0</v>
      </c>
      <c r="P278" s="13">
        <v>3.0</v>
      </c>
      <c r="Q278" s="13">
        <v>1.0</v>
      </c>
      <c r="R278" s="13">
        <v>4.0</v>
      </c>
      <c r="S278" s="13">
        <v>1.0</v>
      </c>
      <c r="T278" s="13">
        <v>3.0</v>
      </c>
      <c r="U278" s="13">
        <v>3.0</v>
      </c>
      <c r="V278" s="13"/>
      <c r="W278" s="13">
        <v>1.0</v>
      </c>
      <c r="X278" s="13">
        <v>1.0</v>
      </c>
      <c r="Y278" s="13">
        <v>1.0</v>
      </c>
      <c r="Z278" s="13"/>
      <c r="AA278" s="13">
        <v>1.0</v>
      </c>
      <c r="AB278" s="13">
        <v>1.0</v>
      </c>
      <c r="AC278" s="13"/>
      <c r="AD278" s="13">
        <v>1.0</v>
      </c>
      <c r="AE278" s="13"/>
      <c r="AF278" s="13"/>
    </row>
    <row r="279" ht="15.75" customHeight="1">
      <c r="A279" s="11">
        <v>276.0</v>
      </c>
      <c r="B279" s="11">
        <v>15.0</v>
      </c>
      <c r="C279" s="11" t="s">
        <v>76</v>
      </c>
      <c r="D279" s="11" t="s">
        <v>782</v>
      </c>
      <c r="E279" s="11"/>
      <c r="F279" s="11" t="s">
        <v>783</v>
      </c>
      <c r="G279" s="11" t="s">
        <v>175</v>
      </c>
      <c r="H279" s="11">
        <v>2.0</v>
      </c>
      <c r="I279" s="11">
        <v>2.0</v>
      </c>
      <c r="J279" s="33">
        <v>7.0</v>
      </c>
      <c r="K279" s="33">
        <v>38.0</v>
      </c>
      <c r="L279" s="11"/>
      <c r="M279" s="11"/>
      <c r="N279" s="11">
        <v>6.0</v>
      </c>
      <c r="O279" s="11">
        <v>3.0</v>
      </c>
      <c r="P279" s="11">
        <v>3.0</v>
      </c>
      <c r="Q279" s="11">
        <v>1.0</v>
      </c>
      <c r="R279" s="11">
        <v>4.0</v>
      </c>
      <c r="S279" s="11">
        <v>1.0</v>
      </c>
      <c r="T279" s="11">
        <v>3.0</v>
      </c>
      <c r="U279" s="11">
        <v>3.0</v>
      </c>
      <c r="V279" s="11"/>
      <c r="W279" s="11">
        <v>1.0</v>
      </c>
      <c r="X279" s="11">
        <v>1.0</v>
      </c>
      <c r="Y279" s="11">
        <v>1.0</v>
      </c>
      <c r="Z279" s="11"/>
      <c r="AA279" s="11">
        <v>1.0</v>
      </c>
      <c r="AB279" s="11">
        <v>1.0</v>
      </c>
      <c r="AC279" s="11"/>
      <c r="AD279" s="11">
        <v>1.0</v>
      </c>
      <c r="AE279" s="11"/>
      <c r="AF279" s="11"/>
    </row>
    <row r="280" ht="15.75" customHeight="1">
      <c r="A280" s="13">
        <v>277.0</v>
      </c>
      <c r="B280" s="13">
        <v>15.0</v>
      </c>
      <c r="C280" s="13" t="s">
        <v>76</v>
      </c>
      <c r="D280" s="13" t="s">
        <v>784</v>
      </c>
      <c r="E280" s="13"/>
      <c r="F280" s="13" t="s">
        <v>785</v>
      </c>
      <c r="G280" s="13" t="s">
        <v>175</v>
      </c>
      <c r="H280" s="13">
        <v>2.0</v>
      </c>
      <c r="I280" s="13">
        <v>3.0</v>
      </c>
      <c r="J280" s="35">
        <v>6.0</v>
      </c>
      <c r="K280" s="35">
        <v>38.0</v>
      </c>
      <c r="L280" s="13"/>
      <c r="M280" s="13"/>
      <c r="N280" s="13">
        <v>10.0</v>
      </c>
      <c r="O280" s="13">
        <v>4.0</v>
      </c>
      <c r="P280" s="13">
        <v>4.0</v>
      </c>
      <c r="Q280" s="13">
        <v>1.0</v>
      </c>
      <c r="R280" s="13">
        <v>5.0</v>
      </c>
      <c r="S280" s="13">
        <v>1.0</v>
      </c>
      <c r="T280" s="13">
        <v>4.0</v>
      </c>
      <c r="U280" s="13">
        <v>3.0</v>
      </c>
      <c r="V280" s="13"/>
      <c r="W280" s="13">
        <v>1.0</v>
      </c>
      <c r="X280" s="13">
        <v>1.0</v>
      </c>
      <c r="Y280" s="13">
        <v>1.0</v>
      </c>
      <c r="Z280" s="13"/>
      <c r="AA280" s="13">
        <v>1.0</v>
      </c>
      <c r="AB280" s="13">
        <v>2.0</v>
      </c>
      <c r="AC280" s="13"/>
      <c r="AD280" s="13">
        <v>1.0</v>
      </c>
      <c r="AE280" s="13">
        <v>1.0</v>
      </c>
      <c r="AF280" s="13"/>
    </row>
    <row r="281" ht="15.75" customHeight="1">
      <c r="A281" s="11">
        <v>278.0</v>
      </c>
      <c r="B281" s="11">
        <v>15.0</v>
      </c>
      <c r="C281" s="11" t="s">
        <v>76</v>
      </c>
      <c r="D281" s="11" t="s">
        <v>786</v>
      </c>
      <c r="E281" s="11"/>
      <c r="F281" s="11" t="s">
        <v>787</v>
      </c>
      <c r="G281" s="11" t="s">
        <v>175</v>
      </c>
      <c r="H281" s="11">
        <v>2.0</v>
      </c>
      <c r="I281" s="11">
        <v>4.0</v>
      </c>
      <c r="J281" s="33">
        <v>5.0</v>
      </c>
      <c r="K281" s="33">
        <v>38.0</v>
      </c>
      <c r="L281" s="11"/>
      <c r="M281" s="11"/>
      <c r="N281" s="11">
        <v>10.0</v>
      </c>
      <c r="O281" s="11">
        <v>4.0</v>
      </c>
      <c r="P281" s="11">
        <v>4.0</v>
      </c>
      <c r="Q281" s="11">
        <v>1.0</v>
      </c>
      <c r="R281" s="11">
        <v>5.0</v>
      </c>
      <c r="S281" s="11">
        <v>1.0</v>
      </c>
      <c r="T281" s="11">
        <v>4.0</v>
      </c>
      <c r="U281" s="11">
        <v>3.0</v>
      </c>
      <c r="V281" s="11"/>
      <c r="W281" s="11">
        <v>1.0</v>
      </c>
      <c r="X281" s="11">
        <v>1.0</v>
      </c>
      <c r="Y281" s="11">
        <v>1.0</v>
      </c>
      <c r="Z281" s="11"/>
      <c r="AA281" s="11">
        <v>1.0</v>
      </c>
      <c r="AB281" s="11">
        <v>2.0</v>
      </c>
      <c r="AC281" s="11"/>
      <c r="AD281" s="11">
        <v>1.0</v>
      </c>
      <c r="AE281" s="11">
        <v>1.0</v>
      </c>
      <c r="AF281" s="11"/>
    </row>
    <row r="282" ht="15.75" customHeight="1">
      <c r="A282" s="13">
        <v>279.0</v>
      </c>
      <c r="B282" s="13">
        <v>15.0</v>
      </c>
      <c r="C282" s="13" t="s">
        <v>76</v>
      </c>
      <c r="D282" s="13" t="s">
        <v>788</v>
      </c>
      <c r="E282" s="13" t="s">
        <v>789</v>
      </c>
      <c r="F282" s="13" t="s">
        <v>790</v>
      </c>
      <c r="G282" s="13" t="s">
        <v>175</v>
      </c>
      <c r="H282" s="13">
        <v>3.0</v>
      </c>
      <c r="I282" s="13">
        <v>1.0</v>
      </c>
      <c r="J282" s="35">
        <v>8.0</v>
      </c>
      <c r="K282" s="35">
        <v>38.0</v>
      </c>
      <c r="L282" s="13"/>
      <c r="M282" s="13"/>
      <c r="N282" s="13">
        <v>8.0</v>
      </c>
      <c r="O282" s="13">
        <v>2.0</v>
      </c>
      <c r="P282" s="13">
        <v>4.0</v>
      </c>
      <c r="Q282" s="13"/>
      <c r="R282" s="13">
        <v>5.0</v>
      </c>
      <c r="S282" s="13">
        <v>1.0</v>
      </c>
      <c r="T282" s="13">
        <v>4.0</v>
      </c>
      <c r="U282" s="13">
        <v>2.0</v>
      </c>
      <c r="V282" s="13"/>
      <c r="W282" s="13">
        <v>1.0</v>
      </c>
      <c r="X282" s="13">
        <v>1.0</v>
      </c>
      <c r="Y282" s="13">
        <v>1.0</v>
      </c>
      <c r="Z282" s="13"/>
      <c r="AA282" s="13">
        <v>1.0</v>
      </c>
      <c r="AB282" s="13">
        <v>2.0</v>
      </c>
      <c r="AC282" s="13"/>
      <c r="AD282" s="13">
        <v>1.0</v>
      </c>
      <c r="AE282" s="13"/>
      <c r="AF282" s="13"/>
    </row>
    <row r="283" ht="15.75" customHeight="1">
      <c r="A283" s="11">
        <v>280.0</v>
      </c>
      <c r="B283" s="11">
        <v>15.0</v>
      </c>
      <c r="C283" s="11" t="s">
        <v>76</v>
      </c>
      <c r="D283" s="11" t="s">
        <v>791</v>
      </c>
      <c r="E283" s="11"/>
      <c r="F283" s="11" t="s">
        <v>792</v>
      </c>
      <c r="G283" s="11" t="s">
        <v>175</v>
      </c>
      <c r="H283" s="11">
        <v>3.0</v>
      </c>
      <c r="I283" s="11">
        <v>2.0</v>
      </c>
      <c r="J283" s="33">
        <v>7.0</v>
      </c>
      <c r="K283" s="33">
        <v>38.0</v>
      </c>
      <c r="L283" s="11"/>
      <c r="M283" s="11"/>
      <c r="N283" s="11">
        <v>8.0</v>
      </c>
      <c r="O283" s="11">
        <v>2.0</v>
      </c>
      <c r="P283" s="11">
        <v>4.0</v>
      </c>
      <c r="Q283" s="11"/>
      <c r="R283" s="11">
        <v>5.0</v>
      </c>
      <c r="S283" s="11">
        <v>1.0</v>
      </c>
      <c r="T283" s="11">
        <v>4.0</v>
      </c>
      <c r="U283" s="11">
        <v>2.0</v>
      </c>
      <c r="V283" s="11"/>
      <c r="W283" s="11">
        <v>1.0</v>
      </c>
      <c r="X283" s="11">
        <v>1.0</v>
      </c>
      <c r="Y283" s="11">
        <v>1.0</v>
      </c>
      <c r="Z283" s="11"/>
      <c r="AA283" s="11">
        <v>1.0</v>
      </c>
      <c r="AB283" s="11">
        <v>2.0</v>
      </c>
      <c r="AC283" s="11"/>
      <c r="AD283" s="11">
        <v>1.0</v>
      </c>
      <c r="AE283" s="11"/>
      <c r="AF283" s="11"/>
    </row>
    <row r="284" ht="15.75" customHeight="1">
      <c r="A284" s="13">
        <v>281.0</v>
      </c>
      <c r="B284" s="13">
        <v>15.0</v>
      </c>
      <c r="C284" s="13" t="s">
        <v>76</v>
      </c>
      <c r="D284" s="13" t="s">
        <v>793</v>
      </c>
      <c r="E284" s="13"/>
      <c r="F284" s="13" t="s">
        <v>794</v>
      </c>
      <c r="G284" s="13" t="s">
        <v>175</v>
      </c>
      <c r="H284" s="13">
        <v>3.0</v>
      </c>
      <c r="I284" s="13">
        <v>3.0</v>
      </c>
      <c r="J284" s="35">
        <v>6.0</v>
      </c>
      <c r="K284" s="35">
        <v>38.0</v>
      </c>
      <c r="L284" s="13"/>
      <c r="M284" s="13"/>
      <c r="N284" s="13">
        <v>12.0</v>
      </c>
      <c r="O284" s="13">
        <v>3.0</v>
      </c>
      <c r="P284" s="13">
        <v>5.0</v>
      </c>
      <c r="Q284" s="13"/>
      <c r="R284" s="13">
        <v>6.0</v>
      </c>
      <c r="S284" s="13">
        <v>2.0</v>
      </c>
      <c r="T284" s="13">
        <v>5.0</v>
      </c>
      <c r="U284" s="13">
        <v>3.0</v>
      </c>
      <c r="V284" s="13"/>
      <c r="W284" s="13">
        <v>1.0</v>
      </c>
      <c r="X284" s="13">
        <v>1.0</v>
      </c>
      <c r="Y284" s="13">
        <v>1.0</v>
      </c>
      <c r="Z284" s="13"/>
      <c r="AA284" s="13">
        <v>1.0</v>
      </c>
      <c r="AB284" s="13">
        <v>2.0</v>
      </c>
      <c r="AC284" s="13"/>
      <c r="AD284" s="13">
        <v>2.0</v>
      </c>
      <c r="AE284" s="13"/>
      <c r="AF284" s="13"/>
    </row>
    <row r="285" ht="15.75" customHeight="1">
      <c r="A285" s="11">
        <v>282.0</v>
      </c>
      <c r="B285" s="11">
        <v>15.0</v>
      </c>
      <c r="C285" s="11" t="s">
        <v>76</v>
      </c>
      <c r="D285" s="11" t="s">
        <v>795</v>
      </c>
      <c r="E285" s="11"/>
      <c r="F285" s="11" t="s">
        <v>796</v>
      </c>
      <c r="G285" s="11" t="s">
        <v>175</v>
      </c>
      <c r="H285" s="11">
        <v>3.0</v>
      </c>
      <c r="I285" s="11">
        <v>4.0</v>
      </c>
      <c r="J285" s="33">
        <v>5.0</v>
      </c>
      <c r="K285" s="33">
        <v>38.0</v>
      </c>
      <c r="L285" s="11"/>
      <c r="M285" s="11"/>
      <c r="N285" s="11">
        <v>12.0</v>
      </c>
      <c r="O285" s="11">
        <v>3.0</v>
      </c>
      <c r="P285" s="11">
        <v>5.0</v>
      </c>
      <c r="Q285" s="11"/>
      <c r="R285" s="11">
        <v>6.0</v>
      </c>
      <c r="S285" s="11">
        <v>2.0</v>
      </c>
      <c r="T285" s="11">
        <v>5.0</v>
      </c>
      <c r="U285" s="11">
        <v>3.0</v>
      </c>
      <c r="V285" s="11"/>
      <c r="W285" s="11">
        <v>1.0</v>
      </c>
      <c r="X285" s="11">
        <v>1.0</v>
      </c>
      <c r="Y285" s="11">
        <v>1.0</v>
      </c>
      <c r="Z285" s="11"/>
      <c r="AA285" s="11">
        <v>1.0</v>
      </c>
      <c r="AB285" s="11">
        <v>2.0</v>
      </c>
      <c r="AC285" s="11"/>
      <c r="AD285" s="11">
        <v>2.0</v>
      </c>
      <c r="AE285" s="11"/>
      <c r="AF285" s="11"/>
    </row>
    <row r="286" ht="15.75" customHeight="1">
      <c r="A286" s="13">
        <v>283.0</v>
      </c>
      <c r="B286" s="13">
        <v>15.0</v>
      </c>
      <c r="C286" s="13" t="s">
        <v>76</v>
      </c>
      <c r="D286" s="13" t="s">
        <v>797</v>
      </c>
      <c r="E286" s="13" t="s">
        <v>798</v>
      </c>
      <c r="F286" s="13" t="s">
        <v>799</v>
      </c>
      <c r="G286" s="13" t="s">
        <v>175</v>
      </c>
      <c r="H286" s="13">
        <v>4.0</v>
      </c>
      <c r="I286" s="13">
        <v>1.0</v>
      </c>
      <c r="J286" s="35">
        <v>8.0</v>
      </c>
      <c r="K286" s="35">
        <v>38.0</v>
      </c>
      <c r="L286" s="13"/>
      <c r="M286" s="13"/>
      <c r="N286" s="13">
        <v>8.0</v>
      </c>
      <c r="O286" s="13">
        <v>3.0</v>
      </c>
      <c r="P286" s="13">
        <v>3.0</v>
      </c>
      <c r="Q286" s="13">
        <v>1.0</v>
      </c>
      <c r="R286" s="13">
        <v>3.0</v>
      </c>
      <c r="S286" s="13">
        <v>2.0</v>
      </c>
      <c r="T286" s="13">
        <v>3.0</v>
      </c>
      <c r="U286" s="13">
        <v>2.0</v>
      </c>
      <c r="V286" s="13"/>
      <c r="W286" s="13">
        <v>2.0</v>
      </c>
      <c r="X286" s="13">
        <v>2.0</v>
      </c>
      <c r="Y286" s="13">
        <v>1.0</v>
      </c>
      <c r="Z286" s="13"/>
      <c r="AA286" s="13"/>
      <c r="AB286" s="13">
        <v>1.0</v>
      </c>
      <c r="AC286" s="13"/>
      <c r="AD286" s="13">
        <v>1.0</v>
      </c>
      <c r="AE286" s="13"/>
      <c r="AF286" s="13"/>
    </row>
    <row r="287" ht="15.75" customHeight="1">
      <c r="A287" s="11">
        <v>284.0</v>
      </c>
      <c r="B287" s="11">
        <v>15.0</v>
      </c>
      <c r="C287" s="11" t="s">
        <v>76</v>
      </c>
      <c r="D287" s="11" t="s">
        <v>800</v>
      </c>
      <c r="E287" s="11"/>
      <c r="F287" s="11" t="s">
        <v>801</v>
      </c>
      <c r="G287" s="11" t="s">
        <v>175</v>
      </c>
      <c r="H287" s="11">
        <v>4.0</v>
      </c>
      <c r="I287" s="11">
        <v>2.0</v>
      </c>
      <c r="J287" s="33">
        <v>7.0</v>
      </c>
      <c r="K287" s="33">
        <v>38.0</v>
      </c>
      <c r="L287" s="11"/>
      <c r="M287" s="11"/>
      <c r="N287" s="11">
        <v>8.0</v>
      </c>
      <c r="O287" s="11">
        <v>3.0</v>
      </c>
      <c r="P287" s="11">
        <v>3.0</v>
      </c>
      <c r="Q287" s="11">
        <v>1.0</v>
      </c>
      <c r="R287" s="11">
        <v>3.0</v>
      </c>
      <c r="S287" s="11">
        <v>2.0</v>
      </c>
      <c r="T287" s="11">
        <v>3.0</v>
      </c>
      <c r="U287" s="11">
        <v>2.0</v>
      </c>
      <c r="V287" s="11"/>
      <c r="W287" s="11">
        <v>2.0</v>
      </c>
      <c r="X287" s="11">
        <v>2.0</v>
      </c>
      <c r="Y287" s="11">
        <v>1.0</v>
      </c>
      <c r="Z287" s="11"/>
      <c r="AA287" s="11"/>
      <c r="AB287" s="11">
        <v>1.0</v>
      </c>
      <c r="AC287" s="11"/>
      <c r="AD287" s="11">
        <v>1.0</v>
      </c>
      <c r="AE287" s="11"/>
      <c r="AF287" s="11"/>
    </row>
    <row r="288" ht="15.75" customHeight="1">
      <c r="A288" s="13">
        <v>285.0</v>
      </c>
      <c r="B288" s="13">
        <v>15.0</v>
      </c>
      <c r="C288" s="13" t="s">
        <v>76</v>
      </c>
      <c r="D288" s="13" t="s">
        <v>802</v>
      </c>
      <c r="E288" s="13"/>
      <c r="F288" s="13" t="s">
        <v>803</v>
      </c>
      <c r="G288" s="13" t="s">
        <v>175</v>
      </c>
      <c r="H288" s="13">
        <v>4.0</v>
      </c>
      <c r="I288" s="13">
        <v>3.0</v>
      </c>
      <c r="J288" s="35">
        <v>6.0</v>
      </c>
      <c r="K288" s="35">
        <v>38.0</v>
      </c>
      <c r="L288" s="13"/>
      <c r="M288" s="13"/>
      <c r="N288" s="13">
        <v>12.0</v>
      </c>
      <c r="O288" s="13">
        <v>4.0</v>
      </c>
      <c r="P288" s="13">
        <v>4.0</v>
      </c>
      <c r="Q288" s="13">
        <v>1.0</v>
      </c>
      <c r="R288" s="13">
        <v>4.0</v>
      </c>
      <c r="S288" s="13">
        <v>3.0</v>
      </c>
      <c r="T288" s="13">
        <v>4.0</v>
      </c>
      <c r="U288" s="13">
        <v>3.0</v>
      </c>
      <c r="V288" s="13"/>
      <c r="W288" s="13">
        <v>2.0</v>
      </c>
      <c r="X288" s="13">
        <v>2.0</v>
      </c>
      <c r="Y288" s="13">
        <v>1.0</v>
      </c>
      <c r="Z288" s="13"/>
      <c r="AA288" s="13"/>
      <c r="AB288" s="13">
        <v>2.0</v>
      </c>
      <c r="AC288" s="13"/>
      <c r="AD288" s="13">
        <v>1.0</v>
      </c>
      <c r="AE288" s="13">
        <v>1.0</v>
      </c>
      <c r="AF288" s="13"/>
    </row>
    <row r="289" ht="15.75" customHeight="1">
      <c r="A289" s="11">
        <v>286.0</v>
      </c>
      <c r="B289" s="11">
        <v>15.0</v>
      </c>
      <c r="C289" s="11" t="s">
        <v>76</v>
      </c>
      <c r="D289" s="11" t="s">
        <v>804</v>
      </c>
      <c r="E289" s="11"/>
      <c r="F289" s="11" t="s">
        <v>805</v>
      </c>
      <c r="G289" s="11" t="s">
        <v>175</v>
      </c>
      <c r="H289" s="11">
        <v>4.0</v>
      </c>
      <c r="I289" s="11">
        <v>4.0</v>
      </c>
      <c r="J289" s="33">
        <v>5.0</v>
      </c>
      <c r="K289" s="33">
        <v>38.0</v>
      </c>
      <c r="L289" s="11"/>
      <c r="M289" s="11"/>
      <c r="N289" s="11">
        <v>12.0</v>
      </c>
      <c r="O289" s="11">
        <v>4.0</v>
      </c>
      <c r="P289" s="11">
        <v>4.0</v>
      </c>
      <c r="Q289" s="11">
        <v>1.0</v>
      </c>
      <c r="R289" s="11">
        <v>4.0</v>
      </c>
      <c r="S289" s="11">
        <v>3.0</v>
      </c>
      <c r="T289" s="11">
        <v>4.0</v>
      </c>
      <c r="U289" s="11">
        <v>3.0</v>
      </c>
      <c r="V289" s="11"/>
      <c r="W289" s="11">
        <v>2.0</v>
      </c>
      <c r="X289" s="11">
        <v>2.0</v>
      </c>
      <c r="Y289" s="11">
        <v>1.0</v>
      </c>
      <c r="Z289" s="11"/>
      <c r="AA289" s="11"/>
      <c r="AB289" s="11">
        <v>2.0</v>
      </c>
      <c r="AC289" s="11"/>
      <c r="AD289" s="11">
        <v>1.0</v>
      </c>
      <c r="AE289" s="11">
        <v>1.0</v>
      </c>
      <c r="AF289" s="11"/>
    </row>
    <row r="290" ht="15.75" customHeight="1">
      <c r="A290" s="13">
        <v>287.0</v>
      </c>
      <c r="B290" s="13">
        <v>15.0</v>
      </c>
      <c r="C290" s="13" t="s">
        <v>76</v>
      </c>
      <c r="D290" s="13" t="s">
        <v>806</v>
      </c>
      <c r="E290" s="13"/>
      <c r="F290" s="13" t="s">
        <v>807</v>
      </c>
      <c r="G290" s="13" t="s">
        <v>74</v>
      </c>
      <c r="H290" s="13">
        <v>5.0</v>
      </c>
      <c r="I290" s="13">
        <v>5.0</v>
      </c>
      <c r="J290" s="35">
        <v>1.0</v>
      </c>
      <c r="K290" s="35">
        <v>192.0</v>
      </c>
      <c r="L290" s="13"/>
      <c r="M290" s="13"/>
      <c r="N290" s="13">
        <v>44.0</v>
      </c>
      <c r="O290" s="13">
        <v>8.0</v>
      </c>
      <c r="P290" s="13">
        <v>16.0</v>
      </c>
      <c r="Q290" s="13">
        <v>6.0</v>
      </c>
      <c r="R290" s="13">
        <v>8.0</v>
      </c>
      <c r="S290" s="13">
        <v>6.0</v>
      </c>
      <c r="T290" s="13">
        <v>8.0</v>
      </c>
      <c r="U290" s="13">
        <v>6.0</v>
      </c>
      <c r="V290" s="13">
        <v>1.0</v>
      </c>
      <c r="W290" s="13">
        <v>4.0</v>
      </c>
      <c r="X290" s="13">
        <v>3.0</v>
      </c>
      <c r="Y290" s="13">
        <v>2.0</v>
      </c>
      <c r="Z290" s="13"/>
      <c r="AA290" s="13">
        <v>2.0</v>
      </c>
      <c r="AB290" s="13">
        <v>4.0</v>
      </c>
      <c r="AC290" s="13"/>
      <c r="AD290" s="13">
        <v>2.0</v>
      </c>
      <c r="AE290" s="13">
        <v>1.0</v>
      </c>
      <c r="AF290" s="13"/>
    </row>
    <row r="291" ht="15.75" customHeight="1">
      <c r="A291" s="11">
        <v>288.0</v>
      </c>
      <c r="B291" s="11">
        <v>16.0</v>
      </c>
      <c r="C291" s="11" t="s">
        <v>78</v>
      </c>
      <c r="D291" s="11" t="s">
        <v>808</v>
      </c>
      <c r="E291" s="11"/>
      <c r="F291" s="11" t="s">
        <v>809</v>
      </c>
      <c r="G291" s="11" t="s">
        <v>170</v>
      </c>
      <c r="H291" s="11">
        <v>0.0</v>
      </c>
      <c r="I291" s="11">
        <v>0.0</v>
      </c>
      <c r="J291" s="33">
        <v>15.0</v>
      </c>
      <c r="K291" s="33">
        <v>200.0</v>
      </c>
      <c r="L291" s="11"/>
      <c r="M291" s="34" t="s">
        <v>810</v>
      </c>
      <c r="N291" s="11">
        <v>36.0</v>
      </c>
      <c r="O291" s="11">
        <v>10.0</v>
      </c>
      <c r="P291" s="11">
        <v>8.0</v>
      </c>
      <c r="Q291" s="11"/>
      <c r="R291" s="11">
        <v>10.0</v>
      </c>
      <c r="S291" s="11">
        <v>2.0</v>
      </c>
      <c r="T291" s="11">
        <v>4.0</v>
      </c>
      <c r="U291" s="11">
        <v>2.0</v>
      </c>
      <c r="V291" s="11"/>
      <c r="W291" s="11">
        <v>1.0</v>
      </c>
      <c r="X291" s="11">
        <v>1.0</v>
      </c>
      <c r="Y291" s="11"/>
      <c r="Z291" s="11"/>
      <c r="AA291" s="11">
        <v>1.0</v>
      </c>
      <c r="AB291" s="11"/>
      <c r="AC291" s="11"/>
      <c r="AD291" s="11"/>
      <c r="AE291" s="11">
        <v>1.0</v>
      </c>
      <c r="AF291" s="11"/>
    </row>
    <row r="292" ht="15.75" customHeight="1">
      <c r="A292" s="13">
        <v>289.0</v>
      </c>
      <c r="B292" s="13">
        <v>16.0</v>
      </c>
      <c r="C292" s="13" t="s">
        <v>78</v>
      </c>
      <c r="D292" s="13" t="s">
        <v>811</v>
      </c>
      <c r="E292" s="13" t="s">
        <v>812</v>
      </c>
      <c r="F292" s="13" t="s">
        <v>813</v>
      </c>
      <c r="G292" s="13" t="s">
        <v>175</v>
      </c>
      <c r="H292" s="13">
        <v>1.0</v>
      </c>
      <c r="I292" s="13">
        <v>1.0</v>
      </c>
      <c r="J292" s="35">
        <v>8.0</v>
      </c>
      <c r="K292" s="35">
        <v>38.0</v>
      </c>
      <c r="L292" s="13"/>
      <c r="M292" s="13"/>
      <c r="N292" s="13">
        <v>8.0</v>
      </c>
      <c r="O292" s="13">
        <v>3.0</v>
      </c>
      <c r="P292" s="13">
        <v>3.0</v>
      </c>
      <c r="Q292" s="13"/>
      <c r="R292" s="13">
        <v>7.0</v>
      </c>
      <c r="S292" s="13">
        <v>1.0</v>
      </c>
      <c r="T292" s="13">
        <v>3.0</v>
      </c>
      <c r="U292" s="13">
        <v>1.0</v>
      </c>
      <c r="V292" s="13"/>
      <c r="W292" s="13"/>
      <c r="X292" s="13">
        <v>1.0</v>
      </c>
      <c r="Y292" s="13"/>
      <c r="Z292" s="13"/>
      <c r="AA292" s="13">
        <v>1.0</v>
      </c>
      <c r="AB292" s="13"/>
      <c r="AC292" s="13"/>
      <c r="AD292" s="13"/>
      <c r="AE292" s="13">
        <v>1.0</v>
      </c>
      <c r="AF292" s="13"/>
    </row>
    <row r="293" ht="15.75" customHeight="1">
      <c r="A293" s="11">
        <v>290.0</v>
      </c>
      <c r="B293" s="11">
        <v>16.0</v>
      </c>
      <c r="C293" s="11" t="s">
        <v>78</v>
      </c>
      <c r="D293" s="11" t="s">
        <v>814</v>
      </c>
      <c r="E293" s="11"/>
      <c r="F293" s="11" t="s">
        <v>815</v>
      </c>
      <c r="G293" s="11" t="s">
        <v>175</v>
      </c>
      <c r="H293" s="11">
        <v>1.0</v>
      </c>
      <c r="I293" s="11">
        <v>2.0</v>
      </c>
      <c r="J293" s="33">
        <v>7.0</v>
      </c>
      <c r="K293" s="33">
        <v>38.0</v>
      </c>
      <c r="L293" s="11"/>
      <c r="M293" s="11"/>
      <c r="N293" s="11">
        <v>8.0</v>
      </c>
      <c r="O293" s="11">
        <v>3.0</v>
      </c>
      <c r="P293" s="11">
        <v>3.0</v>
      </c>
      <c r="Q293" s="11"/>
      <c r="R293" s="11">
        <v>7.0</v>
      </c>
      <c r="S293" s="11">
        <v>1.0</v>
      </c>
      <c r="T293" s="11">
        <v>3.0</v>
      </c>
      <c r="U293" s="11">
        <v>1.0</v>
      </c>
      <c r="V293" s="11"/>
      <c r="W293" s="11"/>
      <c r="X293" s="11">
        <v>1.0</v>
      </c>
      <c r="Y293" s="11"/>
      <c r="Z293" s="11"/>
      <c r="AA293" s="11">
        <v>1.0</v>
      </c>
      <c r="AB293" s="11"/>
      <c r="AC293" s="11"/>
      <c r="AD293" s="11"/>
      <c r="AE293" s="11">
        <v>1.0</v>
      </c>
      <c r="AF293" s="11"/>
    </row>
    <row r="294" ht="15.75" customHeight="1">
      <c r="A294" s="13">
        <v>291.0</v>
      </c>
      <c r="B294" s="13">
        <v>16.0</v>
      </c>
      <c r="C294" s="13" t="s">
        <v>78</v>
      </c>
      <c r="D294" s="13" t="s">
        <v>816</v>
      </c>
      <c r="E294" s="13"/>
      <c r="F294" s="13" t="s">
        <v>817</v>
      </c>
      <c r="G294" s="13" t="s">
        <v>175</v>
      </c>
      <c r="H294" s="13">
        <v>1.0</v>
      </c>
      <c r="I294" s="13">
        <v>3.0</v>
      </c>
      <c r="J294" s="35">
        <v>6.0</v>
      </c>
      <c r="K294" s="35">
        <v>38.0</v>
      </c>
      <c r="L294" s="13"/>
      <c r="M294" s="13"/>
      <c r="N294" s="13">
        <v>12.0</v>
      </c>
      <c r="O294" s="13">
        <v>4.0</v>
      </c>
      <c r="P294" s="13">
        <v>4.0</v>
      </c>
      <c r="Q294" s="13"/>
      <c r="R294" s="13">
        <v>8.0</v>
      </c>
      <c r="S294" s="13">
        <v>1.0</v>
      </c>
      <c r="T294" s="13">
        <v>3.0</v>
      </c>
      <c r="U294" s="13">
        <v>1.0</v>
      </c>
      <c r="V294" s="13"/>
      <c r="W294" s="13"/>
      <c r="X294" s="13">
        <v>1.0</v>
      </c>
      <c r="Y294" s="13"/>
      <c r="Z294" s="13"/>
      <c r="AA294" s="13">
        <v>1.0</v>
      </c>
      <c r="AB294" s="13">
        <v>1.0</v>
      </c>
      <c r="AC294" s="13"/>
      <c r="AD294" s="13"/>
      <c r="AE294" s="13">
        <v>1.0</v>
      </c>
      <c r="AF294" s="13"/>
    </row>
    <row r="295" ht="15.75" customHeight="1">
      <c r="A295" s="11">
        <v>292.0</v>
      </c>
      <c r="B295" s="11">
        <v>16.0</v>
      </c>
      <c r="C295" s="11" t="s">
        <v>78</v>
      </c>
      <c r="D295" s="11" t="s">
        <v>818</v>
      </c>
      <c r="E295" s="11"/>
      <c r="F295" s="11" t="s">
        <v>819</v>
      </c>
      <c r="G295" s="11" t="s">
        <v>175</v>
      </c>
      <c r="H295" s="11">
        <v>1.0</v>
      </c>
      <c r="I295" s="11">
        <v>4.0</v>
      </c>
      <c r="J295" s="33">
        <v>5.0</v>
      </c>
      <c r="K295" s="33">
        <v>38.0</v>
      </c>
      <c r="L295" s="11"/>
      <c r="M295" s="11"/>
      <c r="N295" s="11">
        <v>12.0</v>
      </c>
      <c r="O295" s="11">
        <v>4.0</v>
      </c>
      <c r="P295" s="11">
        <v>4.0</v>
      </c>
      <c r="Q295" s="11"/>
      <c r="R295" s="11">
        <v>8.0</v>
      </c>
      <c r="S295" s="11">
        <v>1.0</v>
      </c>
      <c r="T295" s="11">
        <v>3.0</v>
      </c>
      <c r="U295" s="11">
        <v>1.0</v>
      </c>
      <c r="V295" s="11"/>
      <c r="W295" s="11"/>
      <c r="X295" s="11">
        <v>1.0</v>
      </c>
      <c r="Y295" s="11"/>
      <c r="Z295" s="11"/>
      <c r="AA295" s="11">
        <v>1.0</v>
      </c>
      <c r="AB295" s="11">
        <v>1.0</v>
      </c>
      <c r="AC295" s="11"/>
      <c r="AD295" s="11"/>
      <c r="AE295" s="11">
        <v>1.0</v>
      </c>
      <c r="AF295" s="11"/>
    </row>
    <row r="296" ht="15.75" customHeight="1">
      <c r="A296" s="13">
        <v>293.0</v>
      </c>
      <c r="B296" s="13">
        <v>16.0</v>
      </c>
      <c r="C296" s="13" t="s">
        <v>78</v>
      </c>
      <c r="D296" s="13" t="s">
        <v>820</v>
      </c>
      <c r="E296" s="13" t="s">
        <v>821</v>
      </c>
      <c r="F296" s="13" t="s">
        <v>822</v>
      </c>
      <c r="G296" s="13" t="s">
        <v>175</v>
      </c>
      <c r="H296" s="13">
        <v>2.0</v>
      </c>
      <c r="I296" s="13">
        <v>1.0</v>
      </c>
      <c r="J296" s="35">
        <v>8.0</v>
      </c>
      <c r="K296" s="35">
        <v>38.0</v>
      </c>
      <c r="L296" s="13"/>
      <c r="M296" s="13"/>
      <c r="N296" s="13">
        <v>10.0</v>
      </c>
      <c r="O296" s="13">
        <v>3.0</v>
      </c>
      <c r="P296" s="13">
        <v>3.0</v>
      </c>
      <c r="Q296" s="13"/>
      <c r="R296" s="13">
        <v>8.0</v>
      </c>
      <c r="S296" s="13">
        <v>1.0</v>
      </c>
      <c r="T296" s="13">
        <v>4.0</v>
      </c>
      <c r="U296" s="13">
        <v>2.0</v>
      </c>
      <c r="V296" s="13"/>
      <c r="W296" s="13">
        <v>1.0</v>
      </c>
      <c r="X296" s="13">
        <v>1.0</v>
      </c>
      <c r="Y296" s="13"/>
      <c r="Z296" s="13"/>
      <c r="AA296" s="13"/>
      <c r="AB296" s="13">
        <v>1.0</v>
      </c>
      <c r="AC296" s="13"/>
      <c r="AD296" s="13"/>
      <c r="AE296" s="13">
        <v>1.0</v>
      </c>
      <c r="AF296" s="13"/>
    </row>
    <row r="297" ht="15.75" customHeight="1">
      <c r="A297" s="11">
        <v>294.0</v>
      </c>
      <c r="B297" s="11">
        <v>16.0</v>
      </c>
      <c r="C297" s="11" t="s">
        <v>78</v>
      </c>
      <c r="D297" s="11" t="s">
        <v>823</v>
      </c>
      <c r="E297" s="11"/>
      <c r="F297" s="11" t="s">
        <v>824</v>
      </c>
      <c r="G297" s="11" t="s">
        <v>175</v>
      </c>
      <c r="H297" s="11">
        <v>2.0</v>
      </c>
      <c r="I297" s="11">
        <v>2.0</v>
      </c>
      <c r="J297" s="33">
        <v>7.0</v>
      </c>
      <c r="K297" s="33">
        <v>38.0</v>
      </c>
      <c r="L297" s="11"/>
      <c r="M297" s="11"/>
      <c r="N297" s="11">
        <v>10.0</v>
      </c>
      <c r="O297" s="11">
        <v>3.0</v>
      </c>
      <c r="P297" s="11">
        <v>3.0</v>
      </c>
      <c r="Q297" s="11"/>
      <c r="R297" s="11">
        <v>8.0</v>
      </c>
      <c r="S297" s="11">
        <v>1.0</v>
      </c>
      <c r="T297" s="11">
        <v>4.0</v>
      </c>
      <c r="U297" s="11">
        <v>2.0</v>
      </c>
      <c r="V297" s="11"/>
      <c r="W297" s="11">
        <v>1.0</v>
      </c>
      <c r="X297" s="11">
        <v>1.0</v>
      </c>
      <c r="Y297" s="11"/>
      <c r="Z297" s="11"/>
      <c r="AA297" s="11"/>
      <c r="AB297" s="11">
        <v>1.0</v>
      </c>
      <c r="AC297" s="11"/>
      <c r="AD297" s="11"/>
      <c r="AE297" s="11">
        <v>1.0</v>
      </c>
      <c r="AF297" s="11"/>
    </row>
    <row r="298" ht="15.75" customHeight="1">
      <c r="A298" s="13">
        <v>295.0</v>
      </c>
      <c r="B298" s="13">
        <v>16.0</v>
      </c>
      <c r="C298" s="13" t="s">
        <v>78</v>
      </c>
      <c r="D298" s="13" t="s">
        <v>825</v>
      </c>
      <c r="E298" s="13"/>
      <c r="F298" s="13" t="s">
        <v>826</v>
      </c>
      <c r="G298" s="13" t="s">
        <v>175</v>
      </c>
      <c r="H298" s="13">
        <v>2.0</v>
      </c>
      <c r="I298" s="13">
        <v>3.0</v>
      </c>
      <c r="J298" s="35">
        <v>6.0</v>
      </c>
      <c r="K298" s="35">
        <v>38.0</v>
      </c>
      <c r="L298" s="13"/>
      <c r="M298" s="13"/>
      <c r="N298" s="13">
        <v>14.0</v>
      </c>
      <c r="O298" s="13">
        <v>4.0</v>
      </c>
      <c r="P298" s="13">
        <v>4.0</v>
      </c>
      <c r="Q298" s="13"/>
      <c r="R298" s="13">
        <v>9.0</v>
      </c>
      <c r="S298" s="13">
        <v>1.0</v>
      </c>
      <c r="T298" s="13">
        <v>5.0</v>
      </c>
      <c r="U298" s="13">
        <v>2.0</v>
      </c>
      <c r="V298" s="13"/>
      <c r="W298" s="13">
        <v>1.0</v>
      </c>
      <c r="X298" s="13">
        <v>1.0</v>
      </c>
      <c r="Y298" s="13"/>
      <c r="Z298" s="13"/>
      <c r="AA298" s="13"/>
      <c r="AB298" s="13">
        <v>1.0</v>
      </c>
      <c r="AC298" s="13"/>
      <c r="AD298" s="13"/>
      <c r="AE298" s="13">
        <v>1.0</v>
      </c>
      <c r="AF298" s="13"/>
    </row>
    <row r="299" ht="15.75" customHeight="1">
      <c r="A299" s="11">
        <v>296.0</v>
      </c>
      <c r="B299" s="11">
        <v>16.0</v>
      </c>
      <c r="C299" s="11" t="s">
        <v>78</v>
      </c>
      <c r="D299" s="11" t="s">
        <v>827</v>
      </c>
      <c r="E299" s="11"/>
      <c r="F299" s="11" t="s">
        <v>828</v>
      </c>
      <c r="G299" s="11" t="s">
        <v>175</v>
      </c>
      <c r="H299" s="11">
        <v>2.0</v>
      </c>
      <c r="I299" s="11">
        <v>4.0</v>
      </c>
      <c r="J299" s="33">
        <v>5.0</v>
      </c>
      <c r="K299" s="33">
        <v>38.0</v>
      </c>
      <c r="L299" s="11"/>
      <c r="M299" s="11"/>
      <c r="N299" s="11">
        <v>14.0</v>
      </c>
      <c r="O299" s="11">
        <v>4.0</v>
      </c>
      <c r="P299" s="11">
        <v>4.0</v>
      </c>
      <c r="Q299" s="11"/>
      <c r="R299" s="11">
        <v>9.0</v>
      </c>
      <c r="S299" s="11">
        <v>1.0</v>
      </c>
      <c r="T299" s="11">
        <v>5.0</v>
      </c>
      <c r="U299" s="11">
        <v>2.0</v>
      </c>
      <c r="V299" s="11"/>
      <c r="W299" s="11">
        <v>1.0</v>
      </c>
      <c r="X299" s="11">
        <v>1.0</v>
      </c>
      <c r="Y299" s="11"/>
      <c r="Z299" s="11"/>
      <c r="AA299" s="11"/>
      <c r="AB299" s="11">
        <v>1.0</v>
      </c>
      <c r="AC299" s="11"/>
      <c r="AD299" s="11"/>
      <c r="AE299" s="11">
        <v>1.0</v>
      </c>
      <c r="AF299" s="11"/>
    </row>
    <row r="300" ht="15.75" customHeight="1">
      <c r="A300" s="13">
        <v>297.0</v>
      </c>
      <c r="B300" s="13">
        <v>16.0</v>
      </c>
      <c r="C300" s="13" t="s">
        <v>78</v>
      </c>
      <c r="D300" s="13" t="s">
        <v>829</v>
      </c>
      <c r="E300" s="13" t="s">
        <v>830</v>
      </c>
      <c r="F300" s="13" t="s">
        <v>831</v>
      </c>
      <c r="G300" s="13" t="s">
        <v>175</v>
      </c>
      <c r="H300" s="13">
        <v>3.0</v>
      </c>
      <c r="I300" s="13">
        <v>1.0</v>
      </c>
      <c r="J300" s="35">
        <v>8.0</v>
      </c>
      <c r="K300" s="35">
        <v>38.0</v>
      </c>
      <c r="L300" s="13"/>
      <c r="M300" s="13"/>
      <c r="N300" s="13">
        <v>8.0</v>
      </c>
      <c r="O300" s="13">
        <v>3.0</v>
      </c>
      <c r="P300" s="13">
        <v>3.0</v>
      </c>
      <c r="Q300" s="13"/>
      <c r="R300" s="13">
        <v>7.0</v>
      </c>
      <c r="S300" s="13">
        <v>2.0</v>
      </c>
      <c r="T300" s="13">
        <v>4.0</v>
      </c>
      <c r="U300" s="13">
        <v>1.0</v>
      </c>
      <c r="V300" s="13"/>
      <c r="W300" s="13"/>
      <c r="X300" s="13">
        <v>1.0</v>
      </c>
      <c r="Y300" s="13"/>
      <c r="Z300" s="13"/>
      <c r="AA300" s="13"/>
      <c r="AB300" s="13">
        <v>1.0</v>
      </c>
      <c r="AC300" s="13"/>
      <c r="AD300" s="13"/>
      <c r="AE300" s="13">
        <v>2.0</v>
      </c>
      <c r="AF300" s="13"/>
    </row>
    <row r="301" ht="15.75" customHeight="1">
      <c r="A301" s="11">
        <v>298.0</v>
      </c>
      <c r="B301" s="11">
        <v>16.0</v>
      </c>
      <c r="C301" s="11" t="s">
        <v>78</v>
      </c>
      <c r="D301" s="11" t="s">
        <v>832</v>
      </c>
      <c r="E301" s="11"/>
      <c r="F301" s="11" t="s">
        <v>833</v>
      </c>
      <c r="G301" s="11" t="s">
        <v>175</v>
      </c>
      <c r="H301" s="11">
        <v>3.0</v>
      </c>
      <c r="I301" s="11">
        <v>2.0</v>
      </c>
      <c r="J301" s="33">
        <v>7.0</v>
      </c>
      <c r="K301" s="33">
        <v>38.0</v>
      </c>
      <c r="L301" s="11"/>
      <c r="M301" s="11"/>
      <c r="N301" s="11">
        <v>8.0</v>
      </c>
      <c r="O301" s="11">
        <v>3.0</v>
      </c>
      <c r="P301" s="11">
        <v>3.0</v>
      </c>
      <c r="Q301" s="11"/>
      <c r="R301" s="11">
        <v>7.0</v>
      </c>
      <c r="S301" s="11">
        <v>2.0</v>
      </c>
      <c r="T301" s="11">
        <v>4.0</v>
      </c>
      <c r="U301" s="11">
        <v>1.0</v>
      </c>
      <c r="V301" s="11"/>
      <c r="W301" s="11"/>
      <c r="X301" s="11">
        <v>1.0</v>
      </c>
      <c r="Y301" s="11"/>
      <c r="Z301" s="11"/>
      <c r="AA301" s="11"/>
      <c r="AB301" s="11">
        <v>1.0</v>
      </c>
      <c r="AC301" s="11"/>
      <c r="AD301" s="11"/>
      <c r="AE301" s="11">
        <v>2.0</v>
      </c>
      <c r="AF301" s="11"/>
    </row>
    <row r="302" ht="15.75" customHeight="1">
      <c r="A302" s="13">
        <v>299.0</v>
      </c>
      <c r="B302" s="13">
        <v>16.0</v>
      </c>
      <c r="C302" s="13" t="s">
        <v>78</v>
      </c>
      <c r="D302" s="13" t="s">
        <v>834</v>
      </c>
      <c r="E302" s="13"/>
      <c r="F302" s="13" t="s">
        <v>835</v>
      </c>
      <c r="G302" s="13" t="s">
        <v>175</v>
      </c>
      <c r="H302" s="13">
        <v>3.0</v>
      </c>
      <c r="I302" s="13">
        <v>3.0</v>
      </c>
      <c r="J302" s="35">
        <v>6.0</v>
      </c>
      <c r="K302" s="35">
        <v>38.0</v>
      </c>
      <c r="L302" s="13"/>
      <c r="M302" s="13"/>
      <c r="N302" s="13">
        <v>12.0</v>
      </c>
      <c r="O302" s="13">
        <v>4.0</v>
      </c>
      <c r="P302" s="13">
        <v>4.0</v>
      </c>
      <c r="Q302" s="13"/>
      <c r="R302" s="13">
        <v>8.0</v>
      </c>
      <c r="S302" s="13">
        <v>2.0</v>
      </c>
      <c r="T302" s="13">
        <v>5.0</v>
      </c>
      <c r="U302" s="13">
        <v>1.0</v>
      </c>
      <c r="V302" s="13"/>
      <c r="W302" s="13"/>
      <c r="X302" s="13">
        <v>1.0</v>
      </c>
      <c r="Y302" s="13"/>
      <c r="Z302" s="13"/>
      <c r="AA302" s="13"/>
      <c r="AB302" s="13">
        <v>1.0</v>
      </c>
      <c r="AC302" s="13"/>
      <c r="AD302" s="13"/>
      <c r="AE302" s="13">
        <v>2.0</v>
      </c>
      <c r="AF302" s="13"/>
    </row>
    <row r="303" ht="15.75" customHeight="1">
      <c r="A303" s="11">
        <v>300.0</v>
      </c>
      <c r="B303" s="11">
        <v>16.0</v>
      </c>
      <c r="C303" s="11" t="s">
        <v>78</v>
      </c>
      <c r="D303" s="11" t="s">
        <v>836</v>
      </c>
      <c r="E303" s="11"/>
      <c r="F303" s="11" t="s">
        <v>837</v>
      </c>
      <c r="G303" s="11" t="s">
        <v>175</v>
      </c>
      <c r="H303" s="11">
        <v>3.0</v>
      </c>
      <c r="I303" s="11">
        <v>4.0</v>
      </c>
      <c r="J303" s="33">
        <v>5.0</v>
      </c>
      <c r="K303" s="33">
        <v>38.0</v>
      </c>
      <c r="L303" s="11"/>
      <c r="M303" s="11"/>
      <c r="N303" s="11">
        <v>12.0</v>
      </c>
      <c r="O303" s="11">
        <v>4.0</v>
      </c>
      <c r="P303" s="11">
        <v>4.0</v>
      </c>
      <c r="Q303" s="11"/>
      <c r="R303" s="11">
        <v>8.0</v>
      </c>
      <c r="S303" s="11">
        <v>2.0</v>
      </c>
      <c r="T303" s="11">
        <v>5.0</v>
      </c>
      <c r="U303" s="11">
        <v>1.0</v>
      </c>
      <c r="V303" s="11"/>
      <c r="W303" s="11"/>
      <c r="X303" s="11">
        <v>1.0</v>
      </c>
      <c r="Y303" s="11"/>
      <c r="Z303" s="11"/>
      <c r="AA303" s="11"/>
      <c r="AB303" s="11">
        <v>1.0</v>
      </c>
      <c r="AC303" s="11"/>
      <c r="AD303" s="11"/>
      <c r="AE303" s="11">
        <v>2.0</v>
      </c>
      <c r="AF303" s="11"/>
    </row>
    <row r="304" ht="15.75" customHeight="1">
      <c r="A304" s="13">
        <v>301.0</v>
      </c>
      <c r="B304" s="13">
        <v>16.0</v>
      </c>
      <c r="C304" s="13" t="s">
        <v>78</v>
      </c>
      <c r="D304" s="13" t="s">
        <v>838</v>
      </c>
      <c r="E304" s="13" t="s">
        <v>839</v>
      </c>
      <c r="F304" s="13" t="s">
        <v>840</v>
      </c>
      <c r="G304" s="13" t="s">
        <v>175</v>
      </c>
      <c r="H304" s="13">
        <v>4.0</v>
      </c>
      <c r="I304" s="13">
        <v>1.0</v>
      </c>
      <c r="J304" s="35">
        <v>8.0</v>
      </c>
      <c r="K304" s="35">
        <v>38.0</v>
      </c>
      <c r="L304" s="13"/>
      <c r="M304" s="13"/>
      <c r="N304" s="13">
        <v>8.0</v>
      </c>
      <c r="O304" s="13">
        <v>3.0</v>
      </c>
      <c r="P304" s="13">
        <v>3.0</v>
      </c>
      <c r="Q304" s="13"/>
      <c r="R304" s="13">
        <v>6.0</v>
      </c>
      <c r="S304" s="13">
        <v>1.0</v>
      </c>
      <c r="T304" s="13">
        <v>3.0</v>
      </c>
      <c r="U304" s="13">
        <v>2.0</v>
      </c>
      <c r="V304" s="13"/>
      <c r="W304" s="13">
        <v>1.0</v>
      </c>
      <c r="X304" s="13">
        <v>1.0</v>
      </c>
      <c r="Y304" s="13">
        <v>1.0</v>
      </c>
      <c r="Z304" s="13"/>
      <c r="AA304" s="13">
        <v>1.0</v>
      </c>
      <c r="AB304" s="13">
        <v>1.0</v>
      </c>
      <c r="AC304" s="13"/>
      <c r="AD304" s="13"/>
      <c r="AE304" s="13">
        <v>1.0</v>
      </c>
      <c r="AF304" s="13"/>
    </row>
    <row r="305" ht="15.75" customHeight="1">
      <c r="A305" s="11">
        <v>302.0</v>
      </c>
      <c r="B305" s="11">
        <v>16.0</v>
      </c>
      <c r="C305" s="11" t="s">
        <v>78</v>
      </c>
      <c r="D305" s="11" t="s">
        <v>841</v>
      </c>
      <c r="E305" s="11"/>
      <c r="F305" s="11" t="s">
        <v>842</v>
      </c>
      <c r="G305" s="11" t="s">
        <v>175</v>
      </c>
      <c r="H305" s="11">
        <v>4.0</v>
      </c>
      <c r="I305" s="11">
        <v>2.0</v>
      </c>
      <c r="J305" s="33">
        <v>7.0</v>
      </c>
      <c r="K305" s="33">
        <v>38.0</v>
      </c>
      <c r="L305" s="11"/>
      <c r="M305" s="11"/>
      <c r="N305" s="11">
        <v>8.0</v>
      </c>
      <c r="O305" s="11">
        <v>3.0</v>
      </c>
      <c r="P305" s="11">
        <v>3.0</v>
      </c>
      <c r="Q305" s="11"/>
      <c r="R305" s="11">
        <v>6.0</v>
      </c>
      <c r="S305" s="11">
        <v>1.0</v>
      </c>
      <c r="T305" s="11">
        <v>3.0</v>
      </c>
      <c r="U305" s="11">
        <v>2.0</v>
      </c>
      <c r="V305" s="11"/>
      <c r="W305" s="11">
        <v>1.0</v>
      </c>
      <c r="X305" s="11">
        <v>1.0</v>
      </c>
      <c r="Y305" s="11">
        <v>1.0</v>
      </c>
      <c r="Z305" s="11"/>
      <c r="AA305" s="11">
        <v>1.0</v>
      </c>
      <c r="AB305" s="11">
        <v>1.0</v>
      </c>
      <c r="AC305" s="11"/>
      <c r="AD305" s="11"/>
      <c r="AE305" s="11">
        <v>1.0</v>
      </c>
      <c r="AF305" s="11"/>
    </row>
    <row r="306" ht="15.75" customHeight="1">
      <c r="A306" s="13">
        <v>303.0</v>
      </c>
      <c r="B306" s="13">
        <v>16.0</v>
      </c>
      <c r="C306" s="13" t="s">
        <v>78</v>
      </c>
      <c r="D306" s="13" t="s">
        <v>843</v>
      </c>
      <c r="E306" s="13"/>
      <c r="F306" s="13" t="s">
        <v>844</v>
      </c>
      <c r="G306" s="13" t="s">
        <v>175</v>
      </c>
      <c r="H306" s="13">
        <v>4.0</v>
      </c>
      <c r="I306" s="13">
        <v>3.0</v>
      </c>
      <c r="J306" s="35">
        <v>6.0</v>
      </c>
      <c r="K306" s="35">
        <v>38.0</v>
      </c>
      <c r="L306" s="13"/>
      <c r="M306" s="13"/>
      <c r="N306" s="13">
        <v>12.0</v>
      </c>
      <c r="O306" s="13">
        <v>4.0</v>
      </c>
      <c r="P306" s="13">
        <v>4.0</v>
      </c>
      <c r="Q306" s="13"/>
      <c r="R306" s="13">
        <v>7.0</v>
      </c>
      <c r="S306" s="13">
        <v>1.0</v>
      </c>
      <c r="T306" s="13">
        <v>4.0</v>
      </c>
      <c r="U306" s="13">
        <v>2.0</v>
      </c>
      <c r="V306" s="13"/>
      <c r="W306" s="13">
        <v>1.0</v>
      </c>
      <c r="X306" s="13">
        <v>1.0</v>
      </c>
      <c r="Y306" s="13">
        <v>1.0</v>
      </c>
      <c r="Z306" s="13"/>
      <c r="AA306" s="13">
        <v>1.0</v>
      </c>
      <c r="AB306" s="13">
        <v>1.0</v>
      </c>
      <c r="AC306" s="13"/>
      <c r="AD306" s="13"/>
      <c r="AE306" s="13">
        <v>2.0</v>
      </c>
      <c r="AF306" s="13"/>
    </row>
    <row r="307" ht="15.75" customHeight="1">
      <c r="A307" s="11">
        <v>304.0</v>
      </c>
      <c r="B307" s="11">
        <v>16.0</v>
      </c>
      <c r="C307" s="11" t="s">
        <v>78</v>
      </c>
      <c r="D307" s="11" t="s">
        <v>845</v>
      </c>
      <c r="E307" s="11"/>
      <c r="F307" s="11" t="s">
        <v>846</v>
      </c>
      <c r="G307" s="11" t="s">
        <v>175</v>
      </c>
      <c r="H307" s="11">
        <v>4.0</v>
      </c>
      <c r="I307" s="11">
        <v>4.0</v>
      </c>
      <c r="J307" s="33">
        <v>5.0</v>
      </c>
      <c r="K307" s="33">
        <v>38.0</v>
      </c>
      <c r="L307" s="11"/>
      <c r="M307" s="11"/>
      <c r="N307" s="11">
        <v>12.0</v>
      </c>
      <c r="O307" s="11">
        <v>4.0</v>
      </c>
      <c r="P307" s="11">
        <v>4.0</v>
      </c>
      <c r="Q307" s="11"/>
      <c r="R307" s="11">
        <v>7.0</v>
      </c>
      <c r="S307" s="11">
        <v>1.0</v>
      </c>
      <c r="T307" s="11">
        <v>4.0</v>
      </c>
      <c r="U307" s="11">
        <v>2.0</v>
      </c>
      <c r="V307" s="11"/>
      <c r="W307" s="11">
        <v>1.0</v>
      </c>
      <c r="X307" s="11">
        <v>1.0</v>
      </c>
      <c r="Y307" s="11">
        <v>1.0</v>
      </c>
      <c r="Z307" s="11"/>
      <c r="AA307" s="11">
        <v>1.0</v>
      </c>
      <c r="AB307" s="11">
        <v>1.0</v>
      </c>
      <c r="AC307" s="11"/>
      <c r="AD307" s="11"/>
      <c r="AE307" s="11">
        <v>2.0</v>
      </c>
      <c r="AF307" s="11"/>
    </row>
    <row r="308" ht="15.75" customHeight="1">
      <c r="A308" s="13">
        <v>305.0</v>
      </c>
      <c r="B308" s="13">
        <v>16.0</v>
      </c>
      <c r="C308" s="13" t="s">
        <v>78</v>
      </c>
      <c r="D308" s="13" t="s">
        <v>847</v>
      </c>
      <c r="E308" s="13"/>
      <c r="F308" s="13" t="s">
        <v>848</v>
      </c>
      <c r="G308" s="13" t="s">
        <v>74</v>
      </c>
      <c r="H308" s="13">
        <v>5.0</v>
      </c>
      <c r="I308" s="13">
        <v>5.0</v>
      </c>
      <c r="J308" s="35">
        <v>1.0</v>
      </c>
      <c r="K308" s="35">
        <v>192.0</v>
      </c>
      <c r="L308" s="13"/>
      <c r="M308" s="13"/>
      <c r="N308" s="13">
        <v>52.0</v>
      </c>
      <c r="O308" s="13">
        <v>12.0</v>
      </c>
      <c r="P308" s="13">
        <v>10.0</v>
      </c>
      <c r="Q308" s="13"/>
      <c r="R308" s="13">
        <v>14.0</v>
      </c>
      <c r="S308" s="13">
        <v>3.0</v>
      </c>
      <c r="T308" s="13">
        <v>6.0</v>
      </c>
      <c r="U308" s="13">
        <v>3.0</v>
      </c>
      <c r="V308" s="13"/>
      <c r="W308" s="13">
        <v>2.0</v>
      </c>
      <c r="X308" s="13">
        <v>2.0</v>
      </c>
      <c r="Y308" s="13">
        <v>1.0</v>
      </c>
      <c r="Z308" s="13"/>
      <c r="AA308" s="13">
        <v>2.0</v>
      </c>
      <c r="AB308" s="13">
        <v>1.0</v>
      </c>
      <c r="AC308" s="13"/>
      <c r="AD308" s="13"/>
      <c r="AE308" s="13">
        <v>3.0</v>
      </c>
      <c r="AF308" s="13"/>
    </row>
    <row r="309" ht="15.75" customHeight="1">
      <c r="A309" s="11">
        <v>306.0</v>
      </c>
      <c r="B309" s="11">
        <v>17.0</v>
      </c>
      <c r="C309" s="11" t="s">
        <v>80</v>
      </c>
      <c r="D309" s="11" t="s">
        <v>849</v>
      </c>
      <c r="E309" s="11"/>
      <c r="F309" s="11" t="s">
        <v>850</v>
      </c>
      <c r="G309" s="11" t="s">
        <v>170</v>
      </c>
      <c r="H309" s="11">
        <v>0.0</v>
      </c>
      <c r="I309" s="11">
        <v>0.0</v>
      </c>
      <c r="J309" s="33">
        <v>15.0</v>
      </c>
      <c r="K309" s="33">
        <v>200.0</v>
      </c>
      <c r="L309" s="11"/>
      <c r="M309" s="34" t="s">
        <v>851</v>
      </c>
      <c r="N309" s="11">
        <v>34.0</v>
      </c>
      <c r="O309" s="11">
        <v>8.0</v>
      </c>
      <c r="P309" s="11">
        <v>8.0</v>
      </c>
      <c r="Q309" s="11">
        <v>10.0</v>
      </c>
      <c r="R309" s="11">
        <v>7.0</v>
      </c>
      <c r="S309" s="11">
        <v>4.0</v>
      </c>
      <c r="T309" s="11">
        <v>5.0</v>
      </c>
      <c r="U309" s="11">
        <v>4.0</v>
      </c>
      <c r="V309" s="11">
        <v>6.0</v>
      </c>
      <c r="W309" s="11">
        <v>4.0</v>
      </c>
      <c r="X309" s="11">
        <v>4.0</v>
      </c>
      <c r="Y309" s="11">
        <v>3.0</v>
      </c>
      <c r="Z309" s="11">
        <v>1.0</v>
      </c>
      <c r="AA309" s="11">
        <v>1.0</v>
      </c>
      <c r="AB309" s="11">
        <v>1.0</v>
      </c>
      <c r="AC309" s="11"/>
      <c r="AD309" s="11"/>
      <c r="AE309" s="11">
        <v>5.0</v>
      </c>
      <c r="AF309" s="11"/>
    </row>
    <row r="310" ht="15.75" customHeight="1">
      <c r="A310" s="13">
        <v>307.0</v>
      </c>
      <c r="B310" s="13">
        <v>17.0</v>
      </c>
      <c r="C310" s="13" t="s">
        <v>80</v>
      </c>
      <c r="D310" s="13" t="s">
        <v>852</v>
      </c>
      <c r="E310" s="13" t="s">
        <v>853</v>
      </c>
      <c r="F310" s="13" t="s">
        <v>854</v>
      </c>
      <c r="G310" s="13" t="s">
        <v>175</v>
      </c>
      <c r="H310" s="13">
        <v>1.0</v>
      </c>
      <c r="I310" s="13">
        <v>1.0</v>
      </c>
      <c r="J310" s="35">
        <v>8.0</v>
      </c>
      <c r="K310" s="35">
        <v>38.0</v>
      </c>
      <c r="L310" s="13"/>
      <c r="M310" s="13"/>
      <c r="N310" s="13">
        <v>6.0</v>
      </c>
      <c r="O310" s="13">
        <v>2.0</v>
      </c>
      <c r="P310" s="13"/>
      <c r="Q310" s="13">
        <v>6.0</v>
      </c>
      <c r="R310" s="13">
        <v>2.0</v>
      </c>
      <c r="S310" s="13"/>
      <c r="T310" s="13">
        <v>1.0</v>
      </c>
      <c r="U310" s="13">
        <v>1.0</v>
      </c>
      <c r="V310" s="13">
        <v>4.0</v>
      </c>
      <c r="W310" s="13">
        <v>2.0</v>
      </c>
      <c r="X310" s="13">
        <v>2.0</v>
      </c>
      <c r="Y310" s="13">
        <v>1.0</v>
      </c>
      <c r="Z310" s="13"/>
      <c r="AA310" s="13">
        <v>1.0</v>
      </c>
      <c r="AB310" s="13">
        <v>1.0</v>
      </c>
      <c r="AC310" s="13"/>
      <c r="AD310" s="13"/>
      <c r="AE310" s="13">
        <v>3.0</v>
      </c>
      <c r="AF310" s="13"/>
    </row>
    <row r="311" ht="15.75" customHeight="1">
      <c r="A311" s="11">
        <v>308.0</v>
      </c>
      <c r="B311" s="11">
        <v>17.0</v>
      </c>
      <c r="C311" s="11" t="s">
        <v>80</v>
      </c>
      <c r="D311" s="11" t="s">
        <v>855</v>
      </c>
      <c r="E311" s="11"/>
      <c r="F311" s="11" t="s">
        <v>856</v>
      </c>
      <c r="G311" s="11" t="s">
        <v>175</v>
      </c>
      <c r="H311" s="11">
        <v>1.0</v>
      </c>
      <c r="I311" s="11">
        <v>2.0</v>
      </c>
      <c r="J311" s="33">
        <v>7.0</v>
      </c>
      <c r="K311" s="33">
        <v>38.0</v>
      </c>
      <c r="L311" s="11"/>
      <c r="M311" s="11"/>
      <c r="N311" s="11">
        <v>6.0</v>
      </c>
      <c r="O311" s="11">
        <v>2.0</v>
      </c>
      <c r="P311" s="11"/>
      <c r="Q311" s="11">
        <v>6.0</v>
      </c>
      <c r="R311" s="11">
        <v>2.0</v>
      </c>
      <c r="S311" s="11"/>
      <c r="T311" s="11">
        <v>1.0</v>
      </c>
      <c r="U311" s="11">
        <v>1.0</v>
      </c>
      <c r="V311" s="11">
        <v>4.0</v>
      </c>
      <c r="W311" s="11">
        <v>2.0</v>
      </c>
      <c r="X311" s="11">
        <v>2.0</v>
      </c>
      <c r="Y311" s="11">
        <v>1.0</v>
      </c>
      <c r="Z311" s="11"/>
      <c r="AA311" s="11">
        <v>1.0</v>
      </c>
      <c r="AB311" s="11">
        <v>1.0</v>
      </c>
      <c r="AC311" s="11"/>
      <c r="AD311" s="11"/>
      <c r="AE311" s="11">
        <v>3.0</v>
      </c>
      <c r="AF311" s="11"/>
    </row>
    <row r="312" ht="15.75" customHeight="1">
      <c r="A312" s="13">
        <v>309.0</v>
      </c>
      <c r="B312" s="13">
        <v>17.0</v>
      </c>
      <c r="C312" s="13" t="s">
        <v>80</v>
      </c>
      <c r="D312" s="13" t="s">
        <v>857</v>
      </c>
      <c r="E312" s="13"/>
      <c r="F312" s="13" t="s">
        <v>858</v>
      </c>
      <c r="G312" s="13" t="s">
        <v>175</v>
      </c>
      <c r="H312" s="13">
        <v>1.0</v>
      </c>
      <c r="I312" s="13">
        <v>3.0</v>
      </c>
      <c r="J312" s="35">
        <v>6.0</v>
      </c>
      <c r="K312" s="35">
        <v>38.0</v>
      </c>
      <c r="L312" s="13"/>
      <c r="M312" s="13"/>
      <c r="N312" s="13">
        <v>10.0</v>
      </c>
      <c r="O312" s="13">
        <v>3.0</v>
      </c>
      <c r="P312" s="13"/>
      <c r="Q312" s="13">
        <v>7.0</v>
      </c>
      <c r="R312" s="13">
        <v>2.0</v>
      </c>
      <c r="S312" s="13"/>
      <c r="T312" s="13">
        <v>1.0</v>
      </c>
      <c r="U312" s="13">
        <v>1.0</v>
      </c>
      <c r="V312" s="13">
        <v>5.0</v>
      </c>
      <c r="W312" s="13">
        <v>2.0</v>
      </c>
      <c r="X312" s="13">
        <v>3.0</v>
      </c>
      <c r="Y312" s="13">
        <v>1.0</v>
      </c>
      <c r="Z312" s="13"/>
      <c r="AA312" s="13">
        <v>1.0</v>
      </c>
      <c r="AB312" s="13">
        <v>1.0</v>
      </c>
      <c r="AC312" s="13"/>
      <c r="AD312" s="13"/>
      <c r="AE312" s="13">
        <v>4.0</v>
      </c>
      <c r="AF312" s="13"/>
    </row>
    <row r="313" ht="15.75" customHeight="1">
      <c r="A313" s="11">
        <v>310.0</v>
      </c>
      <c r="B313" s="11">
        <v>17.0</v>
      </c>
      <c r="C313" s="11" t="s">
        <v>80</v>
      </c>
      <c r="D313" s="11" t="s">
        <v>859</v>
      </c>
      <c r="E313" s="11"/>
      <c r="F313" s="11" t="s">
        <v>860</v>
      </c>
      <c r="G313" s="11" t="s">
        <v>175</v>
      </c>
      <c r="H313" s="11">
        <v>1.0</v>
      </c>
      <c r="I313" s="11">
        <v>4.0</v>
      </c>
      <c r="J313" s="33">
        <v>5.0</v>
      </c>
      <c r="K313" s="33">
        <v>38.0</v>
      </c>
      <c r="L313" s="11"/>
      <c r="M313" s="11"/>
      <c r="N313" s="11">
        <v>10.0</v>
      </c>
      <c r="O313" s="11">
        <v>3.0</v>
      </c>
      <c r="P313" s="11"/>
      <c r="Q313" s="11">
        <v>7.0</v>
      </c>
      <c r="R313" s="11">
        <v>2.0</v>
      </c>
      <c r="S313" s="11"/>
      <c r="T313" s="11">
        <v>1.0</v>
      </c>
      <c r="U313" s="11">
        <v>1.0</v>
      </c>
      <c r="V313" s="11">
        <v>5.0</v>
      </c>
      <c r="W313" s="11">
        <v>2.0</v>
      </c>
      <c r="X313" s="11">
        <v>3.0</v>
      </c>
      <c r="Y313" s="11">
        <v>1.0</v>
      </c>
      <c r="Z313" s="11"/>
      <c r="AA313" s="11">
        <v>1.0</v>
      </c>
      <c r="AB313" s="11">
        <v>1.0</v>
      </c>
      <c r="AC313" s="11"/>
      <c r="AD313" s="11"/>
      <c r="AE313" s="11">
        <v>4.0</v>
      </c>
      <c r="AF313" s="11"/>
    </row>
    <row r="314" ht="15.75" customHeight="1">
      <c r="A314" s="13">
        <v>311.0</v>
      </c>
      <c r="B314" s="13">
        <v>17.0</v>
      </c>
      <c r="C314" s="13" t="s">
        <v>80</v>
      </c>
      <c r="D314" s="13" t="s">
        <v>861</v>
      </c>
      <c r="E314" s="13" t="s">
        <v>862</v>
      </c>
      <c r="F314" s="13" t="s">
        <v>863</v>
      </c>
      <c r="G314" s="13" t="s">
        <v>175</v>
      </c>
      <c r="H314" s="13">
        <v>2.0</v>
      </c>
      <c r="I314" s="13">
        <v>1.0</v>
      </c>
      <c r="J314" s="35">
        <v>8.0</v>
      </c>
      <c r="K314" s="35">
        <v>38.0</v>
      </c>
      <c r="L314" s="13"/>
      <c r="M314" s="13"/>
      <c r="N314" s="13">
        <v>8.0</v>
      </c>
      <c r="O314" s="13">
        <v>3.0</v>
      </c>
      <c r="P314" s="13">
        <v>3.0</v>
      </c>
      <c r="Q314" s="13">
        <v>2.0</v>
      </c>
      <c r="R314" s="13">
        <v>4.0</v>
      </c>
      <c r="S314" s="13">
        <v>1.0</v>
      </c>
      <c r="T314" s="13">
        <v>2.0</v>
      </c>
      <c r="U314" s="13">
        <v>1.0</v>
      </c>
      <c r="V314" s="13">
        <v>2.0</v>
      </c>
      <c r="W314" s="13">
        <v>1.0</v>
      </c>
      <c r="X314" s="13">
        <v>1.0</v>
      </c>
      <c r="Y314" s="13">
        <v>1.0</v>
      </c>
      <c r="Z314" s="13"/>
      <c r="AA314" s="13"/>
      <c r="AB314" s="13">
        <v>1.0</v>
      </c>
      <c r="AC314" s="13"/>
      <c r="AD314" s="13"/>
      <c r="AE314" s="13">
        <v>2.0</v>
      </c>
      <c r="AF314" s="13"/>
    </row>
    <row r="315" ht="15.75" customHeight="1">
      <c r="A315" s="11">
        <v>312.0</v>
      </c>
      <c r="B315" s="11">
        <v>17.0</v>
      </c>
      <c r="C315" s="11" t="s">
        <v>80</v>
      </c>
      <c r="D315" s="11" t="s">
        <v>864</v>
      </c>
      <c r="E315" s="11"/>
      <c r="F315" s="11" t="s">
        <v>865</v>
      </c>
      <c r="G315" s="11" t="s">
        <v>175</v>
      </c>
      <c r="H315" s="11">
        <v>2.0</v>
      </c>
      <c r="I315" s="11">
        <v>2.0</v>
      </c>
      <c r="J315" s="33">
        <v>7.0</v>
      </c>
      <c r="K315" s="33">
        <v>38.0</v>
      </c>
      <c r="L315" s="11"/>
      <c r="M315" s="11"/>
      <c r="N315" s="11">
        <v>8.0</v>
      </c>
      <c r="O315" s="11">
        <v>3.0</v>
      </c>
      <c r="P315" s="11">
        <v>3.0</v>
      </c>
      <c r="Q315" s="11">
        <v>2.0</v>
      </c>
      <c r="R315" s="11">
        <v>4.0</v>
      </c>
      <c r="S315" s="11">
        <v>1.0</v>
      </c>
      <c r="T315" s="11">
        <v>2.0</v>
      </c>
      <c r="U315" s="11">
        <v>1.0</v>
      </c>
      <c r="V315" s="11">
        <v>2.0</v>
      </c>
      <c r="W315" s="11">
        <v>1.0</v>
      </c>
      <c r="X315" s="11">
        <v>1.0</v>
      </c>
      <c r="Y315" s="11">
        <v>1.0</v>
      </c>
      <c r="Z315" s="11"/>
      <c r="AA315" s="11"/>
      <c r="AB315" s="11">
        <v>1.0</v>
      </c>
      <c r="AC315" s="11"/>
      <c r="AD315" s="11"/>
      <c r="AE315" s="11">
        <v>2.0</v>
      </c>
      <c r="AF315" s="11"/>
    </row>
    <row r="316" ht="15.75" customHeight="1">
      <c r="A316" s="13">
        <v>313.0</v>
      </c>
      <c r="B316" s="13">
        <v>17.0</v>
      </c>
      <c r="C316" s="13" t="s">
        <v>80</v>
      </c>
      <c r="D316" s="13" t="s">
        <v>866</v>
      </c>
      <c r="E316" s="13"/>
      <c r="F316" s="13" t="s">
        <v>867</v>
      </c>
      <c r="G316" s="13" t="s">
        <v>175</v>
      </c>
      <c r="H316" s="13">
        <v>2.0</v>
      </c>
      <c r="I316" s="13">
        <v>3.0</v>
      </c>
      <c r="J316" s="35">
        <v>6.0</v>
      </c>
      <c r="K316" s="35">
        <v>38.0</v>
      </c>
      <c r="L316" s="13"/>
      <c r="M316" s="13"/>
      <c r="N316" s="13">
        <v>12.0</v>
      </c>
      <c r="O316" s="13">
        <v>4.0</v>
      </c>
      <c r="P316" s="13">
        <v>4.0</v>
      </c>
      <c r="Q316" s="13">
        <v>2.0</v>
      </c>
      <c r="R316" s="13">
        <v>5.0</v>
      </c>
      <c r="S316" s="13">
        <v>1.0</v>
      </c>
      <c r="T316" s="13">
        <v>3.0</v>
      </c>
      <c r="U316" s="13">
        <v>1.0</v>
      </c>
      <c r="V316" s="13">
        <v>2.0</v>
      </c>
      <c r="W316" s="13">
        <v>1.0</v>
      </c>
      <c r="X316" s="13">
        <v>1.0</v>
      </c>
      <c r="Y316" s="13">
        <v>1.0</v>
      </c>
      <c r="Z316" s="13"/>
      <c r="AA316" s="13"/>
      <c r="AB316" s="13">
        <v>1.0</v>
      </c>
      <c r="AC316" s="13"/>
      <c r="AD316" s="13"/>
      <c r="AE316" s="13">
        <v>3.0</v>
      </c>
      <c r="AF316" s="13"/>
    </row>
    <row r="317" ht="15.75" customHeight="1">
      <c r="A317" s="11">
        <v>314.0</v>
      </c>
      <c r="B317" s="11">
        <v>17.0</v>
      </c>
      <c r="C317" s="11" t="s">
        <v>80</v>
      </c>
      <c r="D317" s="11" t="s">
        <v>868</v>
      </c>
      <c r="E317" s="11"/>
      <c r="F317" s="11" t="s">
        <v>869</v>
      </c>
      <c r="G317" s="11" t="s">
        <v>175</v>
      </c>
      <c r="H317" s="11">
        <v>2.0</v>
      </c>
      <c r="I317" s="11">
        <v>4.0</v>
      </c>
      <c r="J317" s="33">
        <v>5.0</v>
      </c>
      <c r="K317" s="33">
        <v>38.0</v>
      </c>
      <c r="L317" s="11"/>
      <c r="M317" s="11"/>
      <c r="N317" s="11">
        <v>12.0</v>
      </c>
      <c r="O317" s="11">
        <v>4.0</v>
      </c>
      <c r="P317" s="11">
        <v>4.0</v>
      </c>
      <c r="Q317" s="11">
        <v>2.0</v>
      </c>
      <c r="R317" s="11">
        <v>5.0</v>
      </c>
      <c r="S317" s="11">
        <v>1.0</v>
      </c>
      <c r="T317" s="11">
        <v>3.0</v>
      </c>
      <c r="U317" s="11">
        <v>1.0</v>
      </c>
      <c r="V317" s="11">
        <v>2.0</v>
      </c>
      <c r="W317" s="11">
        <v>1.0</v>
      </c>
      <c r="X317" s="11">
        <v>1.0</v>
      </c>
      <c r="Y317" s="11">
        <v>1.0</v>
      </c>
      <c r="Z317" s="11"/>
      <c r="AA317" s="11"/>
      <c r="AB317" s="11">
        <v>1.0</v>
      </c>
      <c r="AC317" s="11"/>
      <c r="AD317" s="11"/>
      <c r="AE317" s="11">
        <v>3.0</v>
      </c>
      <c r="AF317" s="11"/>
    </row>
    <row r="318" ht="15.75" customHeight="1">
      <c r="A318" s="13">
        <v>315.0</v>
      </c>
      <c r="B318" s="13">
        <v>17.0</v>
      </c>
      <c r="C318" s="13" t="s">
        <v>80</v>
      </c>
      <c r="D318" s="13" t="s">
        <v>870</v>
      </c>
      <c r="E318" s="13" t="s">
        <v>871</v>
      </c>
      <c r="F318" s="13" t="s">
        <v>872</v>
      </c>
      <c r="G318" s="13" t="s">
        <v>175</v>
      </c>
      <c r="H318" s="13">
        <v>3.0</v>
      </c>
      <c r="I318" s="13">
        <v>1.0</v>
      </c>
      <c r="J318" s="35">
        <v>8.0</v>
      </c>
      <c r="K318" s="35">
        <v>38.0</v>
      </c>
      <c r="L318" s="13"/>
      <c r="M318" s="13"/>
      <c r="N318" s="13">
        <v>8.0</v>
      </c>
      <c r="O318" s="13">
        <v>2.0</v>
      </c>
      <c r="P318" s="13">
        <v>3.0</v>
      </c>
      <c r="Q318" s="13">
        <v>3.0</v>
      </c>
      <c r="R318" s="13">
        <v>3.0</v>
      </c>
      <c r="S318" s="13">
        <v>1.0</v>
      </c>
      <c r="T318" s="13">
        <v>2.0</v>
      </c>
      <c r="U318" s="13">
        <v>2.0</v>
      </c>
      <c r="V318" s="13">
        <v>3.0</v>
      </c>
      <c r="W318" s="13">
        <v>2.0</v>
      </c>
      <c r="X318" s="13">
        <v>2.0</v>
      </c>
      <c r="Y318" s="13">
        <v>1.0</v>
      </c>
      <c r="Z318" s="13"/>
      <c r="AA318" s="13"/>
      <c r="AB318" s="13">
        <v>1.0</v>
      </c>
      <c r="AC318" s="13"/>
      <c r="AD318" s="13">
        <v>1.0</v>
      </c>
      <c r="AE318" s="13">
        <v>2.0</v>
      </c>
      <c r="AF318" s="13"/>
    </row>
    <row r="319" ht="15.75" customHeight="1">
      <c r="A319" s="11">
        <v>316.0</v>
      </c>
      <c r="B319" s="11">
        <v>17.0</v>
      </c>
      <c r="C319" s="11" t="s">
        <v>80</v>
      </c>
      <c r="D319" s="11" t="s">
        <v>873</v>
      </c>
      <c r="E319" s="11"/>
      <c r="F319" s="11" t="s">
        <v>874</v>
      </c>
      <c r="G319" s="11" t="s">
        <v>175</v>
      </c>
      <c r="H319" s="11">
        <v>3.0</v>
      </c>
      <c r="I319" s="11">
        <v>2.0</v>
      </c>
      <c r="J319" s="33">
        <v>7.0</v>
      </c>
      <c r="K319" s="33">
        <v>38.0</v>
      </c>
      <c r="L319" s="11"/>
      <c r="M319" s="11"/>
      <c r="N319" s="11">
        <v>8.0</v>
      </c>
      <c r="O319" s="11">
        <v>2.0</v>
      </c>
      <c r="P319" s="11">
        <v>3.0</v>
      </c>
      <c r="Q319" s="11">
        <v>3.0</v>
      </c>
      <c r="R319" s="11">
        <v>3.0</v>
      </c>
      <c r="S319" s="11">
        <v>1.0</v>
      </c>
      <c r="T319" s="11">
        <v>2.0</v>
      </c>
      <c r="U319" s="11">
        <v>2.0</v>
      </c>
      <c r="V319" s="11">
        <v>3.0</v>
      </c>
      <c r="W319" s="11">
        <v>2.0</v>
      </c>
      <c r="X319" s="11">
        <v>2.0</v>
      </c>
      <c r="Y319" s="11">
        <v>1.0</v>
      </c>
      <c r="Z319" s="11"/>
      <c r="AA319" s="11"/>
      <c r="AB319" s="11">
        <v>1.0</v>
      </c>
      <c r="AC319" s="11"/>
      <c r="AD319" s="11">
        <v>1.0</v>
      </c>
      <c r="AE319" s="11">
        <v>2.0</v>
      </c>
      <c r="AF319" s="11"/>
    </row>
    <row r="320" ht="15.75" customHeight="1">
      <c r="A320" s="13">
        <v>317.0</v>
      </c>
      <c r="B320" s="13">
        <v>17.0</v>
      </c>
      <c r="C320" s="13" t="s">
        <v>80</v>
      </c>
      <c r="D320" s="13" t="s">
        <v>875</v>
      </c>
      <c r="E320" s="13"/>
      <c r="F320" s="13" t="s">
        <v>876</v>
      </c>
      <c r="G320" s="13" t="s">
        <v>175</v>
      </c>
      <c r="H320" s="13">
        <v>3.0</v>
      </c>
      <c r="I320" s="13">
        <v>3.0</v>
      </c>
      <c r="J320" s="35">
        <v>6.0</v>
      </c>
      <c r="K320" s="35">
        <v>38.0</v>
      </c>
      <c r="L320" s="13"/>
      <c r="M320" s="13"/>
      <c r="N320" s="13">
        <v>12.0</v>
      </c>
      <c r="O320" s="13">
        <v>3.0</v>
      </c>
      <c r="P320" s="13">
        <v>4.0</v>
      </c>
      <c r="Q320" s="13">
        <v>4.0</v>
      </c>
      <c r="R320" s="13">
        <v>4.0</v>
      </c>
      <c r="S320" s="13">
        <v>1.0</v>
      </c>
      <c r="T320" s="13">
        <v>3.0</v>
      </c>
      <c r="U320" s="13">
        <v>2.0</v>
      </c>
      <c r="V320" s="13">
        <v>4.0</v>
      </c>
      <c r="W320" s="13">
        <v>2.0</v>
      </c>
      <c r="X320" s="13">
        <v>3.0</v>
      </c>
      <c r="Y320" s="13">
        <v>1.0</v>
      </c>
      <c r="Z320" s="13"/>
      <c r="AA320" s="13"/>
      <c r="AB320" s="13">
        <v>1.0</v>
      </c>
      <c r="AC320" s="13"/>
      <c r="AD320" s="13">
        <v>1.0</v>
      </c>
      <c r="AE320" s="13">
        <v>3.0</v>
      </c>
      <c r="AF320" s="13"/>
    </row>
    <row r="321" ht="15.75" customHeight="1">
      <c r="A321" s="11">
        <v>318.0</v>
      </c>
      <c r="B321" s="11">
        <v>17.0</v>
      </c>
      <c r="C321" s="11" t="s">
        <v>80</v>
      </c>
      <c r="D321" s="11" t="s">
        <v>877</v>
      </c>
      <c r="E321" s="11"/>
      <c r="F321" s="11" t="s">
        <v>878</v>
      </c>
      <c r="G321" s="11" t="s">
        <v>175</v>
      </c>
      <c r="H321" s="11">
        <v>3.0</v>
      </c>
      <c r="I321" s="11">
        <v>4.0</v>
      </c>
      <c r="J321" s="33">
        <v>5.0</v>
      </c>
      <c r="K321" s="33">
        <v>38.0</v>
      </c>
      <c r="L321" s="11"/>
      <c r="M321" s="11"/>
      <c r="N321" s="11">
        <v>12.0</v>
      </c>
      <c r="O321" s="11">
        <v>3.0</v>
      </c>
      <c r="P321" s="11">
        <v>4.0</v>
      </c>
      <c r="Q321" s="11">
        <v>4.0</v>
      </c>
      <c r="R321" s="11">
        <v>4.0</v>
      </c>
      <c r="S321" s="11">
        <v>1.0</v>
      </c>
      <c r="T321" s="11">
        <v>3.0</v>
      </c>
      <c r="U321" s="11">
        <v>2.0</v>
      </c>
      <c r="V321" s="11">
        <v>4.0</v>
      </c>
      <c r="W321" s="11">
        <v>2.0</v>
      </c>
      <c r="X321" s="11">
        <v>3.0</v>
      </c>
      <c r="Y321" s="11">
        <v>1.0</v>
      </c>
      <c r="Z321" s="11"/>
      <c r="AA321" s="11"/>
      <c r="AB321" s="11">
        <v>1.0</v>
      </c>
      <c r="AC321" s="11"/>
      <c r="AD321" s="11">
        <v>1.0</v>
      </c>
      <c r="AE321" s="11">
        <v>3.0</v>
      </c>
      <c r="AF321" s="11"/>
    </row>
    <row r="322" ht="15.75" customHeight="1">
      <c r="A322" s="13">
        <v>319.0</v>
      </c>
      <c r="B322" s="13">
        <v>17.0</v>
      </c>
      <c r="C322" s="13" t="s">
        <v>80</v>
      </c>
      <c r="D322" s="13" t="s">
        <v>879</v>
      </c>
      <c r="E322" s="13" t="s">
        <v>880</v>
      </c>
      <c r="F322" s="13" t="s">
        <v>881</v>
      </c>
      <c r="G322" s="13" t="s">
        <v>175</v>
      </c>
      <c r="H322" s="13">
        <v>4.0</v>
      </c>
      <c r="I322" s="13">
        <v>1.0</v>
      </c>
      <c r="J322" s="35">
        <v>8.0</v>
      </c>
      <c r="K322" s="35">
        <v>38.0</v>
      </c>
      <c r="L322" s="13"/>
      <c r="M322" s="13"/>
      <c r="N322" s="13">
        <v>6.0</v>
      </c>
      <c r="O322" s="13">
        <v>3.0</v>
      </c>
      <c r="P322" s="13">
        <v>3.0</v>
      </c>
      <c r="Q322" s="13">
        <v>2.0</v>
      </c>
      <c r="R322" s="13">
        <v>3.0</v>
      </c>
      <c r="S322" s="13">
        <v>1.0</v>
      </c>
      <c r="T322" s="13">
        <v>3.0</v>
      </c>
      <c r="U322" s="13">
        <v>3.0</v>
      </c>
      <c r="V322" s="13">
        <v>1.0</v>
      </c>
      <c r="W322" s="13">
        <v>1.0</v>
      </c>
      <c r="X322" s="13">
        <v>1.0</v>
      </c>
      <c r="Y322" s="13">
        <v>2.0</v>
      </c>
      <c r="Z322" s="13"/>
      <c r="AA322" s="13"/>
      <c r="AB322" s="13">
        <v>1.0</v>
      </c>
      <c r="AC322" s="13"/>
      <c r="AD322" s="13"/>
      <c r="AE322" s="13">
        <v>1.0</v>
      </c>
      <c r="AF322" s="13"/>
    </row>
    <row r="323" ht="15.75" customHeight="1">
      <c r="A323" s="11">
        <v>320.0</v>
      </c>
      <c r="B323" s="11">
        <v>17.0</v>
      </c>
      <c r="C323" s="11" t="s">
        <v>80</v>
      </c>
      <c r="D323" s="11" t="s">
        <v>882</v>
      </c>
      <c r="E323" s="11"/>
      <c r="F323" s="11" t="s">
        <v>883</v>
      </c>
      <c r="G323" s="11" t="s">
        <v>175</v>
      </c>
      <c r="H323" s="11">
        <v>4.0</v>
      </c>
      <c r="I323" s="11">
        <v>2.0</v>
      </c>
      <c r="J323" s="33">
        <v>7.0</v>
      </c>
      <c r="K323" s="33">
        <v>38.0</v>
      </c>
      <c r="L323" s="11"/>
      <c r="M323" s="11"/>
      <c r="N323" s="11">
        <v>6.0</v>
      </c>
      <c r="O323" s="11">
        <v>3.0</v>
      </c>
      <c r="P323" s="11">
        <v>3.0</v>
      </c>
      <c r="Q323" s="11">
        <v>2.0</v>
      </c>
      <c r="R323" s="11">
        <v>3.0</v>
      </c>
      <c r="S323" s="11">
        <v>1.0</v>
      </c>
      <c r="T323" s="11">
        <v>3.0</v>
      </c>
      <c r="U323" s="11">
        <v>3.0</v>
      </c>
      <c r="V323" s="11">
        <v>1.0</v>
      </c>
      <c r="W323" s="11">
        <v>1.0</v>
      </c>
      <c r="X323" s="11">
        <v>1.0</v>
      </c>
      <c r="Y323" s="11">
        <v>2.0</v>
      </c>
      <c r="Z323" s="11"/>
      <c r="AA323" s="11"/>
      <c r="AB323" s="11">
        <v>1.0</v>
      </c>
      <c r="AC323" s="11"/>
      <c r="AD323" s="11"/>
      <c r="AE323" s="11">
        <v>1.0</v>
      </c>
      <c r="AF323" s="11"/>
    </row>
    <row r="324" ht="15.75" customHeight="1">
      <c r="A324" s="13">
        <v>321.0</v>
      </c>
      <c r="B324" s="13">
        <v>17.0</v>
      </c>
      <c r="C324" s="13" t="s">
        <v>80</v>
      </c>
      <c r="D324" s="13" t="s">
        <v>884</v>
      </c>
      <c r="E324" s="13"/>
      <c r="F324" s="13" t="s">
        <v>885</v>
      </c>
      <c r="G324" s="13" t="s">
        <v>175</v>
      </c>
      <c r="H324" s="13">
        <v>4.0</v>
      </c>
      <c r="I324" s="13">
        <v>3.0</v>
      </c>
      <c r="J324" s="35">
        <v>6.0</v>
      </c>
      <c r="K324" s="35">
        <v>38.0</v>
      </c>
      <c r="L324" s="13"/>
      <c r="M324" s="13"/>
      <c r="N324" s="13">
        <v>10.0</v>
      </c>
      <c r="O324" s="13">
        <v>4.0</v>
      </c>
      <c r="P324" s="13">
        <v>4.0</v>
      </c>
      <c r="Q324" s="13">
        <v>3.0</v>
      </c>
      <c r="R324" s="13">
        <v>4.0</v>
      </c>
      <c r="S324" s="13">
        <v>1.0</v>
      </c>
      <c r="T324" s="13">
        <v>4.0</v>
      </c>
      <c r="U324" s="13">
        <v>4.0</v>
      </c>
      <c r="V324" s="13">
        <v>1.0</v>
      </c>
      <c r="W324" s="13">
        <v>1.0</v>
      </c>
      <c r="X324" s="13">
        <v>2.0</v>
      </c>
      <c r="Y324" s="13">
        <v>2.0</v>
      </c>
      <c r="Z324" s="13"/>
      <c r="AA324" s="13"/>
      <c r="AB324" s="13">
        <v>1.0</v>
      </c>
      <c r="AC324" s="13"/>
      <c r="AD324" s="13"/>
      <c r="AE324" s="13">
        <v>2.0</v>
      </c>
      <c r="AF324" s="13"/>
    </row>
    <row r="325" ht="15.75" customHeight="1">
      <c r="A325" s="11">
        <v>322.0</v>
      </c>
      <c r="B325" s="11">
        <v>17.0</v>
      </c>
      <c r="C325" s="11" t="s">
        <v>80</v>
      </c>
      <c r="D325" s="11" t="s">
        <v>886</v>
      </c>
      <c r="E325" s="11"/>
      <c r="F325" s="11" t="s">
        <v>887</v>
      </c>
      <c r="G325" s="11" t="s">
        <v>175</v>
      </c>
      <c r="H325" s="11">
        <v>4.0</v>
      </c>
      <c r="I325" s="11">
        <v>4.0</v>
      </c>
      <c r="J325" s="33">
        <v>5.0</v>
      </c>
      <c r="K325" s="33">
        <v>38.0</v>
      </c>
      <c r="L325" s="11"/>
      <c r="M325" s="11"/>
      <c r="N325" s="11">
        <v>10.0</v>
      </c>
      <c r="O325" s="11">
        <v>4.0</v>
      </c>
      <c r="P325" s="11">
        <v>4.0</v>
      </c>
      <c r="Q325" s="11">
        <v>3.0</v>
      </c>
      <c r="R325" s="11">
        <v>4.0</v>
      </c>
      <c r="S325" s="11">
        <v>1.0</v>
      </c>
      <c r="T325" s="11">
        <v>4.0</v>
      </c>
      <c r="U325" s="11">
        <v>4.0</v>
      </c>
      <c r="V325" s="11">
        <v>1.0</v>
      </c>
      <c r="W325" s="11">
        <v>1.0</v>
      </c>
      <c r="X325" s="11">
        <v>2.0</v>
      </c>
      <c r="Y325" s="11">
        <v>2.0</v>
      </c>
      <c r="Z325" s="11"/>
      <c r="AA325" s="11"/>
      <c r="AB325" s="11">
        <v>1.0</v>
      </c>
      <c r="AC325" s="11"/>
      <c r="AD325" s="11"/>
      <c r="AE325" s="11">
        <v>2.0</v>
      </c>
      <c r="AF325" s="11"/>
    </row>
    <row r="326" ht="15.75" customHeight="1">
      <c r="A326" s="13">
        <v>323.0</v>
      </c>
      <c r="B326" s="13">
        <v>17.0</v>
      </c>
      <c r="C326" s="13" t="s">
        <v>80</v>
      </c>
      <c r="D326" s="13" t="s">
        <v>888</v>
      </c>
      <c r="E326" s="13"/>
      <c r="F326" s="13" t="s">
        <v>889</v>
      </c>
      <c r="G326" s="13" t="s">
        <v>74</v>
      </c>
      <c r="H326" s="13">
        <v>5.0</v>
      </c>
      <c r="I326" s="13">
        <v>5.0</v>
      </c>
      <c r="J326" s="35">
        <v>1.0</v>
      </c>
      <c r="K326" s="35">
        <v>192.0</v>
      </c>
      <c r="L326" s="13"/>
      <c r="M326" s="13"/>
      <c r="N326" s="13">
        <v>46.0</v>
      </c>
      <c r="O326" s="13">
        <v>10.0</v>
      </c>
      <c r="P326" s="13">
        <v>10.0</v>
      </c>
      <c r="Q326" s="13">
        <v>16.0</v>
      </c>
      <c r="R326" s="13">
        <v>10.0</v>
      </c>
      <c r="S326" s="13">
        <v>6.0</v>
      </c>
      <c r="T326" s="13">
        <v>7.0</v>
      </c>
      <c r="U326" s="13">
        <v>6.0</v>
      </c>
      <c r="V326" s="13">
        <v>9.0</v>
      </c>
      <c r="W326" s="13">
        <v>6.0</v>
      </c>
      <c r="X326" s="13">
        <v>6.0</v>
      </c>
      <c r="Y326" s="13">
        <v>4.0</v>
      </c>
      <c r="Z326" s="13">
        <v>1.0</v>
      </c>
      <c r="AA326" s="13">
        <v>2.0</v>
      </c>
      <c r="AB326" s="13">
        <v>2.0</v>
      </c>
      <c r="AC326" s="13"/>
      <c r="AD326" s="13">
        <v>1.0</v>
      </c>
      <c r="AE326" s="13">
        <v>7.0</v>
      </c>
      <c r="AF326" s="13"/>
    </row>
    <row r="327" ht="15.75" customHeight="1">
      <c r="A327" s="11">
        <v>324.0</v>
      </c>
      <c r="B327" s="11">
        <v>18.0</v>
      </c>
      <c r="C327" s="11" t="s">
        <v>82</v>
      </c>
      <c r="D327" s="11" t="s">
        <v>890</v>
      </c>
      <c r="E327" s="11"/>
      <c r="F327" s="11" t="s">
        <v>891</v>
      </c>
      <c r="G327" s="11" t="s">
        <v>170</v>
      </c>
      <c r="H327" s="11">
        <v>0.0</v>
      </c>
      <c r="I327" s="11">
        <v>0.0</v>
      </c>
      <c r="J327" s="33">
        <v>15.0</v>
      </c>
      <c r="K327" s="33">
        <v>200.0</v>
      </c>
      <c r="L327" s="11"/>
      <c r="M327" s="34" t="s">
        <v>892</v>
      </c>
      <c r="N327" s="11">
        <v>32.0</v>
      </c>
      <c r="O327" s="11">
        <v>8.0</v>
      </c>
      <c r="P327" s="11">
        <v>6.0</v>
      </c>
      <c r="Q327" s="11">
        <v>16.0</v>
      </c>
      <c r="R327" s="11">
        <v>6.0</v>
      </c>
      <c r="S327" s="11">
        <v>3.0</v>
      </c>
      <c r="T327" s="11">
        <v>5.0</v>
      </c>
      <c r="U327" s="11">
        <v>5.0</v>
      </c>
      <c r="V327" s="11">
        <v>7.0</v>
      </c>
      <c r="W327" s="11">
        <v>4.0</v>
      </c>
      <c r="X327" s="11">
        <v>5.0</v>
      </c>
      <c r="Y327" s="11">
        <v>4.0</v>
      </c>
      <c r="Z327" s="11">
        <v>2.0</v>
      </c>
      <c r="AA327" s="11">
        <v>3.0</v>
      </c>
      <c r="AB327" s="11">
        <v>3.0</v>
      </c>
      <c r="AC327" s="11">
        <v>1.0</v>
      </c>
      <c r="AD327" s="11">
        <v>4.0</v>
      </c>
      <c r="AE327" s="11">
        <v>1.0</v>
      </c>
      <c r="AF327" s="11"/>
    </row>
    <row r="328" ht="15.75" customHeight="1">
      <c r="A328" s="13">
        <v>325.0</v>
      </c>
      <c r="B328" s="13">
        <v>18.0</v>
      </c>
      <c r="C328" s="13" t="s">
        <v>82</v>
      </c>
      <c r="D328" s="13" t="s">
        <v>893</v>
      </c>
      <c r="E328" s="13" t="s">
        <v>894</v>
      </c>
      <c r="F328" s="13" t="s">
        <v>895</v>
      </c>
      <c r="G328" s="13" t="s">
        <v>175</v>
      </c>
      <c r="H328" s="13">
        <v>1.0</v>
      </c>
      <c r="I328" s="13">
        <v>1.0</v>
      </c>
      <c r="J328" s="35">
        <v>8.0</v>
      </c>
      <c r="K328" s="35">
        <v>38.0</v>
      </c>
      <c r="L328" s="13"/>
      <c r="M328" s="13"/>
      <c r="N328" s="13">
        <v>6.0</v>
      </c>
      <c r="O328" s="13">
        <v>2.0</v>
      </c>
      <c r="P328" s="13"/>
      <c r="Q328" s="13">
        <v>7.0</v>
      </c>
      <c r="R328" s="13">
        <v>1.0</v>
      </c>
      <c r="S328" s="13">
        <v>1.0</v>
      </c>
      <c r="T328" s="13">
        <v>1.0</v>
      </c>
      <c r="U328" s="13">
        <v>1.0</v>
      </c>
      <c r="V328" s="13">
        <v>4.0</v>
      </c>
      <c r="W328" s="13">
        <v>2.0</v>
      </c>
      <c r="X328" s="13">
        <v>2.0</v>
      </c>
      <c r="Y328" s="13">
        <v>1.0</v>
      </c>
      <c r="Z328" s="13"/>
      <c r="AA328" s="13">
        <v>1.0</v>
      </c>
      <c r="AB328" s="13">
        <v>1.0</v>
      </c>
      <c r="AC328" s="13"/>
      <c r="AD328" s="13">
        <v>2.0</v>
      </c>
      <c r="AE328" s="13"/>
      <c r="AF328" s="13"/>
    </row>
    <row r="329" ht="15.75" customHeight="1">
      <c r="A329" s="11">
        <v>326.0</v>
      </c>
      <c r="B329" s="11">
        <v>18.0</v>
      </c>
      <c r="C329" s="11" t="s">
        <v>82</v>
      </c>
      <c r="D329" s="11" t="s">
        <v>896</v>
      </c>
      <c r="E329" s="11"/>
      <c r="F329" s="11" t="s">
        <v>897</v>
      </c>
      <c r="G329" s="11" t="s">
        <v>175</v>
      </c>
      <c r="H329" s="11">
        <v>1.0</v>
      </c>
      <c r="I329" s="11">
        <v>2.0</v>
      </c>
      <c r="J329" s="33">
        <v>7.0</v>
      </c>
      <c r="K329" s="33">
        <v>38.0</v>
      </c>
      <c r="L329" s="11"/>
      <c r="M329" s="11"/>
      <c r="N329" s="11">
        <v>6.0</v>
      </c>
      <c r="O329" s="11">
        <v>2.0</v>
      </c>
      <c r="P329" s="11"/>
      <c r="Q329" s="11">
        <v>7.0</v>
      </c>
      <c r="R329" s="11">
        <v>1.0</v>
      </c>
      <c r="S329" s="11">
        <v>1.0</v>
      </c>
      <c r="T329" s="11">
        <v>1.0</v>
      </c>
      <c r="U329" s="11">
        <v>1.0</v>
      </c>
      <c r="V329" s="11">
        <v>4.0</v>
      </c>
      <c r="W329" s="11">
        <v>2.0</v>
      </c>
      <c r="X329" s="11">
        <v>2.0</v>
      </c>
      <c r="Y329" s="11">
        <v>1.0</v>
      </c>
      <c r="Z329" s="11"/>
      <c r="AA329" s="11">
        <v>1.0</v>
      </c>
      <c r="AB329" s="11">
        <v>1.0</v>
      </c>
      <c r="AC329" s="11"/>
      <c r="AD329" s="11">
        <v>2.0</v>
      </c>
      <c r="AE329" s="11"/>
      <c r="AF329" s="11"/>
    </row>
    <row r="330" ht="15.75" customHeight="1">
      <c r="A330" s="13">
        <v>327.0</v>
      </c>
      <c r="B330" s="13">
        <v>18.0</v>
      </c>
      <c r="C330" s="13" t="s">
        <v>82</v>
      </c>
      <c r="D330" s="13" t="s">
        <v>898</v>
      </c>
      <c r="E330" s="13"/>
      <c r="F330" s="13" t="s">
        <v>899</v>
      </c>
      <c r="G330" s="13" t="s">
        <v>175</v>
      </c>
      <c r="H330" s="13">
        <v>1.0</v>
      </c>
      <c r="I330" s="13">
        <v>3.0</v>
      </c>
      <c r="J330" s="35">
        <v>6.0</v>
      </c>
      <c r="K330" s="35">
        <v>38.0</v>
      </c>
      <c r="L330" s="13"/>
      <c r="M330" s="13"/>
      <c r="N330" s="13">
        <v>10.0</v>
      </c>
      <c r="O330" s="13">
        <v>3.0</v>
      </c>
      <c r="P330" s="13"/>
      <c r="Q330" s="13">
        <v>8.0</v>
      </c>
      <c r="R330" s="13">
        <v>1.0</v>
      </c>
      <c r="S330" s="13">
        <v>1.0</v>
      </c>
      <c r="T330" s="13">
        <v>1.0</v>
      </c>
      <c r="U330" s="13">
        <v>1.0</v>
      </c>
      <c r="V330" s="13">
        <v>5.0</v>
      </c>
      <c r="W330" s="13">
        <v>2.0</v>
      </c>
      <c r="X330" s="13">
        <v>3.0</v>
      </c>
      <c r="Y330" s="13">
        <v>1.0</v>
      </c>
      <c r="Z330" s="13"/>
      <c r="AA330" s="13">
        <v>1.0</v>
      </c>
      <c r="AB330" s="13">
        <v>1.0</v>
      </c>
      <c r="AC330" s="13"/>
      <c r="AD330" s="13">
        <v>3.0</v>
      </c>
      <c r="AE330" s="13"/>
      <c r="AF330" s="13"/>
    </row>
    <row r="331" ht="15.75" customHeight="1">
      <c r="A331" s="11">
        <v>328.0</v>
      </c>
      <c r="B331" s="11">
        <v>18.0</v>
      </c>
      <c r="C331" s="11" t="s">
        <v>82</v>
      </c>
      <c r="D331" s="11" t="s">
        <v>900</v>
      </c>
      <c r="E331" s="11"/>
      <c r="F331" s="11" t="s">
        <v>901</v>
      </c>
      <c r="G331" s="11" t="s">
        <v>175</v>
      </c>
      <c r="H331" s="11">
        <v>1.0</v>
      </c>
      <c r="I331" s="11">
        <v>4.0</v>
      </c>
      <c r="J331" s="33">
        <v>5.0</v>
      </c>
      <c r="K331" s="33">
        <v>38.0</v>
      </c>
      <c r="L331" s="11"/>
      <c r="M331" s="11"/>
      <c r="N331" s="11">
        <v>10.0</v>
      </c>
      <c r="O331" s="11">
        <v>3.0</v>
      </c>
      <c r="P331" s="11"/>
      <c r="Q331" s="11">
        <v>8.0</v>
      </c>
      <c r="R331" s="11">
        <v>1.0</v>
      </c>
      <c r="S331" s="11">
        <v>1.0</v>
      </c>
      <c r="T331" s="11">
        <v>1.0</v>
      </c>
      <c r="U331" s="11">
        <v>1.0</v>
      </c>
      <c r="V331" s="11">
        <v>5.0</v>
      </c>
      <c r="W331" s="11">
        <v>2.0</v>
      </c>
      <c r="X331" s="11">
        <v>3.0</v>
      </c>
      <c r="Y331" s="11">
        <v>1.0</v>
      </c>
      <c r="Z331" s="11"/>
      <c r="AA331" s="11">
        <v>1.0</v>
      </c>
      <c r="AB331" s="11">
        <v>1.0</v>
      </c>
      <c r="AC331" s="11"/>
      <c r="AD331" s="11">
        <v>3.0</v>
      </c>
      <c r="AE331" s="11"/>
      <c r="AF331" s="11"/>
    </row>
    <row r="332" ht="15.75" customHeight="1">
      <c r="A332" s="13">
        <v>329.0</v>
      </c>
      <c r="B332" s="13">
        <v>18.0</v>
      </c>
      <c r="C332" s="13" t="s">
        <v>82</v>
      </c>
      <c r="D332" s="13" t="s">
        <v>902</v>
      </c>
      <c r="E332" s="13" t="s">
        <v>903</v>
      </c>
      <c r="F332" s="13" t="s">
        <v>904</v>
      </c>
      <c r="G332" s="13" t="s">
        <v>175</v>
      </c>
      <c r="H332" s="13">
        <v>2.0</v>
      </c>
      <c r="I332" s="13">
        <v>1.0</v>
      </c>
      <c r="J332" s="35">
        <v>8.0</v>
      </c>
      <c r="K332" s="35">
        <v>38.0</v>
      </c>
      <c r="L332" s="13"/>
      <c r="M332" s="13"/>
      <c r="N332" s="13">
        <v>8.0</v>
      </c>
      <c r="O332" s="13">
        <v>3.0</v>
      </c>
      <c r="P332" s="13">
        <v>3.0</v>
      </c>
      <c r="Q332" s="13">
        <v>2.0</v>
      </c>
      <c r="R332" s="13">
        <v>4.0</v>
      </c>
      <c r="S332" s="13">
        <v>2.0</v>
      </c>
      <c r="T332" s="13">
        <v>3.0</v>
      </c>
      <c r="U332" s="13">
        <v>3.0</v>
      </c>
      <c r="V332" s="13">
        <v>2.0</v>
      </c>
      <c r="W332" s="13">
        <v>1.0</v>
      </c>
      <c r="X332" s="13">
        <v>2.0</v>
      </c>
      <c r="Y332" s="13">
        <v>1.0</v>
      </c>
      <c r="Z332" s="13"/>
      <c r="AA332" s="13">
        <v>1.0</v>
      </c>
      <c r="AB332" s="13">
        <v>1.0</v>
      </c>
      <c r="AC332" s="13"/>
      <c r="AD332" s="13">
        <v>1.0</v>
      </c>
      <c r="AE332" s="13"/>
      <c r="AF332" s="13"/>
    </row>
    <row r="333" ht="15.75" customHeight="1">
      <c r="A333" s="11">
        <v>330.0</v>
      </c>
      <c r="B333" s="11">
        <v>18.0</v>
      </c>
      <c r="C333" s="11" t="s">
        <v>82</v>
      </c>
      <c r="D333" s="11" t="s">
        <v>905</v>
      </c>
      <c r="E333" s="11"/>
      <c r="F333" s="11" t="s">
        <v>906</v>
      </c>
      <c r="G333" s="11" t="s">
        <v>175</v>
      </c>
      <c r="H333" s="11">
        <v>2.0</v>
      </c>
      <c r="I333" s="11">
        <v>2.0</v>
      </c>
      <c r="J333" s="33">
        <v>7.0</v>
      </c>
      <c r="K333" s="33">
        <v>38.0</v>
      </c>
      <c r="L333" s="11"/>
      <c r="M333" s="11"/>
      <c r="N333" s="11">
        <v>8.0</v>
      </c>
      <c r="O333" s="11">
        <v>3.0</v>
      </c>
      <c r="P333" s="11">
        <v>3.0</v>
      </c>
      <c r="Q333" s="11">
        <v>2.0</v>
      </c>
      <c r="R333" s="11">
        <v>4.0</v>
      </c>
      <c r="S333" s="11">
        <v>2.0</v>
      </c>
      <c r="T333" s="11">
        <v>3.0</v>
      </c>
      <c r="U333" s="11">
        <v>3.0</v>
      </c>
      <c r="V333" s="11">
        <v>2.0</v>
      </c>
      <c r="W333" s="11">
        <v>1.0</v>
      </c>
      <c r="X333" s="11">
        <v>2.0</v>
      </c>
      <c r="Y333" s="11">
        <v>1.0</v>
      </c>
      <c r="Z333" s="11"/>
      <c r="AA333" s="11">
        <v>1.0</v>
      </c>
      <c r="AB333" s="11">
        <v>1.0</v>
      </c>
      <c r="AC333" s="11"/>
      <c r="AD333" s="11">
        <v>1.0</v>
      </c>
      <c r="AE333" s="11"/>
      <c r="AF333" s="11"/>
    </row>
    <row r="334" ht="15.75" customHeight="1">
      <c r="A334" s="13">
        <v>331.0</v>
      </c>
      <c r="B334" s="13">
        <v>18.0</v>
      </c>
      <c r="C334" s="13" t="s">
        <v>82</v>
      </c>
      <c r="D334" s="13" t="s">
        <v>907</v>
      </c>
      <c r="E334" s="13"/>
      <c r="F334" s="13" t="s">
        <v>908</v>
      </c>
      <c r="G334" s="13" t="s">
        <v>175</v>
      </c>
      <c r="H334" s="13">
        <v>2.0</v>
      </c>
      <c r="I334" s="13">
        <v>3.0</v>
      </c>
      <c r="J334" s="35">
        <v>6.0</v>
      </c>
      <c r="K334" s="35">
        <v>38.0</v>
      </c>
      <c r="L334" s="13"/>
      <c r="M334" s="13"/>
      <c r="N334" s="13">
        <v>12.0</v>
      </c>
      <c r="O334" s="13">
        <v>4.0</v>
      </c>
      <c r="P334" s="13">
        <v>4.0</v>
      </c>
      <c r="Q334" s="13">
        <v>2.0</v>
      </c>
      <c r="R334" s="13">
        <v>5.0</v>
      </c>
      <c r="S334" s="13">
        <v>2.0</v>
      </c>
      <c r="T334" s="13">
        <v>4.0</v>
      </c>
      <c r="U334" s="13">
        <v>3.0</v>
      </c>
      <c r="V334" s="13">
        <v>2.0</v>
      </c>
      <c r="W334" s="13">
        <v>1.0</v>
      </c>
      <c r="X334" s="13">
        <v>2.0</v>
      </c>
      <c r="Y334" s="13">
        <v>1.0</v>
      </c>
      <c r="Z334" s="13"/>
      <c r="AA334" s="13">
        <v>1.0</v>
      </c>
      <c r="AB334" s="13">
        <v>2.0</v>
      </c>
      <c r="AC334" s="13"/>
      <c r="AD334" s="13">
        <v>1.0</v>
      </c>
      <c r="AE334" s="13"/>
      <c r="AF334" s="13"/>
    </row>
    <row r="335" ht="15.75" customHeight="1">
      <c r="A335" s="11">
        <v>332.0</v>
      </c>
      <c r="B335" s="11">
        <v>18.0</v>
      </c>
      <c r="C335" s="11" t="s">
        <v>82</v>
      </c>
      <c r="D335" s="11" t="s">
        <v>909</v>
      </c>
      <c r="E335" s="11"/>
      <c r="F335" s="11" t="s">
        <v>910</v>
      </c>
      <c r="G335" s="11" t="s">
        <v>175</v>
      </c>
      <c r="H335" s="11">
        <v>2.0</v>
      </c>
      <c r="I335" s="11">
        <v>4.0</v>
      </c>
      <c r="J335" s="33">
        <v>5.0</v>
      </c>
      <c r="K335" s="33">
        <v>38.0</v>
      </c>
      <c r="L335" s="11"/>
      <c r="M335" s="11"/>
      <c r="N335" s="11">
        <v>12.0</v>
      </c>
      <c r="O335" s="11">
        <v>4.0</v>
      </c>
      <c r="P335" s="11">
        <v>4.0</v>
      </c>
      <c r="Q335" s="11">
        <v>2.0</v>
      </c>
      <c r="R335" s="11">
        <v>5.0</v>
      </c>
      <c r="S335" s="11">
        <v>2.0</v>
      </c>
      <c r="T335" s="11">
        <v>4.0</v>
      </c>
      <c r="U335" s="11">
        <v>3.0</v>
      </c>
      <c r="V335" s="11">
        <v>2.0</v>
      </c>
      <c r="W335" s="11">
        <v>1.0</v>
      </c>
      <c r="X335" s="11">
        <v>2.0</v>
      </c>
      <c r="Y335" s="11">
        <v>1.0</v>
      </c>
      <c r="Z335" s="11"/>
      <c r="AA335" s="11">
        <v>1.0</v>
      </c>
      <c r="AB335" s="11">
        <v>2.0</v>
      </c>
      <c r="AC335" s="11"/>
      <c r="AD335" s="11">
        <v>1.0</v>
      </c>
      <c r="AE335" s="11"/>
      <c r="AF335" s="11"/>
    </row>
    <row r="336" ht="15.75" customHeight="1">
      <c r="A336" s="13">
        <v>333.0</v>
      </c>
      <c r="B336" s="13">
        <v>18.0</v>
      </c>
      <c r="C336" s="13" t="s">
        <v>82</v>
      </c>
      <c r="D336" s="13" t="s">
        <v>911</v>
      </c>
      <c r="E336" s="13" t="s">
        <v>912</v>
      </c>
      <c r="F336" s="13" t="s">
        <v>913</v>
      </c>
      <c r="G336" s="13" t="s">
        <v>175</v>
      </c>
      <c r="H336" s="13">
        <v>3.0</v>
      </c>
      <c r="I336" s="13">
        <v>1.0</v>
      </c>
      <c r="J336" s="35">
        <v>8.0</v>
      </c>
      <c r="K336" s="35">
        <v>38.0</v>
      </c>
      <c r="L336" s="13"/>
      <c r="M336" s="13"/>
      <c r="N336" s="13">
        <v>8.0</v>
      </c>
      <c r="O336" s="13">
        <v>2.0</v>
      </c>
      <c r="P336" s="13">
        <v>2.0</v>
      </c>
      <c r="Q336" s="13">
        <v>4.0</v>
      </c>
      <c r="R336" s="13">
        <v>3.0</v>
      </c>
      <c r="S336" s="13">
        <v>1.0</v>
      </c>
      <c r="T336" s="13">
        <v>3.0</v>
      </c>
      <c r="U336" s="13">
        <v>2.0</v>
      </c>
      <c r="V336" s="13">
        <v>3.0</v>
      </c>
      <c r="W336" s="13">
        <v>2.0</v>
      </c>
      <c r="X336" s="13">
        <v>2.0</v>
      </c>
      <c r="Y336" s="13">
        <v>1.0</v>
      </c>
      <c r="Z336" s="13">
        <v>1.0</v>
      </c>
      <c r="AA336" s="13">
        <v>2.0</v>
      </c>
      <c r="AB336" s="13">
        <v>2.0</v>
      </c>
      <c r="AC336" s="13">
        <v>1.0</v>
      </c>
      <c r="AD336" s="13">
        <v>1.0</v>
      </c>
      <c r="AE336" s="13">
        <v>1.0</v>
      </c>
      <c r="AF336" s="13"/>
    </row>
    <row r="337" ht="15.75" customHeight="1">
      <c r="A337" s="11">
        <v>334.0</v>
      </c>
      <c r="B337" s="11">
        <v>18.0</v>
      </c>
      <c r="C337" s="11" t="s">
        <v>82</v>
      </c>
      <c r="D337" s="11" t="s">
        <v>914</v>
      </c>
      <c r="E337" s="11"/>
      <c r="F337" s="11" t="s">
        <v>915</v>
      </c>
      <c r="G337" s="11" t="s">
        <v>175</v>
      </c>
      <c r="H337" s="11">
        <v>3.0</v>
      </c>
      <c r="I337" s="11">
        <v>2.0</v>
      </c>
      <c r="J337" s="33">
        <v>7.0</v>
      </c>
      <c r="K337" s="33">
        <v>38.0</v>
      </c>
      <c r="L337" s="11"/>
      <c r="M337" s="11"/>
      <c r="N337" s="11">
        <v>8.0</v>
      </c>
      <c r="O337" s="11">
        <v>2.0</v>
      </c>
      <c r="P337" s="11">
        <v>2.0</v>
      </c>
      <c r="Q337" s="11">
        <v>4.0</v>
      </c>
      <c r="R337" s="11">
        <v>3.0</v>
      </c>
      <c r="S337" s="11">
        <v>1.0</v>
      </c>
      <c r="T337" s="11">
        <v>3.0</v>
      </c>
      <c r="U337" s="11">
        <v>2.0</v>
      </c>
      <c r="V337" s="11">
        <v>3.0</v>
      </c>
      <c r="W337" s="11">
        <v>2.0</v>
      </c>
      <c r="X337" s="11">
        <v>2.0</v>
      </c>
      <c r="Y337" s="11">
        <v>1.0</v>
      </c>
      <c r="Z337" s="11">
        <v>1.0</v>
      </c>
      <c r="AA337" s="11">
        <v>2.0</v>
      </c>
      <c r="AB337" s="11">
        <v>2.0</v>
      </c>
      <c r="AC337" s="11">
        <v>1.0</v>
      </c>
      <c r="AD337" s="11">
        <v>1.0</v>
      </c>
      <c r="AE337" s="11">
        <v>1.0</v>
      </c>
      <c r="AF337" s="11"/>
    </row>
    <row r="338" ht="15.75" customHeight="1">
      <c r="A338" s="13">
        <v>335.0</v>
      </c>
      <c r="B338" s="13">
        <v>18.0</v>
      </c>
      <c r="C338" s="13" t="s">
        <v>82</v>
      </c>
      <c r="D338" s="13" t="s">
        <v>916</v>
      </c>
      <c r="E338" s="13"/>
      <c r="F338" s="13" t="s">
        <v>917</v>
      </c>
      <c r="G338" s="13" t="s">
        <v>175</v>
      </c>
      <c r="H338" s="13">
        <v>3.0</v>
      </c>
      <c r="I338" s="13">
        <v>3.0</v>
      </c>
      <c r="J338" s="35">
        <v>6.0</v>
      </c>
      <c r="K338" s="35">
        <v>38.0</v>
      </c>
      <c r="L338" s="13"/>
      <c r="M338" s="13"/>
      <c r="N338" s="13">
        <v>12.0</v>
      </c>
      <c r="O338" s="13">
        <v>3.0</v>
      </c>
      <c r="P338" s="13">
        <v>3.0</v>
      </c>
      <c r="Q338" s="13">
        <v>5.0</v>
      </c>
      <c r="R338" s="13">
        <v>4.0</v>
      </c>
      <c r="S338" s="13">
        <v>1.0</v>
      </c>
      <c r="T338" s="13">
        <v>3.0</v>
      </c>
      <c r="U338" s="13">
        <v>2.0</v>
      </c>
      <c r="V338" s="13">
        <v>4.0</v>
      </c>
      <c r="W338" s="13">
        <v>2.0</v>
      </c>
      <c r="X338" s="13">
        <v>3.0</v>
      </c>
      <c r="Y338" s="13">
        <v>1.0</v>
      </c>
      <c r="Z338" s="13">
        <v>1.0</v>
      </c>
      <c r="AA338" s="13">
        <v>3.0</v>
      </c>
      <c r="AB338" s="13">
        <v>3.0</v>
      </c>
      <c r="AC338" s="13">
        <v>1.0</v>
      </c>
      <c r="AD338" s="13">
        <v>1.0</v>
      </c>
      <c r="AE338" s="13">
        <v>1.0</v>
      </c>
      <c r="AF338" s="13"/>
    </row>
    <row r="339" ht="15.75" customHeight="1">
      <c r="A339" s="11">
        <v>336.0</v>
      </c>
      <c r="B339" s="11">
        <v>18.0</v>
      </c>
      <c r="C339" s="11" t="s">
        <v>82</v>
      </c>
      <c r="D339" s="11" t="s">
        <v>918</v>
      </c>
      <c r="E339" s="11"/>
      <c r="F339" s="11" t="s">
        <v>919</v>
      </c>
      <c r="G339" s="11" t="s">
        <v>175</v>
      </c>
      <c r="H339" s="11">
        <v>3.0</v>
      </c>
      <c r="I339" s="11">
        <v>4.0</v>
      </c>
      <c r="J339" s="33">
        <v>5.0</v>
      </c>
      <c r="K339" s="33">
        <v>38.0</v>
      </c>
      <c r="L339" s="11"/>
      <c r="M339" s="11"/>
      <c r="N339" s="11">
        <v>12.0</v>
      </c>
      <c r="O339" s="11">
        <v>3.0</v>
      </c>
      <c r="P339" s="11">
        <v>3.0</v>
      </c>
      <c r="Q339" s="11">
        <v>5.0</v>
      </c>
      <c r="R339" s="11">
        <v>4.0</v>
      </c>
      <c r="S339" s="11">
        <v>1.0</v>
      </c>
      <c r="T339" s="11">
        <v>3.0</v>
      </c>
      <c r="U339" s="11">
        <v>2.0</v>
      </c>
      <c r="V339" s="11">
        <v>4.0</v>
      </c>
      <c r="W339" s="11">
        <v>2.0</v>
      </c>
      <c r="X339" s="11">
        <v>3.0</v>
      </c>
      <c r="Y339" s="11">
        <v>1.0</v>
      </c>
      <c r="Z339" s="11">
        <v>1.0</v>
      </c>
      <c r="AA339" s="11">
        <v>3.0</v>
      </c>
      <c r="AB339" s="11">
        <v>3.0</v>
      </c>
      <c r="AC339" s="11">
        <v>1.0</v>
      </c>
      <c r="AD339" s="11">
        <v>1.0</v>
      </c>
      <c r="AE339" s="11">
        <v>1.0</v>
      </c>
      <c r="AF339" s="11"/>
    </row>
    <row r="340" ht="15.75" customHeight="1">
      <c r="A340" s="13">
        <v>337.0</v>
      </c>
      <c r="B340" s="13">
        <v>18.0</v>
      </c>
      <c r="C340" s="13" t="s">
        <v>82</v>
      </c>
      <c r="D340" s="13" t="s">
        <v>920</v>
      </c>
      <c r="E340" s="13" t="s">
        <v>921</v>
      </c>
      <c r="F340" s="13" t="s">
        <v>922</v>
      </c>
      <c r="G340" s="13" t="s">
        <v>175</v>
      </c>
      <c r="H340" s="13">
        <v>4.0</v>
      </c>
      <c r="I340" s="13">
        <v>1.0</v>
      </c>
      <c r="J340" s="35">
        <v>8.0</v>
      </c>
      <c r="K340" s="35">
        <v>38.0</v>
      </c>
      <c r="L340" s="13"/>
      <c r="M340" s="13"/>
      <c r="N340" s="13">
        <v>6.0</v>
      </c>
      <c r="O340" s="13">
        <v>3.0</v>
      </c>
      <c r="P340" s="13">
        <v>3.0</v>
      </c>
      <c r="Q340" s="13">
        <v>3.0</v>
      </c>
      <c r="R340" s="13">
        <v>3.0</v>
      </c>
      <c r="S340" s="13">
        <v>1.0</v>
      </c>
      <c r="T340" s="13">
        <v>3.0</v>
      </c>
      <c r="U340" s="13">
        <v>4.0</v>
      </c>
      <c r="V340" s="13">
        <v>1.0</v>
      </c>
      <c r="W340" s="13">
        <v>2.0</v>
      </c>
      <c r="X340" s="13">
        <v>2.0</v>
      </c>
      <c r="Y340" s="13">
        <v>2.0</v>
      </c>
      <c r="Z340" s="13"/>
      <c r="AA340" s="13">
        <v>1.0</v>
      </c>
      <c r="AB340" s="13">
        <v>1.0</v>
      </c>
      <c r="AC340" s="13"/>
      <c r="AD340" s="13">
        <v>1.0</v>
      </c>
      <c r="AE340" s="13"/>
      <c r="AF340" s="13"/>
    </row>
    <row r="341" ht="15.75" customHeight="1">
      <c r="A341" s="11">
        <v>338.0</v>
      </c>
      <c r="B341" s="11">
        <v>18.0</v>
      </c>
      <c r="C341" s="11" t="s">
        <v>82</v>
      </c>
      <c r="D341" s="11" t="s">
        <v>923</v>
      </c>
      <c r="E341" s="11"/>
      <c r="F341" s="11" t="s">
        <v>924</v>
      </c>
      <c r="G341" s="11" t="s">
        <v>175</v>
      </c>
      <c r="H341" s="11">
        <v>4.0</v>
      </c>
      <c r="I341" s="11">
        <v>2.0</v>
      </c>
      <c r="J341" s="33">
        <v>7.0</v>
      </c>
      <c r="K341" s="33">
        <v>38.0</v>
      </c>
      <c r="L341" s="11"/>
      <c r="M341" s="11"/>
      <c r="N341" s="11">
        <v>6.0</v>
      </c>
      <c r="O341" s="11">
        <v>3.0</v>
      </c>
      <c r="P341" s="11">
        <v>3.0</v>
      </c>
      <c r="Q341" s="11">
        <v>3.0</v>
      </c>
      <c r="R341" s="11">
        <v>3.0</v>
      </c>
      <c r="S341" s="11">
        <v>1.0</v>
      </c>
      <c r="T341" s="11">
        <v>3.0</v>
      </c>
      <c r="U341" s="11">
        <v>4.0</v>
      </c>
      <c r="V341" s="11">
        <v>1.0</v>
      </c>
      <c r="W341" s="11">
        <v>2.0</v>
      </c>
      <c r="X341" s="11">
        <v>2.0</v>
      </c>
      <c r="Y341" s="11">
        <v>2.0</v>
      </c>
      <c r="Z341" s="11"/>
      <c r="AA341" s="11">
        <v>1.0</v>
      </c>
      <c r="AB341" s="11">
        <v>1.0</v>
      </c>
      <c r="AC341" s="11"/>
      <c r="AD341" s="11">
        <v>1.0</v>
      </c>
      <c r="AE341" s="11"/>
      <c r="AF341" s="11"/>
    </row>
    <row r="342" ht="15.75" customHeight="1">
      <c r="A342" s="13">
        <v>339.0</v>
      </c>
      <c r="B342" s="13">
        <v>18.0</v>
      </c>
      <c r="C342" s="13" t="s">
        <v>82</v>
      </c>
      <c r="D342" s="13" t="s">
        <v>925</v>
      </c>
      <c r="E342" s="13"/>
      <c r="F342" s="13" t="s">
        <v>926</v>
      </c>
      <c r="G342" s="13" t="s">
        <v>175</v>
      </c>
      <c r="H342" s="13">
        <v>4.0</v>
      </c>
      <c r="I342" s="13">
        <v>3.0</v>
      </c>
      <c r="J342" s="35">
        <v>6.0</v>
      </c>
      <c r="K342" s="35">
        <v>38.0</v>
      </c>
      <c r="L342" s="13"/>
      <c r="M342" s="13"/>
      <c r="N342" s="13">
        <v>10.0</v>
      </c>
      <c r="O342" s="13">
        <v>4.0</v>
      </c>
      <c r="P342" s="13">
        <v>4.0</v>
      </c>
      <c r="Q342" s="13">
        <v>3.0</v>
      </c>
      <c r="R342" s="13">
        <v>4.0</v>
      </c>
      <c r="S342" s="13">
        <v>1.0</v>
      </c>
      <c r="T342" s="13">
        <v>4.0</v>
      </c>
      <c r="U342" s="13">
        <v>5.0</v>
      </c>
      <c r="V342" s="13">
        <v>1.0</v>
      </c>
      <c r="W342" s="13">
        <v>2.0</v>
      </c>
      <c r="X342" s="13">
        <v>2.0</v>
      </c>
      <c r="Y342" s="13">
        <v>2.0</v>
      </c>
      <c r="Z342" s="13"/>
      <c r="AA342" s="13">
        <v>1.0</v>
      </c>
      <c r="AB342" s="13">
        <v>2.0</v>
      </c>
      <c r="AC342" s="13"/>
      <c r="AD342" s="13">
        <v>1.0</v>
      </c>
      <c r="AE342" s="13"/>
      <c r="AF342" s="13"/>
    </row>
    <row r="343" ht="15.75" customHeight="1">
      <c r="A343" s="11">
        <v>340.0</v>
      </c>
      <c r="B343" s="11">
        <v>18.0</v>
      </c>
      <c r="C343" s="11" t="s">
        <v>82</v>
      </c>
      <c r="D343" s="11" t="s">
        <v>927</v>
      </c>
      <c r="E343" s="11"/>
      <c r="F343" s="11" t="s">
        <v>928</v>
      </c>
      <c r="G343" s="11" t="s">
        <v>175</v>
      </c>
      <c r="H343" s="11">
        <v>4.0</v>
      </c>
      <c r="I343" s="11">
        <v>4.0</v>
      </c>
      <c r="J343" s="33">
        <v>5.0</v>
      </c>
      <c r="K343" s="33">
        <v>38.0</v>
      </c>
      <c r="L343" s="11"/>
      <c r="M343" s="11"/>
      <c r="N343" s="11">
        <v>10.0</v>
      </c>
      <c r="O343" s="11">
        <v>4.0</v>
      </c>
      <c r="P343" s="11">
        <v>4.0</v>
      </c>
      <c r="Q343" s="11">
        <v>3.0</v>
      </c>
      <c r="R343" s="11">
        <v>4.0</v>
      </c>
      <c r="S343" s="11">
        <v>1.0</v>
      </c>
      <c r="T343" s="11">
        <v>4.0</v>
      </c>
      <c r="U343" s="11">
        <v>5.0</v>
      </c>
      <c r="V343" s="11">
        <v>1.0</v>
      </c>
      <c r="W343" s="11">
        <v>2.0</v>
      </c>
      <c r="X343" s="11">
        <v>2.0</v>
      </c>
      <c r="Y343" s="11">
        <v>2.0</v>
      </c>
      <c r="Z343" s="11"/>
      <c r="AA343" s="11">
        <v>1.0</v>
      </c>
      <c r="AB343" s="11">
        <v>2.0</v>
      </c>
      <c r="AC343" s="11"/>
      <c r="AD343" s="11">
        <v>1.0</v>
      </c>
      <c r="AE343" s="11"/>
      <c r="AF343" s="11"/>
    </row>
    <row r="344" ht="15.75" customHeight="1">
      <c r="A344" s="13">
        <v>341.0</v>
      </c>
      <c r="B344" s="13">
        <v>18.0</v>
      </c>
      <c r="C344" s="13" t="s">
        <v>82</v>
      </c>
      <c r="D344" s="13" t="s">
        <v>929</v>
      </c>
      <c r="E344" s="13"/>
      <c r="F344" s="13" t="s">
        <v>930</v>
      </c>
      <c r="G344" s="13" t="s">
        <v>74</v>
      </c>
      <c r="H344" s="13">
        <v>5.0</v>
      </c>
      <c r="I344" s="13">
        <v>5.0</v>
      </c>
      <c r="J344" s="35">
        <v>1.0</v>
      </c>
      <c r="K344" s="35">
        <v>192.0</v>
      </c>
      <c r="L344" s="13"/>
      <c r="M344" s="13"/>
      <c r="N344" s="13">
        <v>44.0</v>
      </c>
      <c r="O344" s="13">
        <v>10.0</v>
      </c>
      <c r="P344" s="13">
        <v>8.0</v>
      </c>
      <c r="Q344" s="13">
        <v>22.0</v>
      </c>
      <c r="R344" s="13">
        <v>9.0</v>
      </c>
      <c r="S344" s="13">
        <v>5.0</v>
      </c>
      <c r="T344" s="13">
        <v>7.0</v>
      </c>
      <c r="U344" s="13">
        <v>7.0</v>
      </c>
      <c r="V344" s="13">
        <v>9.0</v>
      </c>
      <c r="W344" s="13">
        <v>6.0</v>
      </c>
      <c r="X344" s="13">
        <v>6.0</v>
      </c>
      <c r="Y344" s="13">
        <v>4.0</v>
      </c>
      <c r="Z344" s="13">
        <v>2.0</v>
      </c>
      <c r="AA344" s="13">
        <v>4.0</v>
      </c>
      <c r="AB344" s="13">
        <v>4.0</v>
      </c>
      <c r="AC344" s="13">
        <v>1.0</v>
      </c>
      <c r="AD344" s="13">
        <v>6.0</v>
      </c>
      <c r="AE344" s="13">
        <v>1.0</v>
      </c>
      <c r="AF344" s="13"/>
    </row>
    <row r="345" ht="15.75" customHeight="1">
      <c r="A345" s="11">
        <v>342.0</v>
      </c>
      <c r="B345" s="11">
        <v>19.0</v>
      </c>
      <c r="C345" s="11" t="s">
        <v>84</v>
      </c>
      <c r="D345" s="11" t="s">
        <v>931</v>
      </c>
      <c r="E345" s="11"/>
      <c r="F345" s="11" t="s">
        <v>932</v>
      </c>
      <c r="G345" s="11" t="s">
        <v>170</v>
      </c>
      <c r="H345" s="11">
        <v>0.0</v>
      </c>
      <c r="I345" s="11">
        <v>0.0</v>
      </c>
      <c r="J345" s="33">
        <v>15.0</v>
      </c>
      <c r="K345" s="33">
        <v>200.0</v>
      </c>
      <c r="L345" s="11"/>
      <c r="M345" s="34" t="s">
        <v>933</v>
      </c>
      <c r="N345" s="11">
        <v>26.0</v>
      </c>
      <c r="O345" s="11">
        <v>7.0</v>
      </c>
      <c r="P345" s="11">
        <v>8.0</v>
      </c>
      <c r="Q345" s="11">
        <v>3.0</v>
      </c>
      <c r="R345" s="11">
        <v>7.0</v>
      </c>
      <c r="S345" s="11">
        <v>3.0</v>
      </c>
      <c r="T345" s="11">
        <v>6.0</v>
      </c>
      <c r="U345" s="11">
        <v>4.0</v>
      </c>
      <c r="V345" s="11">
        <v>1.0</v>
      </c>
      <c r="W345" s="11">
        <v>2.0</v>
      </c>
      <c r="X345" s="11">
        <v>2.0</v>
      </c>
      <c r="Y345" s="11">
        <v>1.0</v>
      </c>
      <c r="Z345" s="11"/>
      <c r="AA345" s="11">
        <v>1.0</v>
      </c>
      <c r="AB345" s="11">
        <v>1.0</v>
      </c>
      <c r="AC345" s="11"/>
      <c r="AD345" s="11">
        <v>1.0</v>
      </c>
      <c r="AE345" s="11"/>
      <c r="AF345" s="11"/>
    </row>
    <row r="346" ht="15.75" customHeight="1">
      <c r="A346" s="13">
        <v>343.0</v>
      </c>
      <c r="B346" s="13">
        <v>19.0</v>
      </c>
      <c r="C346" s="13" t="s">
        <v>84</v>
      </c>
      <c r="D346" s="13" t="s">
        <v>934</v>
      </c>
      <c r="E346" s="13" t="s">
        <v>935</v>
      </c>
      <c r="F346" s="13" t="s">
        <v>936</v>
      </c>
      <c r="G346" s="13" t="s">
        <v>175</v>
      </c>
      <c r="H346" s="13">
        <v>1.0</v>
      </c>
      <c r="I346" s="13">
        <v>1.0</v>
      </c>
      <c r="J346" s="35">
        <v>8.0</v>
      </c>
      <c r="K346" s="35">
        <v>38.0</v>
      </c>
      <c r="L346" s="13"/>
      <c r="M346" s="13"/>
      <c r="N346" s="13">
        <v>8.0</v>
      </c>
      <c r="O346" s="13">
        <v>3.0</v>
      </c>
      <c r="P346" s="13">
        <v>3.0</v>
      </c>
      <c r="Q346" s="13">
        <v>1.0</v>
      </c>
      <c r="R346" s="13">
        <v>6.0</v>
      </c>
      <c r="S346" s="13">
        <v>1.0</v>
      </c>
      <c r="T346" s="13">
        <v>4.0</v>
      </c>
      <c r="U346" s="13">
        <v>2.0</v>
      </c>
      <c r="V346" s="13"/>
      <c r="W346" s="13">
        <v>1.0</v>
      </c>
      <c r="X346" s="13">
        <v>1.0</v>
      </c>
      <c r="Y346" s="13">
        <v>1.0</v>
      </c>
      <c r="Z346" s="13"/>
      <c r="AA346" s="13">
        <v>1.0</v>
      </c>
      <c r="AB346" s="13">
        <v>1.0</v>
      </c>
      <c r="AC346" s="13"/>
      <c r="AD346" s="13"/>
      <c r="AE346" s="13"/>
      <c r="AF346" s="13"/>
    </row>
    <row r="347" ht="15.75" customHeight="1">
      <c r="A347" s="11">
        <v>344.0</v>
      </c>
      <c r="B347" s="11">
        <v>19.0</v>
      </c>
      <c r="C347" s="11" t="s">
        <v>84</v>
      </c>
      <c r="D347" s="11" t="s">
        <v>937</v>
      </c>
      <c r="E347" s="11"/>
      <c r="F347" s="11" t="s">
        <v>938</v>
      </c>
      <c r="G347" s="11" t="s">
        <v>175</v>
      </c>
      <c r="H347" s="11">
        <v>1.0</v>
      </c>
      <c r="I347" s="11">
        <v>2.0</v>
      </c>
      <c r="J347" s="33">
        <v>7.0</v>
      </c>
      <c r="K347" s="33">
        <v>38.0</v>
      </c>
      <c r="L347" s="11"/>
      <c r="M347" s="11"/>
      <c r="N347" s="11">
        <v>8.0</v>
      </c>
      <c r="O347" s="11">
        <v>3.0</v>
      </c>
      <c r="P347" s="11">
        <v>3.0</v>
      </c>
      <c r="Q347" s="11">
        <v>1.0</v>
      </c>
      <c r="R347" s="11">
        <v>6.0</v>
      </c>
      <c r="S347" s="11">
        <v>1.0</v>
      </c>
      <c r="T347" s="11">
        <v>4.0</v>
      </c>
      <c r="U347" s="11">
        <v>2.0</v>
      </c>
      <c r="V347" s="11"/>
      <c r="W347" s="11">
        <v>1.0</v>
      </c>
      <c r="X347" s="11">
        <v>1.0</v>
      </c>
      <c r="Y347" s="11">
        <v>1.0</v>
      </c>
      <c r="Z347" s="11"/>
      <c r="AA347" s="11">
        <v>1.0</v>
      </c>
      <c r="AB347" s="11">
        <v>1.0</v>
      </c>
      <c r="AC347" s="11"/>
      <c r="AD347" s="11"/>
      <c r="AE347" s="11"/>
      <c r="AF347" s="11"/>
    </row>
    <row r="348" ht="15.75" customHeight="1">
      <c r="A348" s="13">
        <v>345.0</v>
      </c>
      <c r="B348" s="13">
        <v>19.0</v>
      </c>
      <c r="C348" s="13" t="s">
        <v>84</v>
      </c>
      <c r="D348" s="13" t="s">
        <v>939</v>
      </c>
      <c r="E348" s="13"/>
      <c r="F348" s="13" t="s">
        <v>940</v>
      </c>
      <c r="G348" s="13" t="s">
        <v>175</v>
      </c>
      <c r="H348" s="13">
        <v>1.0</v>
      </c>
      <c r="I348" s="13">
        <v>3.0</v>
      </c>
      <c r="J348" s="35">
        <v>6.0</v>
      </c>
      <c r="K348" s="35">
        <v>38.0</v>
      </c>
      <c r="L348" s="13"/>
      <c r="M348" s="13"/>
      <c r="N348" s="13">
        <v>12.0</v>
      </c>
      <c r="O348" s="13">
        <v>4.0</v>
      </c>
      <c r="P348" s="13">
        <v>4.0</v>
      </c>
      <c r="Q348" s="13">
        <v>1.0</v>
      </c>
      <c r="R348" s="13">
        <v>7.0</v>
      </c>
      <c r="S348" s="13">
        <v>1.0</v>
      </c>
      <c r="T348" s="13">
        <v>5.0</v>
      </c>
      <c r="U348" s="13">
        <v>2.0</v>
      </c>
      <c r="V348" s="13"/>
      <c r="W348" s="13">
        <v>1.0</v>
      </c>
      <c r="X348" s="13">
        <v>1.0</v>
      </c>
      <c r="Y348" s="13">
        <v>1.0</v>
      </c>
      <c r="Z348" s="13"/>
      <c r="AA348" s="13">
        <v>1.0</v>
      </c>
      <c r="AB348" s="13">
        <v>2.0</v>
      </c>
      <c r="AC348" s="13"/>
      <c r="AD348" s="13"/>
      <c r="AE348" s="13"/>
      <c r="AF348" s="13"/>
    </row>
    <row r="349" ht="15.75" customHeight="1">
      <c r="A349" s="11">
        <v>346.0</v>
      </c>
      <c r="B349" s="11">
        <v>19.0</v>
      </c>
      <c r="C349" s="11" t="s">
        <v>84</v>
      </c>
      <c r="D349" s="11" t="s">
        <v>941</v>
      </c>
      <c r="E349" s="11"/>
      <c r="F349" s="11" t="s">
        <v>942</v>
      </c>
      <c r="G349" s="11" t="s">
        <v>175</v>
      </c>
      <c r="H349" s="11">
        <v>1.0</v>
      </c>
      <c r="I349" s="11">
        <v>4.0</v>
      </c>
      <c r="J349" s="33">
        <v>5.0</v>
      </c>
      <c r="K349" s="33">
        <v>38.0</v>
      </c>
      <c r="L349" s="11"/>
      <c r="M349" s="11"/>
      <c r="N349" s="11">
        <v>12.0</v>
      </c>
      <c r="O349" s="11">
        <v>4.0</v>
      </c>
      <c r="P349" s="11">
        <v>4.0</v>
      </c>
      <c r="Q349" s="11">
        <v>1.0</v>
      </c>
      <c r="R349" s="11">
        <v>7.0</v>
      </c>
      <c r="S349" s="11">
        <v>1.0</v>
      </c>
      <c r="T349" s="11">
        <v>5.0</v>
      </c>
      <c r="U349" s="11">
        <v>2.0</v>
      </c>
      <c r="V349" s="11"/>
      <c r="W349" s="11">
        <v>1.0</v>
      </c>
      <c r="X349" s="11">
        <v>1.0</v>
      </c>
      <c r="Y349" s="11">
        <v>1.0</v>
      </c>
      <c r="Z349" s="11"/>
      <c r="AA349" s="11">
        <v>1.0</v>
      </c>
      <c r="AB349" s="11">
        <v>2.0</v>
      </c>
      <c r="AC349" s="11"/>
      <c r="AD349" s="11"/>
      <c r="AE349" s="11"/>
      <c r="AF349" s="11"/>
    </row>
    <row r="350" ht="15.75" customHeight="1">
      <c r="A350" s="13">
        <v>347.0</v>
      </c>
      <c r="B350" s="13">
        <v>19.0</v>
      </c>
      <c r="C350" s="13" t="s">
        <v>84</v>
      </c>
      <c r="D350" s="13" t="s">
        <v>943</v>
      </c>
      <c r="E350" s="13" t="s">
        <v>944</v>
      </c>
      <c r="F350" s="13" t="s">
        <v>945</v>
      </c>
      <c r="G350" s="13" t="s">
        <v>175</v>
      </c>
      <c r="H350" s="13">
        <v>2.0</v>
      </c>
      <c r="I350" s="13">
        <v>1.0</v>
      </c>
      <c r="J350" s="35">
        <v>8.0</v>
      </c>
      <c r="K350" s="35">
        <v>38.0</v>
      </c>
      <c r="L350" s="13"/>
      <c r="M350" s="13"/>
      <c r="N350" s="13">
        <v>6.0</v>
      </c>
      <c r="O350" s="13">
        <v>3.0</v>
      </c>
      <c r="P350" s="13">
        <v>2.0</v>
      </c>
      <c r="Q350" s="13">
        <v>1.0</v>
      </c>
      <c r="R350" s="13">
        <v>4.0</v>
      </c>
      <c r="S350" s="13">
        <v>1.0</v>
      </c>
      <c r="T350" s="13">
        <v>4.0</v>
      </c>
      <c r="U350" s="13">
        <v>3.0</v>
      </c>
      <c r="V350" s="13">
        <v>1.0</v>
      </c>
      <c r="W350" s="13">
        <v>1.0</v>
      </c>
      <c r="X350" s="13">
        <v>2.0</v>
      </c>
      <c r="Y350" s="13">
        <v>1.0</v>
      </c>
      <c r="Z350" s="13"/>
      <c r="AA350" s="13">
        <v>1.0</v>
      </c>
      <c r="AB350" s="13">
        <v>1.0</v>
      </c>
      <c r="AC350" s="13"/>
      <c r="AD350" s="13"/>
      <c r="AE350" s="13"/>
      <c r="AF350" s="13"/>
    </row>
    <row r="351" ht="15.75" customHeight="1">
      <c r="A351" s="11">
        <v>348.0</v>
      </c>
      <c r="B351" s="11">
        <v>19.0</v>
      </c>
      <c r="C351" s="11" t="s">
        <v>84</v>
      </c>
      <c r="D351" s="11" t="s">
        <v>946</v>
      </c>
      <c r="E351" s="11"/>
      <c r="F351" s="11" t="s">
        <v>947</v>
      </c>
      <c r="G351" s="11" t="s">
        <v>175</v>
      </c>
      <c r="H351" s="11">
        <v>2.0</v>
      </c>
      <c r="I351" s="11">
        <v>2.0</v>
      </c>
      <c r="J351" s="33">
        <v>7.0</v>
      </c>
      <c r="K351" s="33">
        <v>38.0</v>
      </c>
      <c r="L351" s="11"/>
      <c r="M351" s="11"/>
      <c r="N351" s="11">
        <v>6.0</v>
      </c>
      <c r="O351" s="11">
        <v>3.0</v>
      </c>
      <c r="P351" s="11">
        <v>2.0</v>
      </c>
      <c r="Q351" s="11">
        <v>1.0</v>
      </c>
      <c r="R351" s="11">
        <v>4.0</v>
      </c>
      <c r="S351" s="11">
        <v>1.0</v>
      </c>
      <c r="T351" s="11">
        <v>4.0</v>
      </c>
      <c r="U351" s="11">
        <v>3.0</v>
      </c>
      <c r="V351" s="11">
        <v>1.0</v>
      </c>
      <c r="W351" s="11">
        <v>1.0</v>
      </c>
      <c r="X351" s="11">
        <v>2.0</v>
      </c>
      <c r="Y351" s="11">
        <v>1.0</v>
      </c>
      <c r="Z351" s="11"/>
      <c r="AA351" s="11">
        <v>1.0</v>
      </c>
      <c r="AB351" s="11">
        <v>1.0</v>
      </c>
      <c r="AC351" s="11"/>
      <c r="AD351" s="11"/>
      <c r="AE351" s="11"/>
      <c r="AF351" s="11"/>
    </row>
    <row r="352" ht="15.75" customHeight="1">
      <c r="A352" s="13">
        <v>349.0</v>
      </c>
      <c r="B352" s="13">
        <v>19.0</v>
      </c>
      <c r="C352" s="13" t="s">
        <v>84</v>
      </c>
      <c r="D352" s="13" t="s">
        <v>948</v>
      </c>
      <c r="E352" s="13"/>
      <c r="F352" s="13" t="s">
        <v>949</v>
      </c>
      <c r="G352" s="13" t="s">
        <v>175</v>
      </c>
      <c r="H352" s="13">
        <v>2.0</v>
      </c>
      <c r="I352" s="13">
        <v>3.0</v>
      </c>
      <c r="J352" s="35">
        <v>6.0</v>
      </c>
      <c r="K352" s="35">
        <v>38.0</v>
      </c>
      <c r="L352" s="13"/>
      <c r="M352" s="13"/>
      <c r="N352" s="13">
        <v>10.0</v>
      </c>
      <c r="O352" s="13">
        <v>4.0</v>
      </c>
      <c r="P352" s="13">
        <v>3.0</v>
      </c>
      <c r="Q352" s="13">
        <v>2.0</v>
      </c>
      <c r="R352" s="13">
        <v>5.0</v>
      </c>
      <c r="S352" s="13">
        <v>1.0</v>
      </c>
      <c r="T352" s="13">
        <v>5.0</v>
      </c>
      <c r="U352" s="13">
        <v>3.0</v>
      </c>
      <c r="V352" s="13">
        <v>1.0</v>
      </c>
      <c r="W352" s="13">
        <v>1.0</v>
      </c>
      <c r="X352" s="13">
        <v>2.0</v>
      </c>
      <c r="Y352" s="13">
        <v>1.0</v>
      </c>
      <c r="Z352" s="13"/>
      <c r="AA352" s="13">
        <v>1.0</v>
      </c>
      <c r="AB352" s="13">
        <v>1.0</v>
      </c>
      <c r="AC352" s="13"/>
      <c r="AD352" s="13"/>
      <c r="AE352" s="13"/>
      <c r="AF352" s="13"/>
    </row>
    <row r="353" ht="15.75" customHeight="1">
      <c r="A353" s="11">
        <v>350.0</v>
      </c>
      <c r="B353" s="11">
        <v>19.0</v>
      </c>
      <c r="C353" s="11" t="s">
        <v>84</v>
      </c>
      <c r="D353" s="11" t="s">
        <v>950</v>
      </c>
      <c r="E353" s="11"/>
      <c r="F353" s="11" t="s">
        <v>951</v>
      </c>
      <c r="G353" s="11" t="s">
        <v>175</v>
      </c>
      <c r="H353" s="11">
        <v>2.0</v>
      </c>
      <c r="I353" s="11">
        <v>4.0</v>
      </c>
      <c r="J353" s="33">
        <v>5.0</v>
      </c>
      <c r="K353" s="33">
        <v>38.0</v>
      </c>
      <c r="L353" s="11"/>
      <c r="M353" s="11"/>
      <c r="N353" s="11">
        <v>10.0</v>
      </c>
      <c r="O353" s="11">
        <v>4.0</v>
      </c>
      <c r="P353" s="11">
        <v>3.0</v>
      </c>
      <c r="Q353" s="11">
        <v>2.0</v>
      </c>
      <c r="R353" s="11">
        <v>5.0</v>
      </c>
      <c r="S353" s="11">
        <v>1.0</v>
      </c>
      <c r="T353" s="11">
        <v>5.0</v>
      </c>
      <c r="U353" s="11">
        <v>3.0</v>
      </c>
      <c r="V353" s="11">
        <v>1.0</v>
      </c>
      <c r="W353" s="11">
        <v>1.0</v>
      </c>
      <c r="X353" s="11">
        <v>2.0</v>
      </c>
      <c r="Y353" s="11">
        <v>1.0</v>
      </c>
      <c r="Z353" s="11"/>
      <c r="AA353" s="11">
        <v>1.0</v>
      </c>
      <c r="AB353" s="11">
        <v>1.0</v>
      </c>
      <c r="AC353" s="11"/>
      <c r="AD353" s="11"/>
      <c r="AE353" s="11"/>
      <c r="AF353" s="11"/>
    </row>
    <row r="354" ht="15.75" customHeight="1">
      <c r="A354" s="13">
        <v>351.0</v>
      </c>
      <c r="B354" s="13">
        <v>19.0</v>
      </c>
      <c r="C354" s="13" t="s">
        <v>84</v>
      </c>
      <c r="D354" s="13" t="s">
        <v>952</v>
      </c>
      <c r="E354" s="13" t="s">
        <v>953</v>
      </c>
      <c r="F354" s="13" t="s">
        <v>954</v>
      </c>
      <c r="G354" s="13" t="s">
        <v>175</v>
      </c>
      <c r="H354" s="13">
        <v>3.0</v>
      </c>
      <c r="I354" s="13">
        <v>1.0</v>
      </c>
      <c r="J354" s="35">
        <v>8.0</v>
      </c>
      <c r="K354" s="35">
        <v>38.0</v>
      </c>
      <c r="L354" s="13"/>
      <c r="M354" s="13"/>
      <c r="N354" s="13">
        <v>8.0</v>
      </c>
      <c r="O354" s="13">
        <v>3.0</v>
      </c>
      <c r="P354" s="13">
        <v>3.0</v>
      </c>
      <c r="Q354" s="13">
        <v>1.0</v>
      </c>
      <c r="R354" s="13">
        <v>6.0</v>
      </c>
      <c r="S354" s="13">
        <v>1.0</v>
      </c>
      <c r="T354" s="13">
        <v>5.0</v>
      </c>
      <c r="U354" s="13">
        <v>3.0</v>
      </c>
      <c r="V354" s="13">
        <v>1.0</v>
      </c>
      <c r="W354" s="13">
        <v>1.0</v>
      </c>
      <c r="X354" s="13">
        <v>1.0</v>
      </c>
      <c r="Y354" s="13">
        <v>1.0</v>
      </c>
      <c r="Z354" s="13"/>
      <c r="AA354" s="13">
        <v>1.0</v>
      </c>
      <c r="AB354" s="13">
        <v>1.0</v>
      </c>
      <c r="AC354" s="13"/>
      <c r="AD354" s="13"/>
      <c r="AE354" s="13"/>
      <c r="AF354" s="13"/>
    </row>
    <row r="355" ht="15.75" customHeight="1">
      <c r="A355" s="11">
        <v>352.0</v>
      </c>
      <c r="B355" s="11">
        <v>19.0</v>
      </c>
      <c r="C355" s="11" t="s">
        <v>84</v>
      </c>
      <c r="D355" s="11" t="s">
        <v>955</v>
      </c>
      <c r="E355" s="11"/>
      <c r="F355" s="11" t="s">
        <v>956</v>
      </c>
      <c r="G355" s="11" t="s">
        <v>175</v>
      </c>
      <c r="H355" s="11">
        <v>3.0</v>
      </c>
      <c r="I355" s="11">
        <v>2.0</v>
      </c>
      <c r="J355" s="33">
        <v>7.0</v>
      </c>
      <c r="K355" s="33">
        <v>38.0</v>
      </c>
      <c r="L355" s="11"/>
      <c r="M355" s="11"/>
      <c r="N355" s="11">
        <v>8.0</v>
      </c>
      <c r="O355" s="11">
        <v>3.0</v>
      </c>
      <c r="P355" s="11">
        <v>3.0</v>
      </c>
      <c r="Q355" s="11">
        <v>1.0</v>
      </c>
      <c r="R355" s="11">
        <v>6.0</v>
      </c>
      <c r="S355" s="11">
        <v>1.0</v>
      </c>
      <c r="T355" s="11">
        <v>5.0</v>
      </c>
      <c r="U355" s="11">
        <v>3.0</v>
      </c>
      <c r="V355" s="11">
        <v>1.0</v>
      </c>
      <c r="W355" s="11">
        <v>1.0</v>
      </c>
      <c r="X355" s="11">
        <v>1.0</v>
      </c>
      <c r="Y355" s="11">
        <v>1.0</v>
      </c>
      <c r="Z355" s="11"/>
      <c r="AA355" s="11">
        <v>1.0</v>
      </c>
      <c r="AB355" s="11">
        <v>1.0</v>
      </c>
      <c r="AC355" s="11"/>
      <c r="AD355" s="11"/>
      <c r="AE355" s="11"/>
      <c r="AF355" s="11"/>
    </row>
    <row r="356" ht="15.75" customHeight="1">
      <c r="A356" s="13">
        <v>353.0</v>
      </c>
      <c r="B356" s="13">
        <v>19.0</v>
      </c>
      <c r="C356" s="13" t="s">
        <v>84</v>
      </c>
      <c r="D356" s="13" t="s">
        <v>957</v>
      </c>
      <c r="E356" s="13"/>
      <c r="F356" s="13" t="s">
        <v>958</v>
      </c>
      <c r="G356" s="13" t="s">
        <v>175</v>
      </c>
      <c r="H356" s="13">
        <v>3.0</v>
      </c>
      <c r="I356" s="13">
        <v>3.0</v>
      </c>
      <c r="J356" s="35">
        <v>6.0</v>
      </c>
      <c r="K356" s="35">
        <v>38.0</v>
      </c>
      <c r="L356" s="13"/>
      <c r="M356" s="13"/>
      <c r="N356" s="13">
        <v>12.0</v>
      </c>
      <c r="O356" s="13">
        <v>4.0</v>
      </c>
      <c r="P356" s="13">
        <v>4.0</v>
      </c>
      <c r="Q356" s="13">
        <v>2.0</v>
      </c>
      <c r="R356" s="13">
        <v>7.0</v>
      </c>
      <c r="S356" s="13">
        <v>1.0</v>
      </c>
      <c r="T356" s="13">
        <v>6.0</v>
      </c>
      <c r="U356" s="13">
        <v>4.0</v>
      </c>
      <c r="V356" s="13">
        <v>1.0</v>
      </c>
      <c r="W356" s="13">
        <v>1.0</v>
      </c>
      <c r="X356" s="13">
        <v>2.0</v>
      </c>
      <c r="Y356" s="13">
        <v>1.0</v>
      </c>
      <c r="Z356" s="13"/>
      <c r="AA356" s="13">
        <v>1.0</v>
      </c>
      <c r="AB356" s="13">
        <v>1.0</v>
      </c>
      <c r="AC356" s="13"/>
      <c r="AD356" s="13"/>
      <c r="AE356" s="13"/>
      <c r="AF356" s="13"/>
    </row>
    <row r="357" ht="15.75" customHeight="1">
      <c r="A357" s="11">
        <v>354.0</v>
      </c>
      <c r="B357" s="11">
        <v>19.0</v>
      </c>
      <c r="C357" s="11" t="s">
        <v>84</v>
      </c>
      <c r="D357" s="11" t="s">
        <v>959</v>
      </c>
      <c r="E357" s="11"/>
      <c r="F357" s="11" t="s">
        <v>960</v>
      </c>
      <c r="G357" s="11" t="s">
        <v>175</v>
      </c>
      <c r="H357" s="11">
        <v>3.0</v>
      </c>
      <c r="I357" s="11">
        <v>4.0</v>
      </c>
      <c r="J357" s="33">
        <v>5.0</v>
      </c>
      <c r="K357" s="33">
        <v>38.0</v>
      </c>
      <c r="L357" s="11"/>
      <c r="M357" s="11"/>
      <c r="N357" s="11">
        <v>12.0</v>
      </c>
      <c r="O357" s="11">
        <v>4.0</v>
      </c>
      <c r="P357" s="11">
        <v>4.0</v>
      </c>
      <c r="Q357" s="11">
        <v>2.0</v>
      </c>
      <c r="R357" s="11">
        <v>7.0</v>
      </c>
      <c r="S357" s="11">
        <v>1.0</v>
      </c>
      <c r="T357" s="11">
        <v>6.0</v>
      </c>
      <c r="U357" s="11">
        <v>4.0</v>
      </c>
      <c r="V357" s="11">
        <v>1.0</v>
      </c>
      <c r="W357" s="11">
        <v>1.0</v>
      </c>
      <c r="X357" s="11">
        <v>2.0</v>
      </c>
      <c r="Y357" s="11">
        <v>1.0</v>
      </c>
      <c r="Z357" s="11"/>
      <c r="AA357" s="11">
        <v>1.0</v>
      </c>
      <c r="AB357" s="11">
        <v>1.0</v>
      </c>
      <c r="AC357" s="11"/>
      <c r="AD357" s="11"/>
      <c r="AE357" s="11"/>
      <c r="AF357" s="11"/>
    </row>
    <row r="358" ht="15.75" customHeight="1">
      <c r="A358" s="13">
        <v>355.0</v>
      </c>
      <c r="B358" s="13">
        <v>19.0</v>
      </c>
      <c r="C358" s="13" t="s">
        <v>84</v>
      </c>
      <c r="D358" s="13" t="s">
        <v>961</v>
      </c>
      <c r="E358" s="13" t="s">
        <v>962</v>
      </c>
      <c r="F358" s="13" t="s">
        <v>963</v>
      </c>
      <c r="G358" s="13" t="s">
        <v>175</v>
      </c>
      <c r="H358" s="13">
        <v>4.0</v>
      </c>
      <c r="I358" s="13">
        <v>1.0</v>
      </c>
      <c r="J358" s="35">
        <v>8.0</v>
      </c>
      <c r="K358" s="35">
        <v>38.0</v>
      </c>
      <c r="L358" s="13"/>
      <c r="M358" s="13"/>
      <c r="N358" s="13">
        <v>6.0</v>
      </c>
      <c r="O358" s="13">
        <v>3.0</v>
      </c>
      <c r="P358" s="13">
        <v>3.0</v>
      </c>
      <c r="Q358" s="13">
        <v>2.0</v>
      </c>
      <c r="R358" s="13">
        <v>3.0</v>
      </c>
      <c r="S358" s="13">
        <v>1.0</v>
      </c>
      <c r="T358" s="13">
        <v>4.0</v>
      </c>
      <c r="U358" s="13">
        <v>3.0</v>
      </c>
      <c r="V358" s="13">
        <v>1.0</v>
      </c>
      <c r="W358" s="13">
        <v>1.0</v>
      </c>
      <c r="X358" s="13">
        <v>1.0</v>
      </c>
      <c r="Y358" s="13">
        <v>1.0</v>
      </c>
      <c r="Z358" s="13"/>
      <c r="AA358" s="13">
        <v>1.0</v>
      </c>
      <c r="AB358" s="13">
        <v>1.0</v>
      </c>
      <c r="AC358" s="13"/>
      <c r="AD358" s="13">
        <v>1.0</v>
      </c>
      <c r="AE358" s="13"/>
      <c r="AF358" s="13"/>
    </row>
    <row r="359" ht="15.75" customHeight="1">
      <c r="A359" s="11">
        <v>356.0</v>
      </c>
      <c r="B359" s="11">
        <v>19.0</v>
      </c>
      <c r="C359" s="11" t="s">
        <v>84</v>
      </c>
      <c r="D359" s="11" t="s">
        <v>964</v>
      </c>
      <c r="E359" s="11"/>
      <c r="F359" s="11" t="s">
        <v>965</v>
      </c>
      <c r="G359" s="11" t="s">
        <v>175</v>
      </c>
      <c r="H359" s="11">
        <v>4.0</v>
      </c>
      <c r="I359" s="11">
        <v>2.0</v>
      </c>
      <c r="J359" s="33">
        <v>7.0</v>
      </c>
      <c r="K359" s="33">
        <v>38.0</v>
      </c>
      <c r="L359" s="11"/>
      <c r="M359" s="11"/>
      <c r="N359" s="11">
        <v>6.0</v>
      </c>
      <c r="O359" s="11">
        <v>3.0</v>
      </c>
      <c r="P359" s="11">
        <v>3.0</v>
      </c>
      <c r="Q359" s="11">
        <v>2.0</v>
      </c>
      <c r="R359" s="11">
        <v>3.0</v>
      </c>
      <c r="S359" s="11">
        <v>1.0</v>
      </c>
      <c r="T359" s="11">
        <v>4.0</v>
      </c>
      <c r="U359" s="11">
        <v>3.0</v>
      </c>
      <c r="V359" s="11">
        <v>1.0</v>
      </c>
      <c r="W359" s="11">
        <v>1.0</v>
      </c>
      <c r="X359" s="11">
        <v>1.0</v>
      </c>
      <c r="Y359" s="11">
        <v>1.0</v>
      </c>
      <c r="Z359" s="11"/>
      <c r="AA359" s="11">
        <v>1.0</v>
      </c>
      <c r="AB359" s="11">
        <v>1.0</v>
      </c>
      <c r="AC359" s="11"/>
      <c r="AD359" s="11">
        <v>1.0</v>
      </c>
      <c r="AE359" s="11"/>
      <c r="AF359" s="11"/>
    </row>
    <row r="360" ht="15.75" customHeight="1">
      <c r="A360" s="13">
        <v>357.0</v>
      </c>
      <c r="B360" s="13">
        <v>19.0</v>
      </c>
      <c r="C360" s="13" t="s">
        <v>84</v>
      </c>
      <c r="D360" s="13" t="s">
        <v>966</v>
      </c>
      <c r="E360" s="13"/>
      <c r="F360" s="13" t="s">
        <v>967</v>
      </c>
      <c r="G360" s="13" t="s">
        <v>175</v>
      </c>
      <c r="H360" s="13">
        <v>4.0</v>
      </c>
      <c r="I360" s="13">
        <v>3.0</v>
      </c>
      <c r="J360" s="35">
        <v>6.0</v>
      </c>
      <c r="K360" s="35">
        <v>38.0</v>
      </c>
      <c r="L360" s="13"/>
      <c r="M360" s="13"/>
      <c r="N360" s="13">
        <v>10.0</v>
      </c>
      <c r="O360" s="13">
        <v>4.0</v>
      </c>
      <c r="P360" s="13">
        <v>4.0</v>
      </c>
      <c r="Q360" s="13">
        <v>2.0</v>
      </c>
      <c r="R360" s="13">
        <v>4.0</v>
      </c>
      <c r="S360" s="13">
        <v>1.0</v>
      </c>
      <c r="T360" s="13">
        <v>4.0</v>
      </c>
      <c r="U360" s="13">
        <v>3.0</v>
      </c>
      <c r="V360" s="13">
        <v>1.0</v>
      </c>
      <c r="W360" s="13">
        <v>1.0</v>
      </c>
      <c r="X360" s="13">
        <v>2.0</v>
      </c>
      <c r="Y360" s="13">
        <v>1.0</v>
      </c>
      <c r="Z360" s="13"/>
      <c r="AA360" s="13">
        <v>1.0</v>
      </c>
      <c r="AB360" s="13">
        <v>1.0</v>
      </c>
      <c r="AC360" s="13"/>
      <c r="AD360" s="13">
        <v>1.0</v>
      </c>
      <c r="AE360" s="13">
        <v>1.0</v>
      </c>
      <c r="AF360" s="13"/>
    </row>
    <row r="361" ht="15.75" customHeight="1">
      <c r="A361" s="11">
        <v>358.0</v>
      </c>
      <c r="B361" s="11">
        <v>19.0</v>
      </c>
      <c r="C361" s="11" t="s">
        <v>84</v>
      </c>
      <c r="D361" s="11" t="s">
        <v>968</v>
      </c>
      <c r="E361" s="11"/>
      <c r="F361" s="11" t="s">
        <v>969</v>
      </c>
      <c r="G361" s="11" t="s">
        <v>175</v>
      </c>
      <c r="H361" s="11">
        <v>4.0</v>
      </c>
      <c r="I361" s="11">
        <v>4.0</v>
      </c>
      <c r="J361" s="33">
        <v>5.0</v>
      </c>
      <c r="K361" s="33">
        <v>38.0</v>
      </c>
      <c r="L361" s="11"/>
      <c r="M361" s="11"/>
      <c r="N361" s="11">
        <v>10.0</v>
      </c>
      <c r="O361" s="11">
        <v>4.0</v>
      </c>
      <c r="P361" s="11">
        <v>4.0</v>
      </c>
      <c r="Q361" s="11">
        <v>2.0</v>
      </c>
      <c r="R361" s="11">
        <v>4.0</v>
      </c>
      <c r="S361" s="11">
        <v>1.0</v>
      </c>
      <c r="T361" s="11">
        <v>4.0</v>
      </c>
      <c r="U361" s="11">
        <v>3.0</v>
      </c>
      <c r="V361" s="11">
        <v>1.0</v>
      </c>
      <c r="W361" s="11">
        <v>1.0</v>
      </c>
      <c r="X361" s="11">
        <v>2.0</v>
      </c>
      <c r="Y361" s="11">
        <v>1.0</v>
      </c>
      <c r="Z361" s="11"/>
      <c r="AA361" s="11">
        <v>1.0</v>
      </c>
      <c r="AB361" s="11">
        <v>1.0</v>
      </c>
      <c r="AC361" s="11"/>
      <c r="AD361" s="11">
        <v>1.0</v>
      </c>
      <c r="AE361" s="11">
        <v>1.0</v>
      </c>
      <c r="AF361" s="11"/>
    </row>
    <row r="362" ht="15.75" customHeight="1">
      <c r="A362" s="13">
        <v>359.0</v>
      </c>
      <c r="B362" s="13">
        <v>19.0</v>
      </c>
      <c r="C362" s="13" t="s">
        <v>84</v>
      </c>
      <c r="D362" s="13" t="s">
        <v>970</v>
      </c>
      <c r="E362" s="13"/>
      <c r="F362" s="13" t="s">
        <v>971</v>
      </c>
      <c r="G362" s="13" t="s">
        <v>74</v>
      </c>
      <c r="H362" s="13">
        <v>5.0</v>
      </c>
      <c r="I362" s="13">
        <v>5.0</v>
      </c>
      <c r="J362" s="35">
        <v>1.0</v>
      </c>
      <c r="K362" s="35">
        <v>192.0</v>
      </c>
      <c r="L362" s="13"/>
      <c r="M362" s="13"/>
      <c r="N362" s="13">
        <v>34.0</v>
      </c>
      <c r="O362" s="13">
        <v>10.0</v>
      </c>
      <c r="P362" s="13">
        <v>10.0</v>
      </c>
      <c r="Q362" s="13">
        <v>4.0</v>
      </c>
      <c r="R362" s="13">
        <v>10.0</v>
      </c>
      <c r="S362" s="13">
        <v>3.0</v>
      </c>
      <c r="T362" s="13">
        <v>8.0</v>
      </c>
      <c r="U362" s="13">
        <v>6.0</v>
      </c>
      <c r="V362" s="13">
        <v>2.0</v>
      </c>
      <c r="W362" s="13">
        <v>3.0</v>
      </c>
      <c r="X362" s="13">
        <v>3.0</v>
      </c>
      <c r="Y362" s="13">
        <v>2.0</v>
      </c>
      <c r="Z362" s="13"/>
      <c r="AA362" s="13">
        <v>1.0</v>
      </c>
      <c r="AB362" s="13">
        <v>2.0</v>
      </c>
      <c r="AC362" s="13"/>
      <c r="AD362" s="13">
        <v>2.0</v>
      </c>
      <c r="AE362" s="13">
        <v>1.0</v>
      </c>
      <c r="AF362" s="13"/>
    </row>
    <row r="363" ht="15.75" customHeight="1">
      <c r="A363" s="11">
        <v>360.0</v>
      </c>
      <c r="B363" s="11">
        <v>20.0</v>
      </c>
      <c r="C363" s="11" t="s">
        <v>86</v>
      </c>
      <c r="D363" s="11" t="s">
        <v>972</v>
      </c>
      <c r="E363" s="11"/>
      <c r="F363" s="11" t="s">
        <v>973</v>
      </c>
      <c r="G363" s="11" t="s">
        <v>170</v>
      </c>
      <c r="H363" s="11">
        <v>0.0</v>
      </c>
      <c r="I363" s="11">
        <v>0.0</v>
      </c>
      <c r="J363" s="33">
        <v>15.0</v>
      </c>
      <c r="K363" s="33">
        <v>200.0</v>
      </c>
      <c r="L363" s="11"/>
      <c r="M363" s="34" t="s">
        <v>974</v>
      </c>
      <c r="N363" s="11">
        <v>22.0</v>
      </c>
      <c r="O363" s="11">
        <v>6.0</v>
      </c>
      <c r="P363" s="11">
        <v>6.0</v>
      </c>
      <c r="Q363" s="11">
        <v>4.0</v>
      </c>
      <c r="R363" s="11">
        <v>10.0</v>
      </c>
      <c r="S363" s="11">
        <v>1.0</v>
      </c>
      <c r="T363" s="11">
        <v>8.0</v>
      </c>
      <c r="U363" s="11">
        <v>2.0</v>
      </c>
      <c r="V363" s="11">
        <v>1.0</v>
      </c>
      <c r="W363" s="11">
        <v>1.0</v>
      </c>
      <c r="X363" s="11">
        <v>2.0</v>
      </c>
      <c r="Y363" s="11">
        <v>1.0</v>
      </c>
      <c r="Z363" s="11"/>
      <c r="AA363" s="11">
        <v>1.0</v>
      </c>
      <c r="AB363" s="11">
        <v>1.0</v>
      </c>
      <c r="AC363" s="11"/>
      <c r="AD363" s="11">
        <v>1.0</v>
      </c>
      <c r="AE363" s="11"/>
      <c r="AF363" s="11"/>
    </row>
    <row r="364" ht="15.75" customHeight="1">
      <c r="A364" s="13">
        <v>361.0</v>
      </c>
      <c r="B364" s="13">
        <v>20.0</v>
      </c>
      <c r="C364" s="13" t="s">
        <v>86</v>
      </c>
      <c r="D364" s="13" t="s">
        <v>975</v>
      </c>
      <c r="E364" s="13" t="s">
        <v>976</v>
      </c>
      <c r="F364" s="13" t="s">
        <v>977</v>
      </c>
      <c r="G364" s="13" t="s">
        <v>175</v>
      </c>
      <c r="H364" s="13">
        <v>1.0</v>
      </c>
      <c r="I364" s="13">
        <v>1.0</v>
      </c>
      <c r="J364" s="35">
        <v>8.0</v>
      </c>
      <c r="K364" s="35">
        <v>38.0</v>
      </c>
      <c r="L364" s="13"/>
      <c r="M364" s="13"/>
      <c r="N364" s="13">
        <v>4.0</v>
      </c>
      <c r="O364" s="13">
        <v>2.0</v>
      </c>
      <c r="P364" s="13">
        <v>1.0</v>
      </c>
      <c r="Q364" s="13">
        <v>1.0</v>
      </c>
      <c r="R364" s="13">
        <v>6.0</v>
      </c>
      <c r="S364" s="13"/>
      <c r="T364" s="13">
        <v>6.0</v>
      </c>
      <c r="U364" s="13">
        <v>1.0</v>
      </c>
      <c r="V364" s="13"/>
      <c r="W364" s="13"/>
      <c r="X364" s="13">
        <v>2.0</v>
      </c>
      <c r="Y364" s="13">
        <v>1.0</v>
      </c>
      <c r="Z364" s="13"/>
      <c r="AA364" s="13"/>
      <c r="AB364" s="13">
        <v>1.0</v>
      </c>
      <c r="AC364" s="13"/>
      <c r="AD364" s="13"/>
      <c r="AE364" s="13"/>
      <c r="AF364" s="13"/>
    </row>
    <row r="365" ht="15.75" customHeight="1">
      <c r="A365" s="11">
        <v>362.0</v>
      </c>
      <c r="B365" s="11">
        <v>20.0</v>
      </c>
      <c r="C365" s="11" t="s">
        <v>86</v>
      </c>
      <c r="D365" s="11" t="s">
        <v>978</v>
      </c>
      <c r="E365" s="11"/>
      <c r="F365" s="11" t="s">
        <v>979</v>
      </c>
      <c r="G365" s="11" t="s">
        <v>175</v>
      </c>
      <c r="H365" s="11">
        <v>1.0</v>
      </c>
      <c r="I365" s="11">
        <v>2.0</v>
      </c>
      <c r="J365" s="33">
        <v>7.0</v>
      </c>
      <c r="K365" s="33">
        <v>38.0</v>
      </c>
      <c r="L365" s="11"/>
      <c r="M365" s="11"/>
      <c r="N365" s="11">
        <v>4.0</v>
      </c>
      <c r="O365" s="11">
        <v>2.0</v>
      </c>
      <c r="P365" s="11">
        <v>1.0</v>
      </c>
      <c r="Q365" s="11">
        <v>1.0</v>
      </c>
      <c r="R365" s="11">
        <v>6.0</v>
      </c>
      <c r="S365" s="11"/>
      <c r="T365" s="11">
        <v>6.0</v>
      </c>
      <c r="U365" s="11">
        <v>1.0</v>
      </c>
      <c r="V365" s="11"/>
      <c r="W365" s="11"/>
      <c r="X365" s="11">
        <v>2.0</v>
      </c>
      <c r="Y365" s="11">
        <v>1.0</v>
      </c>
      <c r="Z365" s="11"/>
      <c r="AA365" s="11"/>
      <c r="AB365" s="11">
        <v>1.0</v>
      </c>
      <c r="AC365" s="11"/>
      <c r="AD365" s="11"/>
      <c r="AE365" s="11"/>
      <c r="AF365" s="11"/>
    </row>
    <row r="366" ht="15.75" customHeight="1">
      <c r="A366" s="13">
        <v>363.0</v>
      </c>
      <c r="B366" s="13">
        <v>20.0</v>
      </c>
      <c r="C366" s="13" t="s">
        <v>86</v>
      </c>
      <c r="D366" s="13" t="s">
        <v>980</v>
      </c>
      <c r="E366" s="13"/>
      <c r="F366" s="13" t="s">
        <v>981</v>
      </c>
      <c r="G366" s="13" t="s">
        <v>175</v>
      </c>
      <c r="H366" s="13">
        <v>1.0</v>
      </c>
      <c r="I366" s="13">
        <v>3.0</v>
      </c>
      <c r="J366" s="35">
        <v>6.0</v>
      </c>
      <c r="K366" s="35">
        <v>38.0</v>
      </c>
      <c r="L366" s="13"/>
      <c r="M366" s="13"/>
      <c r="N366" s="13">
        <v>6.0</v>
      </c>
      <c r="O366" s="13">
        <v>3.0</v>
      </c>
      <c r="P366" s="13">
        <v>2.0</v>
      </c>
      <c r="Q366" s="13">
        <v>1.0</v>
      </c>
      <c r="R366" s="13">
        <v>8.0</v>
      </c>
      <c r="S366" s="13"/>
      <c r="T366" s="13">
        <v>7.0</v>
      </c>
      <c r="U366" s="13">
        <v>1.0</v>
      </c>
      <c r="V366" s="13"/>
      <c r="W366" s="13"/>
      <c r="X366" s="13">
        <v>3.0</v>
      </c>
      <c r="Y366" s="13">
        <v>1.0</v>
      </c>
      <c r="Z366" s="13"/>
      <c r="AA366" s="13"/>
      <c r="AB366" s="13">
        <v>1.0</v>
      </c>
      <c r="AC366" s="13"/>
      <c r="AD366" s="13">
        <v>1.0</v>
      </c>
      <c r="AE366" s="13"/>
      <c r="AF366" s="13"/>
    </row>
    <row r="367" ht="15.75" customHeight="1">
      <c r="A367" s="11">
        <v>364.0</v>
      </c>
      <c r="B367" s="11">
        <v>20.0</v>
      </c>
      <c r="C367" s="11" t="s">
        <v>86</v>
      </c>
      <c r="D367" s="11" t="s">
        <v>982</v>
      </c>
      <c r="E367" s="11"/>
      <c r="F367" s="11" t="s">
        <v>983</v>
      </c>
      <c r="G367" s="11" t="s">
        <v>175</v>
      </c>
      <c r="H367" s="11">
        <v>1.0</v>
      </c>
      <c r="I367" s="11">
        <v>4.0</v>
      </c>
      <c r="J367" s="33">
        <v>5.0</v>
      </c>
      <c r="K367" s="33">
        <v>38.0</v>
      </c>
      <c r="L367" s="11"/>
      <c r="M367" s="11"/>
      <c r="N367" s="11">
        <v>6.0</v>
      </c>
      <c r="O367" s="11">
        <v>3.0</v>
      </c>
      <c r="P367" s="11">
        <v>2.0</v>
      </c>
      <c r="Q367" s="11">
        <v>1.0</v>
      </c>
      <c r="R367" s="11">
        <v>8.0</v>
      </c>
      <c r="S367" s="11"/>
      <c r="T367" s="11">
        <v>7.0</v>
      </c>
      <c r="U367" s="11">
        <v>1.0</v>
      </c>
      <c r="V367" s="11"/>
      <c r="W367" s="11"/>
      <c r="X367" s="11">
        <v>3.0</v>
      </c>
      <c r="Y367" s="11">
        <v>1.0</v>
      </c>
      <c r="Z367" s="11"/>
      <c r="AA367" s="11"/>
      <c r="AB367" s="11">
        <v>1.0</v>
      </c>
      <c r="AC367" s="11"/>
      <c r="AD367" s="11">
        <v>1.0</v>
      </c>
      <c r="AE367" s="11"/>
      <c r="AF367" s="11"/>
    </row>
    <row r="368" ht="15.75" customHeight="1">
      <c r="A368" s="13">
        <v>365.0</v>
      </c>
      <c r="B368" s="13">
        <v>20.0</v>
      </c>
      <c r="C368" s="13" t="s">
        <v>86</v>
      </c>
      <c r="D368" s="13" t="s">
        <v>984</v>
      </c>
      <c r="E368" s="13" t="s">
        <v>985</v>
      </c>
      <c r="F368" s="13" t="s">
        <v>986</v>
      </c>
      <c r="G368" s="13" t="s">
        <v>175</v>
      </c>
      <c r="H368" s="13">
        <v>2.0</v>
      </c>
      <c r="I368" s="13">
        <v>1.0</v>
      </c>
      <c r="J368" s="35">
        <v>8.0</v>
      </c>
      <c r="K368" s="35">
        <v>38.0</v>
      </c>
      <c r="L368" s="13"/>
      <c r="M368" s="13"/>
      <c r="N368" s="13">
        <v>4.0</v>
      </c>
      <c r="O368" s="13">
        <v>2.0</v>
      </c>
      <c r="P368" s="13">
        <v>2.0</v>
      </c>
      <c r="Q368" s="13">
        <v>1.0</v>
      </c>
      <c r="R368" s="13">
        <v>5.0</v>
      </c>
      <c r="S368" s="13"/>
      <c r="T368" s="13">
        <v>5.0</v>
      </c>
      <c r="U368" s="13">
        <v>2.0</v>
      </c>
      <c r="V368" s="13">
        <v>1.0</v>
      </c>
      <c r="W368" s="13"/>
      <c r="X368" s="13">
        <v>1.0</v>
      </c>
      <c r="Y368" s="13">
        <v>1.0</v>
      </c>
      <c r="Z368" s="13"/>
      <c r="AA368" s="13">
        <v>1.0</v>
      </c>
      <c r="AB368" s="13">
        <v>1.0</v>
      </c>
      <c r="AC368" s="13"/>
      <c r="AD368" s="13"/>
      <c r="AE368" s="13"/>
      <c r="AF368" s="13"/>
    </row>
    <row r="369" ht="15.75" customHeight="1">
      <c r="A369" s="11">
        <v>366.0</v>
      </c>
      <c r="B369" s="11">
        <v>20.0</v>
      </c>
      <c r="C369" s="11" t="s">
        <v>86</v>
      </c>
      <c r="D369" s="11" t="s">
        <v>987</v>
      </c>
      <c r="E369" s="11"/>
      <c r="F369" s="11" t="s">
        <v>988</v>
      </c>
      <c r="G369" s="11" t="s">
        <v>175</v>
      </c>
      <c r="H369" s="11">
        <v>2.0</v>
      </c>
      <c r="I369" s="11">
        <v>2.0</v>
      </c>
      <c r="J369" s="33">
        <v>7.0</v>
      </c>
      <c r="K369" s="33">
        <v>38.0</v>
      </c>
      <c r="L369" s="11"/>
      <c r="M369" s="11"/>
      <c r="N369" s="11">
        <v>4.0</v>
      </c>
      <c r="O369" s="11">
        <v>2.0</v>
      </c>
      <c r="P369" s="11">
        <v>2.0</v>
      </c>
      <c r="Q369" s="11">
        <v>1.0</v>
      </c>
      <c r="R369" s="11">
        <v>5.0</v>
      </c>
      <c r="S369" s="11"/>
      <c r="T369" s="11">
        <v>5.0</v>
      </c>
      <c r="U369" s="11">
        <v>2.0</v>
      </c>
      <c r="V369" s="11">
        <v>1.0</v>
      </c>
      <c r="W369" s="11"/>
      <c r="X369" s="11">
        <v>1.0</v>
      </c>
      <c r="Y369" s="11">
        <v>1.0</v>
      </c>
      <c r="Z369" s="11"/>
      <c r="AA369" s="11">
        <v>1.0</v>
      </c>
      <c r="AB369" s="11">
        <v>1.0</v>
      </c>
      <c r="AC369" s="11"/>
      <c r="AD369" s="11"/>
      <c r="AE369" s="11"/>
      <c r="AF369" s="11"/>
    </row>
    <row r="370" ht="15.75" customHeight="1">
      <c r="A370" s="13">
        <v>367.0</v>
      </c>
      <c r="B370" s="13">
        <v>20.0</v>
      </c>
      <c r="C370" s="13" t="s">
        <v>86</v>
      </c>
      <c r="D370" s="13" t="s">
        <v>989</v>
      </c>
      <c r="E370" s="13"/>
      <c r="F370" s="13" t="s">
        <v>990</v>
      </c>
      <c r="G370" s="13" t="s">
        <v>175</v>
      </c>
      <c r="H370" s="13">
        <v>2.0</v>
      </c>
      <c r="I370" s="13">
        <v>3.0</v>
      </c>
      <c r="J370" s="35">
        <v>6.0</v>
      </c>
      <c r="K370" s="35">
        <v>38.0</v>
      </c>
      <c r="L370" s="13"/>
      <c r="M370" s="13"/>
      <c r="N370" s="13">
        <v>6.0</v>
      </c>
      <c r="O370" s="13">
        <v>3.0</v>
      </c>
      <c r="P370" s="13">
        <v>3.0</v>
      </c>
      <c r="Q370" s="13">
        <v>2.0</v>
      </c>
      <c r="R370" s="13">
        <v>6.0</v>
      </c>
      <c r="S370" s="13"/>
      <c r="T370" s="13">
        <v>6.0</v>
      </c>
      <c r="U370" s="13">
        <v>2.0</v>
      </c>
      <c r="V370" s="13">
        <v>1.0</v>
      </c>
      <c r="W370" s="13"/>
      <c r="X370" s="13">
        <v>1.0</v>
      </c>
      <c r="Y370" s="13">
        <v>1.0</v>
      </c>
      <c r="Z370" s="13"/>
      <c r="AA370" s="13">
        <v>1.0</v>
      </c>
      <c r="AB370" s="13">
        <v>1.0</v>
      </c>
      <c r="AC370" s="13"/>
      <c r="AD370" s="13">
        <v>1.0</v>
      </c>
      <c r="AE370" s="13"/>
      <c r="AF370" s="13"/>
    </row>
    <row r="371" ht="15.75" customHeight="1">
      <c r="A371" s="11">
        <v>368.0</v>
      </c>
      <c r="B371" s="11">
        <v>20.0</v>
      </c>
      <c r="C371" s="11" t="s">
        <v>86</v>
      </c>
      <c r="D371" s="11" t="s">
        <v>991</v>
      </c>
      <c r="E371" s="11"/>
      <c r="F371" s="11" t="s">
        <v>992</v>
      </c>
      <c r="G371" s="11" t="s">
        <v>175</v>
      </c>
      <c r="H371" s="11">
        <v>2.0</v>
      </c>
      <c r="I371" s="11">
        <v>4.0</v>
      </c>
      <c r="J371" s="33">
        <v>5.0</v>
      </c>
      <c r="K371" s="33">
        <v>38.0</v>
      </c>
      <c r="L371" s="11"/>
      <c r="M371" s="11"/>
      <c r="N371" s="11">
        <v>6.0</v>
      </c>
      <c r="O371" s="11">
        <v>3.0</v>
      </c>
      <c r="P371" s="11">
        <v>3.0</v>
      </c>
      <c r="Q371" s="11">
        <v>2.0</v>
      </c>
      <c r="R371" s="11">
        <v>6.0</v>
      </c>
      <c r="S371" s="11"/>
      <c r="T371" s="11">
        <v>6.0</v>
      </c>
      <c r="U371" s="11">
        <v>2.0</v>
      </c>
      <c r="V371" s="11">
        <v>1.0</v>
      </c>
      <c r="W371" s="11"/>
      <c r="X371" s="11">
        <v>1.0</v>
      </c>
      <c r="Y371" s="11">
        <v>1.0</v>
      </c>
      <c r="Z371" s="11"/>
      <c r="AA371" s="11">
        <v>1.0</v>
      </c>
      <c r="AB371" s="11">
        <v>1.0</v>
      </c>
      <c r="AC371" s="11"/>
      <c r="AD371" s="11">
        <v>1.0</v>
      </c>
      <c r="AE371" s="11"/>
      <c r="AF371" s="11"/>
    </row>
    <row r="372" ht="15.75" customHeight="1">
      <c r="A372" s="13">
        <v>369.0</v>
      </c>
      <c r="B372" s="13">
        <v>20.0</v>
      </c>
      <c r="C372" s="13" t="s">
        <v>86</v>
      </c>
      <c r="D372" s="13" t="s">
        <v>993</v>
      </c>
      <c r="E372" s="13" t="s">
        <v>994</v>
      </c>
      <c r="F372" s="13" t="s">
        <v>995</v>
      </c>
      <c r="G372" s="13" t="s">
        <v>175</v>
      </c>
      <c r="H372" s="13">
        <v>3.0</v>
      </c>
      <c r="I372" s="13">
        <v>1.0</v>
      </c>
      <c r="J372" s="35">
        <v>8.0</v>
      </c>
      <c r="K372" s="35">
        <v>38.0</v>
      </c>
      <c r="L372" s="13"/>
      <c r="M372" s="13"/>
      <c r="N372" s="13">
        <v>4.0</v>
      </c>
      <c r="O372" s="13">
        <v>2.0</v>
      </c>
      <c r="P372" s="13">
        <v>2.0</v>
      </c>
      <c r="Q372" s="13">
        <v>1.0</v>
      </c>
      <c r="R372" s="13">
        <v>4.0</v>
      </c>
      <c r="S372" s="13">
        <v>1.0</v>
      </c>
      <c r="T372" s="13">
        <v>5.0</v>
      </c>
      <c r="U372" s="13">
        <v>2.0</v>
      </c>
      <c r="V372" s="13">
        <v>1.0</v>
      </c>
      <c r="W372" s="13">
        <v>1.0</v>
      </c>
      <c r="X372" s="13">
        <v>1.0</v>
      </c>
      <c r="Y372" s="13">
        <v>1.0</v>
      </c>
      <c r="Z372" s="13"/>
      <c r="AA372" s="13"/>
      <c r="AB372" s="13">
        <v>1.0</v>
      </c>
      <c r="AC372" s="13"/>
      <c r="AD372" s="13">
        <v>1.0</v>
      </c>
      <c r="AE372" s="13">
        <v>1.0</v>
      </c>
      <c r="AF372" s="13"/>
    </row>
    <row r="373" ht="15.75" customHeight="1">
      <c r="A373" s="11">
        <v>370.0</v>
      </c>
      <c r="B373" s="11">
        <v>20.0</v>
      </c>
      <c r="C373" s="11" t="s">
        <v>86</v>
      </c>
      <c r="D373" s="11" t="s">
        <v>996</v>
      </c>
      <c r="E373" s="11"/>
      <c r="F373" s="11" t="s">
        <v>997</v>
      </c>
      <c r="G373" s="11" t="s">
        <v>175</v>
      </c>
      <c r="H373" s="11">
        <v>3.0</v>
      </c>
      <c r="I373" s="11">
        <v>2.0</v>
      </c>
      <c r="J373" s="33">
        <v>7.0</v>
      </c>
      <c r="K373" s="33">
        <v>38.0</v>
      </c>
      <c r="L373" s="11"/>
      <c r="M373" s="11"/>
      <c r="N373" s="11">
        <v>4.0</v>
      </c>
      <c r="O373" s="11">
        <v>2.0</v>
      </c>
      <c r="P373" s="11">
        <v>2.0</v>
      </c>
      <c r="Q373" s="11">
        <v>1.0</v>
      </c>
      <c r="R373" s="11">
        <v>4.0</v>
      </c>
      <c r="S373" s="11">
        <v>1.0</v>
      </c>
      <c r="T373" s="11">
        <v>5.0</v>
      </c>
      <c r="U373" s="11">
        <v>2.0</v>
      </c>
      <c r="V373" s="11">
        <v>1.0</v>
      </c>
      <c r="W373" s="11">
        <v>1.0</v>
      </c>
      <c r="X373" s="11">
        <v>1.0</v>
      </c>
      <c r="Y373" s="11">
        <v>1.0</v>
      </c>
      <c r="Z373" s="11"/>
      <c r="AA373" s="11"/>
      <c r="AB373" s="11">
        <v>1.0</v>
      </c>
      <c r="AC373" s="11"/>
      <c r="AD373" s="11">
        <v>1.0</v>
      </c>
      <c r="AE373" s="11">
        <v>1.0</v>
      </c>
      <c r="AF373" s="11"/>
    </row>
    <row r="374" ht="15.75" customHeight="1">
      <c r="A374" s="13">
        <v>371.0</v>
      </c>
      <c r="B374" s="13">
        <v>20.0</v>
      </c>
      <c r="C374" s="13" t="s">
        <v>86</v>
      </c>
      <c r="D374" s="13" t="s">
        <v>998</v>
      </c>
      <c r="E374" s="13"/>
      <c r="F374" s="13" t="s">
        <v>999</v>
      </c>
      <c r="G374" s="13" t="s">
        <v>175</v>
      </c>
      <c r="H374" s="13">
        <v>3.0</v>
      </c>
      <c r="I374" s="13">
        <v>3.0</v>
      </c>
      <c r="J374" s="35">
        <v>6.0</v>
      </c>
      <c r="K374" s="35">
        <v>38.0</v>
      </c>
      <c r="L374" s="13"/>
      <c r="M374" s="13"/>
      <c r="N374" s="13">
        <v>6.0</v>
      </c>
      <c r="O374" s="13">
        <v>3.0</v>
      </c>
      <c r="P374" s="13">
        <v>3.0</v>
      </c>
      <c r="Q374" s="13">
        <v>2.0</v>
      </c>
      <c r="R374" s="13">
        <v>5.0</v>
      </c>
      <c r="S374" s="13">
        <v>1.0</v>
      </c>
      <c r="T374" s="13">
        <v>6.0</v>
      </c>
      <c r="U374" s="13">
        <v>2.0</v>
      </c>
      <c r="V374" s="13">
        <v>1.0</v>
      </c>
      <c r="W374" s="13">
        <v>1.0</v>
      </c>
      <c r="X374" s="13">
        <v>2.0</v>
      </c>
      <c r="Y374" s="13">
        <v>1.0</v>
      </c>
      <c r="Z374" s="13"/>
      <c r="AA374" s="13"/>
      <c r="AB374" s="13">
        <v>1.0</v>
      </c>
      <c r="AC374" s="13"/>
      <c r="AD374" s="13">
        <v>1.0</v>
      </c>
      <c r="AE374" s="13">
        <v>1.0</v>
      </c>
      <c r="AF374" s="13"/>
    </row>
    <row r="375" ht="15.75" customHeight="1">
      <c r="A375" s="11">
        <v>372.0</v>
      </c>
      <c r="B375" s="11">
        <v>20.0</v>
      </c>
      <c r="C375" s="11" t="s">
        <v>86</v>
      </c>
      <c r="D375" s="11" t="s">
        <v>1000</v>
      </c>
      <c r="E375" s="11"/>
      <c r="F375" s="11" t="s">
        <v>1001</v>
      </c>
      <c r="G375" s="11" t="s">
        <v>175</v>
      </c>
      <c r="H375" s="11">
        <v>3.0</v>
      </c>
      <c r="I375" s="11">
        <v>4.0</v>
      </c>
      <c r="J375" s="33">
        <v>5.0</v>
      </c>
      <c r="K375" s="33">
        <v>38.0</v>
      </c>
      <c r="L375" s="11"/>
      <c r="M375" s="11"/>
      <c r="N375" s="11">
        <v>6.0</v>
      </c>
      <c r="O375" s="11">
        <v>3.0</v>
      </c>
      <c r="P375" s="11">
        <v>3.0</v>
      </c>
      <c r="Q375" s="11">
        <v>2.0</v>
      </c>
      <c r="R375" s="11">
        <v>5.0</v>
      </c>
      <c r="S375" s="11">
        <v>1.0</v>
      </c>
      <c r="T375" s="11">
        <v>6.0</v>
      </c>
      <c r="U375" s="11">
        <v>2.0</v>
      </c>
      <c r="V375" s="11">
        <v>1.0</v>
      </c>
      <c r="W375" s="11">
        <v>1.0</v>
      </c>
      <c r="X375" s="11">
        <v>2.0</v>
      </c>
      <c r="Y375" s="11">
        <v>1.0</v>
      </c>
      <c r="Z375" s="11"/>
      <c r="AA375" s="11"/>
      <c r="AB375" s="11">
        <v>1.0</v>
      </c>
      <c r="AC375" s="11"/>
      <c r="AD375" s="11">
        <v>1.0</v>
      </c>
      <c r="AE375" s="11">
        <v>1.0</v>
      </c>
      <c r="AF375" s="11"/>
    </row>
    <row r="376" ht="15.75" customHeight="1">
      <c r="A376" s="13">
        <v>373.0</v>
      </c>
      <c r="B376" s="13">
        <v>20.0</v>
      </c>
      <c r="C376" s="13" t="s">
        <v>86</v>
      </c>
      <c r="D376" s="13" t="s">
        <v>1002</v>
      </c>
      <c r="E376" s="13" t="s">
        <v>1003</v>
      </c>
      <c r="F376" s="13" t="s">
        <v>1004</v>
      </c>
      <c r="G376" s="13" t="s">
        <v>175</v>
      </c>
      <c r="H376" s="13">
        <v>4.0</v>
      </c>
      <c r="I376" s="13">
        <v>1.0</v>
      </c>
      <c r="J376" s="35">
        <v>8.0</v>
      </c>
      <c r="K376" s="35">
        <v>38.0</v>
      </c>
      <c r="L376" s="13"/>
      <c r="M376" s="13"/>
      <c r="N376" s="13">
        <v>4.0</v>
      </c>
      <c r="O376" s="13">
        <v>2.0</v>
      </c>
      <c r="P376" s="13">
        <v>2.0</v>
      </c>
      <c r="Q376" s="13">
        <v>1.0</v>
      </c>
      <c r="R376" s="13">
        <v>4.0</v>
      </c>
      <c r="S376" s="13">
        <v>1.0</v>
      </c>
      <c r="T376" s="13">
        <v>5.0</v>
      </c>
      <c r="U376" s="13">
        <v>1.0</v>
      </c>
      <c r="V376" s="13">
        <v>1.0</v>
      </c>
      <c r="W376" s="13">
        <v>1.0</v>
      </c>
      <c r="X376" s="13">
        <v>1.0</v>
      </c>
      <c r="Y376" s="13">
        <v>1.0</v>
      </c>
      <c r="Z376" s="13"/>
      <c r="AA376" s="13">
        <v>1.0</v>
      </c>
      <c r="AB376" s="13">
        <v>1.0</v>
      </c>
      <c r="AC376" s="13"/>
      <c r="AD376" s="13"/>
      <c r="AE376" s="13">
        <v>1.0</v>
      </c>
      <c r="AF376" s="13"/>
    </row>
    <row r="377" ht="15.75" customHeight="1">
      <c r="A377" s="11">
        <v>374.0</v>
      </c>
      <c r="B377" s="11">
        <v>20.0</v>
      </c>
      <c r="C377" s="11" t="s">
        <v>86</v>
      </c>
      <c r="D377" s="11" t="s">
        <v>1005</v>
      </c>
      <c r="E377" s="11"/>
      <c r="F377" s="11" t="s">
        <v>1006</v>
      </c>
      <c r="G377" s="11" t="s">
        <v>175</v>
      </c>
      <c r="H377" s="11">
        <v>4.0</v>
      </c>
      <c r="I377" s="11">
        <v>2.0</v>
      </c>
      <c r="J377" s="33">
        <v>7.0</v>
      </c>
      <c r="K377" s="33">
        <v>38.0</v>
      </c>
      <c r="L377" s="11"/>
      <c r="M377" s="11"/>
      <c r="N377" s="11">
        <v>4.0</v>
      </c>
      <c r="O377" s="11">
        <v>2.0</v>
      </c>
      <c r="P377" s="11">
        <v>2.0</v>
      </c>
      <c r="Q377" s="11">
        <v>1.0</v>
      </c>
      <c r="R377" s="11">
        <v>4.0</v>
      </c>
      <c r="S377" s="11">
        <v>1.0</v>
      </c>
      <c r="T377" s="11">
        <v>5.0</v>
      </c>
      <c r="U377" s="11">
        <v>1.0</v>
      </c>
      <c r="V377" s="11">
        <v>1.0</v>
      </c>
      <c r="W377" s="11">
        <v>1.0</v>
      </c>
      <c r="X377" s="11">
        <v>1.0</v>
      </c>
      <c r="Y377" s="11">
        <v>1.0</v>
      </c>
      <c r="Z377" s="11"/>
      <c r="AA377" s="11">
        <v>1.0</v>
      </c>
      <c r="AB377" s="11">
        <v>1.0</v>
      </c>
      <c r="AC377" s="11"/>
      <c r="AD377" s="11"/>
      <c r="AE377" s="11">
        <v>1.0</v>
      </c>
      <c r="AF377" s="11"/>
    </row>
    <row r="378" ht="15.75" customHeight="1">
      <c r="A378" s="13">
        <v>375.0</v>
      </c>
      <c r="B378" s="13">
        <v>20.0</v>
      </c>
      <c r="C378" s="13" t="s">
        <v>86</v>
      </c>
      <c r="D378" s="13" t="s">
        <v>1007</v>
      </c>
      <c r="E378" s="13"/>
      <c r="F378" s="13" t="s">
        <v>1008</v>
      </c>
      <c r="G378" s="13" t="s">
        <v>175</v>
      </c>
      <c r="H378" s="13">
        <v>4.0</v>
      </c>
      <c r="I378" s="13">
        <v>3.0</v>
      </c>
      <c r="J378" s="35">
        <v>6.0</v>
      </c>
      <c r="K378" s="35">
        <v>38.0</v>
      </c>
      <c r="L378" s="13"/>
      <c r="M378" s="13"/>
      <c r="N378" s="13">
        <v>6.0</v>
      </c>
      <c r="O378" s="13">
        <v>3.0</v>
      </c>
      <c r="P378" s="13">
        <v>3.0</v>
      </c>
      <c r="Q378" s="13">
        <v>1.0</v>
      </c>
      <c r="R378" s="13">
        <v>5.0</v>
      </c>
      <c r="S378" s="13">
        <v>1.0</v>
      </c>
      <c r="T378" s="13">
        <v>6.0</v>
      </c>
      <c r="U378" s="13">
        <v>1.0</v>
      </c>
      <c r="V378" s="13">
        <v>1.0</v>
      </c>
      <c r="W378" s="13">
        <v>1.0</v>
      </c>
      <c r="X378" s="13">
        <v>2.0</v>
      </c>
      <c r="Y378" s="13">
        <v>1.0</v>
      </c>
      <c r="Z378" s="13"/>
      <c r="AA378" s="13">
        <v>1.0</v>
      </c>
      <c r="AB378" s="13">
        <v>1.0</v>
      </c>
      <c r="AC378" s="13"/>
      <c r="AD378" s="13">
        <v>1.0</v>
      </c>
      <c r="AE378" s="13">
        <v>1.0</v>
      </c>
      <c r="AF378" s="13"/>
    </row>
    <row r="379" ht="15.75" customHeight="1">
      <c r="A379" s="11">
        <v>376.0</v>
      </c>
      <c r="B379" s="11">
        <v>20.0</v>
      </c>
      <c r="C379" s="11" t="s">
        <v>86</v>
      </c>
      <c r="D379" s="11" t="s">
        <v>1009</v>
      </c>
      <c r="E379" s="11"/>
      <c r="F379" s="11" t="s">
        <v>1010</v>
      </c>
      <c r="G379" s="11" t="s">
        <v>175</v>
      </c>
      <c r="H379" s="11">
        <v>4.0</v>
      </c>
      <c r="I379" s="11">
        <v>4.0</v>
      </c>
      <c r="J379" s="33">
        <v>5.0</v>
      </c>
      <c r="K379" s="33">
        <v>38.0</v>
      </c>
      <c r="L379" s="11"/>
      <c r="M379" s="11"/>
      <c r="N379" s="11">
        <v>6.0</v>
      </c>
      <c r="O379" s="11">
        <v>3.0</v>
      </c>
      <c r="P379" s="11">
        <v>3.0</v>
      </c>
      <c r="Q379" s="11">
        <v>1.0</v>
      </c>
      <c r="R379" s="11">
        <v>5.0</v>
      </c>
      <c r="S379" s="11">
        <v>1.0</v>
      </c>
      <c r="T379" s="11">
        <v>6.0</v>
      </c>
      <c r="U379" s="11">
        <v>1.0</v>
      </c>
      <c r="V379" s="11">
        <v>1.0</v>
      </c>
      <c r="W379" s="11">
        <v>1.0</v>
      </c>
      <c r="X379" s="11">
        <v>2.0</v>
      </c>
      <c r="Y379" s="11">
        <v>1.0</v>
      </c>
      <c r="Z379" s="11"/>
      <c r="AA379" s="11">
        <v>1.0</v>
      </c>
      <c r="AB379" s="11">
        <v>1.0</v>
      </c>
      <c r="AC379" s="11"/>
      <c r="AD379" s="11">
        <v>1.0</v>
      </c>
      <c r="AE379" s="11">
        <v>1.0</v>
      </c>
      <c r="AF379" s="11"/>
    </row>
    <row r="380" ht="15.75" customHeight="1">
      <c r="A380" s="13">
        <v>377.0</v>
      </c>
      <c r="B380" s="13">
        <v>20.0</v>
      </c>
      <c r="C380" s="13" t="s">
        <v>86</v>
      </c>
      <c r="D380" s="13" t="s">
        <v>1011</v>
      </c>
      <c r="E380" s="13"/>
      <c r="F380" s="13" t="s">
        <v>1012</v>
      </c>
      <c r="G380" s="13" t="s">
        <v>74</v>
      </c>
      <c r="H380" s="13">
        <v>5.0</v>
      </c>
      <c r="I380" s="13">
        <v>5.0</v>
      </c>
      <c r="J380" s="35">
        <v>1.0</v>
      </c>
      <c r="K380" s="35">
        <v>192.0</v>
      </c>
      <c r="L380" s="13"/>
      <c r="M380" s="13"/>
      <c r="N380" s="13">
        <v>28.0</v>
      </c>
      <c r="O380" s="13">
        <v>8.0</v>
      </c>
      <c r="P380" s="13">
        <v>8.0</v>
      </c>
      <c r="Q380" s="13">
        <v>5.0</v>
      </c>
      <c r="R380" s="13">
        <v>12.0</v>
      </c>
      <c r="S380" s="13">
        <v>2.0</v>
      </c>
      <c r="T380" s="13">
        <v>12.0</v>
      </c>
      <c r="U380" s="13">
        <v>3.0</v>
      </c>
      <c r="V380" s="13">
        <v>2.0</v>
      </c>
      <c r="W380" s="13">
        <v>2.0</v>
      </c>
      <c r="X380" s="13">
        <v>3.0</v>
      </c>
      <c r="Y380" s="13">
        <v>2.0</v>
      </c>
      <c r="Z380" s="13"/>
      <c r="AA380" s="13">
        <v>1.0</v>
      </c>
      <c r="AB380" s="13">
        <v>1.0</v>
      </c>
      <c r="AC380" s="13"/>
      <c r="AD380" s="13">
        <v>2.0</v>
      </c>
      <c r="AE380" s="13">
        <v>1.0</v>
      </c>
      <c r="AF380" s="13"/>
    </row>
    <row r="381" ht="15.75" customHeight="1">
      <c r="A381" s="11">
        <v>378.0</v>
      </c>
      <c r="B381" s="11">
        <v>21.0</v>
      </c>
      <c r="C381" s="11" t="s">
        <v>88</v>
      </c>
      <c r="D381" s="11" t="s">
        <v>1013</v>
      </c>
      <c r="E381" s="11"/>
      <c r="F381" s="11" t="s">
        <v>1014</v>
      </c>
      <c r="G381" s="11" t="s">
        <v>170</v>
      </c>
      <c r="H381" s="11">
        <v>0.0</v>
      </c>
      <c r="I381" s="11">
        <v>0.0</v>
      </c>
      <c r="J381" s="33">
        <v>15.0</v>
      </c>
      <c r="K381" s="33">
        <v>200.0</v>
      </c>
      <c r="L381" s="11"/>
      <c r="M381" s="34" t="s">
        <v>1015</v>
      </c>
      <c r="N381" s="11">
        <v>28.0</v>
      </c>
      <c r="O381" s="11">
        <v>8.0</v>
      </c>
      <c r="P381" s="11">
        <v>8.0</v>
      </c>
      <c r="Q381" s="11">
        <v>4.0</v>
      </c>
      <c r="R381" s="11">
        <v>6.0</v>
      </c>
      <c r="S381" s="11">
        <v>3.0</v>
      </c>
      <c r="T381" s="11">
        <v>7.0</v>
      </c>
      <c r="U381" s="11">
        <v>3.0</v>
      </c>
      <c r="V381" s="11">
        <v>2.0</v>
      </c>
      <c r="W381" s="11">
        <v>2.0</v>
      </c>
      <c r="X381" s="11">
        <v>2.0</v>
      </c>
      <c r="Y381" s="11">
        <v>1.0</v>
      </c>
      <c r="Z381" s="11"/>
      <c r="AA381" s="11">
        <v>1.0</v>
      </c>
      <c r="AB381" s="11">
        <v>1.0</v>
      </c>
      <c r="AC381" s="11"/>
      <c r="AD381" s="11">
        <v>1.0</v>
      </c>
      <c r="AE381" s="11"/>
      <c r="AF381" s="11"/>
    </row>
    <row r="382" ht="15.75" customHeight="1">
      <c r="A382" s="13">
        <v>379.0</v>
      </c>
      <c r="B382" s="13">
        <v>21.0</v>
      </c>
      <c r="C382" s="13" t="s">
        <v>88</v>
      </c>
      <c r="D382" s="13" t="s">
        <v>1016</v>
      </c>
      <c r="E382" s="13" t="s">
        <v>1017</v>
      </c>
      <c r="F382" s="13" t="s">
        <v>1018</v>
      </c>
      <c r="G382" s="13" t="s">
        <v>175</v>
      </c>
      <c r="H382" s="13">
        <v>1.0</v>
      </c>
      <c r="I382" s="13">
        <v>1.0</v>
      </c>
      <c r="J382" s="35">
        <v>8.0</v>
      </c>
      <c r="K382" s="35">
        <v>38.0</v>
      </c>
      <c r="L382" s="13"/>
      <c r="M382" s="13"/>
      <c r="N382" s="13">
        <v>7.0</v>
      </c>
      <c r="O382" s="13">
        <v>3.0</v>
      </c>
      <c r="P382" s="13">
        <v>4.0</v>
      </c>
      <c r="Q382" s="13">
        <v>2.0</v>
      </c>
      <c r="R382" s="13">
        <v>4.0</v>
      </c>
      <c r="S382" s="13">
        <v>1.0</v>
      </c>
      <c r="T382" s="13">
        <v>5.0</v>
      </c>
      <c r="U382" s="13">
        <v>1.0</v>
      </c>
      <c r="V382" s="13"/>
      <c r="W382" s="13">
        <v>1.0</v>
      </c>
      <c r="X382" s="13">
        <v>1.0</v>
      </c>
      <c r="Y382" s="13">
        <v>1.0</v>
      </c>
      <c r="Z382" s="13"/>
      <c r="AA382" s="13">
        <v>1.0</v>
      </c>
      <c r="AB382" s="13">
        <v>1.0</v>
      </c>
      <c r="AC382" s="13"/>
      <c r="AD382" s="13">
        <v>1.0</v>
      </c>
      <c r="AE382" s="13"/>
      <c r="AF382" s="13"/>
    </row>
    <row r="383" ht="15.75" customHeight="1">
      <c r="A383" s="11">
        <v>380.0</v>
      </c>
      <c r="B383" s="11">
        <v>21.0</v>
      </c>
      <c r="C383" s="11" t="s">
        <v>88</v>
      </c>
      <c r="D383" s="11" t="s">
        <v>1019</v>
      </c>
      <c r="E383" s="11"/>
      <c r="F383" s="11" t="s">
        <v>1020</v>
      </c>
      <c r="G383" s="11" t="s">
        <v>175</v>
      </c>
      <c r="H383" s="11">
        <v>1.0</v>
      </c>
      <c r="I383" s="11">
        <v>2.0</v>
      </c>
      <c r="J383" s="33">
        <v>7.0</v>
      </c>
      <c r="K383" s="33">
        <v>38.0</v>
      </c>
      <c r="L383" s="11"/>
      <c r="M383" s="11"/>
      <c r="N383" s="11">
        <v>7.0</v>
      </c>
      <c r="O383" s="11">
        <v>3.0</v>
      </c>
      <c r="P383" s="11">
        <v>4.0</v>
      </c>
      <c r="Q383" s="11">
        <v>2.0</v>
      </c>
      <c r="R383" s="11">
        <v>4.0</v>
      </c>
      <c r="S383" s="11">
        <v>1.0</v>
      </c>
      <c r="T383" s="11">
        <v>5.0</v>
      </c>
      <c r="U383" s="11">
        <v>1.0</v>
      </c>
      <c r="V383" s="11"/>
      <c r="W383" s="11">
        <v>1.0</v>
      </c>
      <c r="X383" s="11">
        <v>1.0</v>
      </c>
      <c r="Y383" s="11">
        <v>1.0</v>
      </c>
      <c r="Z383" s="11"/>
      <c r="AA383" s="11">
        <v>1.0</v>
      </c>
      <c r="AB383" s="11">
        <v>1.0</v>
      </c>
      <c r="AC383" s="11"/>
      <c r="AD383" s="11">
        <v>1.0</v>
      </c>
      <c r="AE383" s="11"/>
      <c r="AF383" s="11"/>
    </row>
    <row r="384" ht="15.75" customHeight="1">
      <c r="A384" s="13">
        <v>381.0</v>
      </c>
      <c r="B384" s="13">
        <v>21.0</v>
      </c>
      <c r="C384" s="13" t="s">
        <v>88</v>
      </c>
      <c r="D384" s="13" t="s">
        <v>1021</v>
      </c>
      <c r="E384" s="13"/>
      <c r="F384" s="13" t="s">
        <v>1022</v>
      </c>
      <c r="G384" s="13" t="s">
        <v>175</v>
      </c>
      <c r="H384" s="13">
        <v>1.0</v>
      </c>
      <c r="I384" s="13">
        <v>3.0</v>
      </c>
      <c r="J384" s="35">
        <v>6.0</v>
      </c>
      <c r="K384" s="35">
        <v>38.0</v>
      </c>
      <c r="L384" s="13"/>
      <c r="M384" s="13"/>
      <c r="N384" s="13">
        <v>11.0</v>
      </c>
      <c r="O384" s="13">
        <v>4.0</v>
      </c>
      <c r="P384" s="13">
        <v>5.0</v>
      </c>
      <c r="Q384" s="13">
        <v>2.0</v>
      </c>
      <c r="R384" s="13">
        <v>5.0</v>
      </c>
      <c r="S384" s="13">
        <v>1.0</v>
      </c>
      <c r="T384" s="13">
        <v>6.0</v>
      </c>
      <c r="U384" s="13">
        <v>1.0</v>
      </c>
      <c r="V384" s="13"/>
      <c r="W384" s="13">
        <v>1.0</v>
      </c>
      <c r="X384" s="13">
        <v>1.0</v>
      </c>
      <c r="Y384" s="13">
        <v>1.0</v>
      </c>
      <c r="Z384" s="13"/>
      <c r="AA384" s="13">
        <v>1.0</v>
      </c>
      <c r="AB384" s="13">
        <v>2.0</v>
      </c>
      <c r="AC384" s="13"/>
      <c r="AD384" s="13">
        <v>1.0</v>
      </c>
      <c r="AE384" s="13"/>
      <c r="AF384" s="13"/>
    </row>
    <row r="385" ht="15.75" customHeight="1">
      <c r="A385" s="11">
        <v>382.0</v>
      </c>
      <c r="B385" s="11">
        <v>21.0</v>
      </c>
      <c r="C385" s="11" t="s">
        <v>88</v>
      </c>
      <c r="D385" s="11" t="s">
        <v>1023</v>
      </c>
      <c r="E385" s="11"/>
      <c r="F385" s="11" t="s">
        <v>1024</v>
      </c>
      <c r="G385" s="11" t="s">
        <v>175</v>
      </c>
      <c r="H385" s="11">
        <v>1.0</v>
      </c>
      <c r="I385" s="11">
        <v>4.0</v>
      </c>
      <c r="J385" s="33">
        <v>5.0</v>
      </c>
      <c r="K385" s="33">
        <v>38.0</v>
      </c>
      <c r="L385" s="11"/>
      <c r="M385" s="11"/>
      <c r="N385" s="11">
        <v>11.0</v>
      </c>
      <c r="O385" s="11">
        <v>4.0</v>
      </c>
      <c r="P385" s="11">
        <v>5.0</v>
      </c>
      <c r="Q385" s="11">
        <v>2.0</v>
      </c>
      <c r="R385" s="11">
        <v>5.0</v>
      </c>
      <c r="S385" s="11">
        <v>1.0</v>
      </c>
      <c r="T385" s="11">
        <v>6.0</v>
      </c>
      <c r="U385" s="11">
        <v>1.0</v>
      </c>
      <c r="V385" s="11"/>
      <c r="W385" s="11">
        <v>1.0</v>
      </c>
      <c r="X385" s="11">
        <v>1.0</v>
      </c>
      <c r="Y385" s="11">
        <v>1.0</v>
      </c>
      <c r="Z385" s="11"/>
      <c r="AA385" s="11">
        <v>1.0</v>
      </c>
      <c r="AB385" s="11">
        <v>2.0</v>
      </c>
      <c r="AC385" s="11"/>
      <c r="AD385" s="11">
        <v>1.0</v>
      </c>
      <c r="AE385" s="11"/>
      <c r="AF385" s="11"/>
    </row>
    <row r="386" ht="15.75" customHeight="1">
      <c r="A386" s="13">
        <v>383.0</v>
      </c>
      <c r="B386" s="13">
        <v>21.0</v>
      </c>
      <c r="C386" s="13" t="s">
        <v>88</v>
      </c>
      <c r="D386" s="13" t="s">
        <v>1025</v>
      </c>
      <c r="E386" s="13" t="s">
        <v>1026</v>
      </c>
      <c r="F386" s="13" t="s">
        <v>1027</v>
      </c>
      <c r="G386" s="13" t="s">
        <v>175</v>
      </c>
      <c r="H386" s="13">
        <v>2.0</v>
      </c>
      <c r="I386" s="13">
        <v>1.0</v>
      </c>
      <c r="J386" s="35">
        <v>8.0</v>
      </c>
      <c r="K386" s="35">
        <v>38.0</v>
      </c>
      <c r="L386" s="13"/>
      <c r="M386" s="13"/>
      <c r="N386" s="13">
        <v>8.0</v>
      </c>
      <c r="O386" s="13">
        <v>3.0</v>
      </c>
      <c r="P386" s="13">
        <v>3.0</v>
      </c>
      <c r="Q386" s="13">
        <v>1.0</v>
      </c>
      <c r="R386" s="13">
        <v>6.0</v>
      </c>
      <c r="S386" s="13">
        <v>1.0</v>
      </c>
      <c r="T386" s="13">
        <v>5.0</v>
      </c>
      <c r="U386" s="13">
        <v>2.0</v>
      </c>
      <c r="V386" s="13">
        <v>1.0</v>
      </c>
      <c r="W386" s="13">
        <v>1.0</v>
      </c>
      <c r="X386" s="13">
        <v>1.0</v>
      </c>
      <c r="Y386" s="13">
        <v>1.0</v>
      </c>
      <c r="Z386" s="13"/>
      <c r="AA386" s="13">
        <v>1.0</v>
      </c>
      <c r="AB386" s="13">
        <v>1.0</v>
      </c>
      <c r="AC386" s="13"/>
      <c r="AD386" s="13">
        <v>1.0</v>
      </c>
      <c r="AE386" s="13"/>
      <c r="AF386" s="13"/>
    </row>
    <row r="387" ht="15.75" customHeight="1">
      <c r="A387" s="11">
        <v>384.0</v>
      </c>
      <c r="B387" s="11">
        <v>21.0</v>
      </c>
      <c r="C387" s="11" t="s">
        <v>88</v>
      </c>
      <c r="D387" s="11" t="s">
        <v>1028</v>
      </c>
      <c r="E387" s="11"/>
      <c r="F387" s="11" t="s">
        <v>1029</v>
      </c>
      <c r="G387" s="11" t="s">
        <v>175</v>
      </c>
      <c r="H387" s="11">
        <v>2.0</v>
      </c>
      <c r="I387" s="11">
        <v>2.0</v>
      </c>
      <c r="J387" s="33">
        <v>7.0</v>
      </c>
      <c r="K387" s="33">
        <v>38.0</v>
      </c>
      <c r="L387" s="11"/>
      <c r="M387" s="11"/>
      <c r="N387" s="11">
        <v>8.0</v>
      </c>
      <c r="O387" s="11">
        <v>3.0</v>
      </c>
      <c r="P387" s="11">
        <v>3.0</v>
      </c>
      <c r="Q387" s="11">
        <v>1.0</v>
      </c>
      <c r="R387" s="11">
        <v>6.0</v>
      </c>
      <c r="S387" s="11">
        <v>1.0</v>
      </c>
      <c r="T387" s="11">
        <v>5.0</v>
      </c>
      <c r="U387" s="11">
        <v>2.0</v>
      </c>
      <c r="V387" s="11">
        <v>1.0</v>
      </c>
      <c r="W387" s="11">
        <v>1.0</v>
      </c>
      <c r="X387" s="11">
        <v>1.0</v>
      </c>
      <c r="Y387" s="11">
        <v>1.0</v>
      </c>
      <c r="Z387" s="11"/>
      <c r="AA387" s="11">
        <v>1.0</v>
      </c>
      <c r="AB387" s="11">
        <v>1.0</v>
      </c>
      <c r="AC387" s="11"/>
      <c r="AD387" s="11">
        <v>1.0</v>
      </c>
      <c r="AE387" s="11"/>
      <c r="AF387" s="11"/>
    </row>
    <row r="388" ht="15.75" customHeight="1">
      <c r="A388" s="13">
        <v>385.0</v>
      </c>
      <c r="B388" s="13">
        <v>21.0</v>
      </c>
      <c r="C388" s="13" t="s">
        <v>88</v>
      </c>
      <c r="D388" s="13" t="s">
        <v>1030</v>
      </c>
      <c r="E388" s="13"/>
      <c r="F388" s="13" t="s">
        <v>1031</v>
      </c>
      <c r="G388" s="13" t="s">
        <v>175</v>
      </c>
      <c r="H388" s="13">
        <v>2.0</v>
      </c>
      <c r="I388" s="13">
        <v>3.0</v>
      </c>
      <c r="J388" s="35">
        <v>6.0</v>
      </c>
      <c r="K388" s="35">
        <v>38.0</v>
      </c>
      <c r="L388" s="13"/>
      <c r="M388" s="13"/>
      <c r="N388" s="13">
        <v>12.0</v>
      </c>
      <c r="O388" s="13">
        <v>4.0</v>
      </c>
      <c r="P388" s="13">
        <v>4.0</v>
      </c>
      <c r="Q388" s="13">
        <v>2.0</v>
      </c>
      <c r="R388" s="13">
        <v>7.0</v>
      </c>
      <c r="S388" s="13">
        <v>1.0</v>
      </c>
      <c r="T388" s="13">
        <v>6.0</v>
      </c>
      <c r="U388" s="13">
        <v>2.0</v>
      </c>
      <c r="V388" s="13">
        <v>1.0</v>
      </c>
      <c r="W388" s="13">
        <v>1.0</v>
      </c>
      <c r="X388" s="13">
        <v>1.0</v>
      </c>
      <c r="Y388" s="13">
        <v>1.0</v>
      </c>
      <c r="Z388" s="13"/>
      <c r="AA388" s="13">
        <v>1.0</v>
      </c>
      <c r="AB388" s="13">
        <v>2.0</v>
      </c>
      <c r="AC388" s="13"/>
      <c r="AD388" s="13">
        <v>1.0</v>
      </c>
      <c r="AE388" s="13"/>
      <c r="AF388" s="13"/>
    </row>
    <row r="389" ht="15.75" customHeight="1">
      <c r="A389" s="11">
        <v>386.0</v>
      </c>
      <c r="B389" s="11">
        <v>21.0</v>
      </c>
      <c r="C389" s="11" t="s">
        <v>88</v>
      </c>
      <c r="D389" s="11" t="s">
        <v>1032</v>
      </c>
      <c r="E389" s="11"/>
      <c r="F389" s="11" t="s">
        <v>1033</v>
      </c>
      <c r="G389" s="11" t="s">
        <v>175</v>
      </c>
      <c r="H389" s="11">
        <v>2.0</v>
      </c>
      <c r="I389" s="11">
        <v>4.0</v>
      </c>
      <c r="J389" s="33">
        <v>5.0</v>
      </c>
      <c r="K389" s="33">
        <v>38.0</v>
      </c>
      <c r="L389" s="11"/>
      <c r="M389" s="11"/>
      <c r="N389" s="11">
        <v>12.0</v>
      </c>
      <c r="O389" s="11">
        <v>4.0</v>
      </c>
      <c r="P389" s="11">
        <v>4.0</v>
      </c>
      <c r="Q389" s="11">
        <v>2.0</v>
      </c>
      <c r="R389" s="11">
        <v>7.0</v>
      </c>
      <c r="S389" s="11">
        <v>1.0</v>
      </c>
      <c r="T389" s="11">
        <v>6.0</v>
      </c>
      <c r="U389" s="11">
        <v>2.0</v>
      </c>
      <c r="V389" s="11">
        <v>1.0</v>
      </c>
      <c r="W389" s="11">
        <v>1.0</v>
      </c>
      <c r="X389" s="11">
        <v>1.0</v>
      </c>
      <c r="Y389" s="11">
        <v>1.0</v>
      </c>
      <c r="Z389" s="11"/>
      <c r="AA389" s="11">
        <v>1.0</v>
      </c>
      <c r="AB389" s="11">
        <v>2.0</v>
      </c>
      <c r="AC389" s="11"/>
      <c r="AD389" s="11">
        <v>1.0</v>
      </c>
      <c r="AE389" s="11"/>
      <c r="AF389" s="11"/>
    </row>
    <row r="390" ht="15.75" customHeight="1">
      <c r="A390" s="13">
        <v>387.0</v>
      </c>
      <c r="B390" s="13">
        <v>21.0</v>
      </c>
      <c r="C390" s="13" t="s">
        <v>88</v>
      </c>
      <c r="D390" s="13" t="s">
        <v>1034</v>
      </c>
      <c r="E390" s="13" t="s">
        <v>1035</v>
      </c>
      <c r="F390" s="13" t="s">
        <v>1036</v>
      </c>
      <c r="G390" s="13" t="s">
        <v>175</v>
      </c>
      <c r="H390" s="13">
        <v>3.0</v>
      </c>
      <c r="I390" s="13">
        <v>1.0</v>
      </c>
      <c r="J390" s="35">
        <v>8.0</v>
      </c>
      <c r="K390" s="35">
        <v>38.0</v>
      </c>
      <c r="L390" s="13"/>
      <c r="M390" s="13"/>
      <c r="N390" s="13">
        <v>6.0</v>
      </c>
      <c r="O390" s="13">
        <v>3.0</v>
      </c>
      <c r="P390" s="13">
        <v>3.0</v>
      </c>
      <c r="Q390" s="13">
        <v>3.0</v>
      </c>
      <c r="R390" s="13">
        <v>4.0</v>
      </c>
      <c r="S390" s="13">
        <v>1.0</v>
      </c>
      <c r="T390" s="13">
        <v>4.0</v>
      </c>
      <c r="U390" s="13">
        <v>2.0</v>
      </c>
      <c r="V390" s="13">
        <v>1.0</v>
      </c>
      <c r="W390" s="13">
        <v>2.0</v>
      </c>
      <c r="X390" s="13">
        <v>2.0</v>
      </c>
      <c r="Y390" s="13">
        <v>1.0</v>
      </c>
      <c r="Z390" s="13"/>
      <c r="AA390" s="13">
        <v>1.0</v>
      </c>
      <c r="AB390" s="13">
        <v>1.0</v>
      </c>
      <c r="AC390" s="13"/>
      <c r="AD390" s="13"/>
      <c r="AE390" s="13">
        <v>1.0</v>
      </c>
      <c r="AF390" s="13"/>
    </row>
    <row r="391" ht="15.75" customHeight="1">
      <c r="A391" s="11">
        <v>388.0</v>
      </c>
      <c r="B391" s="11">
        <v>21.0</v>
      </c>
      <c r="C391" s="11" t="s">
        <v>88</v>
      </c>
      <c r="D391" s="11" t="s">
        <v>1037</v>
      </c>
      <c r="E391" s="11"/>
      <c r="F391" s="11" t="s">
        <v>1038</v>
      </c>
      <c r="G391" s="11" t="s">
        <v>175</v>
      </c>
      <c r="H391" s="11">
        <v>3.0</v>
      </c>
      <c r="I391" s="11">
        <v>2.0</v>
      </c>
      <c r="J391" s="33">
        <v>7.0</v>
      </c>
      <c r="K391" s="33">
        <v>38.0</v>
      </c>
      <c r="L391" s="11"/>
      <c r="M391" s="11"/>
      <c r="N391" s="11">
        <v>6.0</v>
      </c>
      <c r="O391" s="11">
        <v>3.0</v>
      </c>
      <c r="P391" s="11">
        <v>3.0</v>
      </c>
      <c r="Q391" s="11">
        <v>3.0</v>
      </c>
      <c r="R391" s="11">
        <v>4.0</v>
      </c>
      <c r="S391" s="11">
        <v>1.0</v>
      </c>
      <c r="T391" s="11">
        <v>4.0</v>
      </c>
      <c r="U391" s="11">
        <v>2.0</v>
      </c>
      <c r="V391" s="11">
        <v>1.0</v>
      </c>
      <c r="W391" s="11">
        <v>2.0</v>
      </c>
      <c r="X391" s="11">
        <v>2.0</v>
      </c>
      <c r="Y391" s="11">
        <v>1.0</v>
      </c>
      <c r="Z391" s="11"/>
      <c r="AA391" s="11">
        <v>1.0</v>
      </c>
      <c r="AB391" s="11">
        <v>1.0</v>
      </c>
      <c r="AC391" s="11"/>
      <c r="AD391" s="11"/>
      <c r="AE391" s="11">
        <v>1.0</v>
      </c>
      <c r="AF391" s="11"/>
    </row>
    <row r="392" ht="15.75" customHeight="1">
      <c r="A392" s="13">
        <v>389.0</v>
      </c>
      <c r="B392" s="13">
        <v>21.0</v>
      </c>
      <c r="C392" s="13" t="s">
        <v>88</v>
      </c>
      <c r="D392" s="13" t="s">
        <v>1039</v>
      </c>
      <c r="E392" s="13"/>
      <c r="F392" s="13" t="s">
        <v>1040</v>
      </c>
      <c r="G392" s="13" t="s">
        <v>175</v>
      </c>
      <c r="H392" s="13">
        <v>3.0</v>
      </c>
      <c r="I392" s="13">
        <v>3.0</v>
      </c>
      <c r="J392" s="35">
        <v>6.0</v>
      </c>
      <c r="K392" s="35">
        <v>38.0</v>
      </c>
      <c r="L392" s="13"/>
      <c r="M392" s="13"/>
      <c r="N392" s="13">
        <v>10.0</v>
      </c>
      <c r="O392" s="13">
        <v>4.0</v>
      </c>
      <c r="P392" s="13">
        <v>4.0</v>
      </c>
      <c r="Q392" s="13">
        <v>4.0</v>
      </c>
      <c r="R392" s="13">
        <v>5.0</v>
      </c>
      <c r="S392" s="13">
        <v>1.0</v>
      </c>
      <c r="T392" s="13">
        <v>5.0</v>
      </c>
      <c r="U392" s="13">
        <v>2.0</v>
      </c>
      <c r="V392" s="13">
        <v>1.0</v>
      </c>
      <c r="W392" s="13">
        <v>2.0</v>
      </c>
      <c r="X392" s="13">
        <v>2.0</v>
      </c>
      <c r="Y392" s="13">
        <v>1.0</v>
      </c>
      <c r="Z392" s="13"/>
      <c r="AA392" s="13">
        <v>1.0</v>
      </c>
      <c r="AB392" s="13">
        <v>2.0</v>
      </c>
      <c r="AC392" s="13"/>
      <c r="AD392" s="13"/>
      <c r="AE392" s="13">
        <v>1.0</v>
      </c>
      <c r="AF392" s="13"/>
    </row>
    <row r="393" ht="15.75" customHeight="1">
      <c r="A393" s="11">
        <v>390.0</v>
      </c>
      <c r="B393" s="11">
        <v>21.0</v>
      </c>
      <c r="C393" s="11" t="s">
        <v>88</v>
      </c>
      <c r="D393" s="11" t="s">
        <v>1041</v>
      </c>
      <c r="E393" s="11"/>
      <c r="F393" s="11" t="s">
        <v>1042</v>
      </c>
      <c r="G393" s="11" t="s">
        <v>175</v>
      </c>
      <c r="H393" s="11">
        <v>3.0</v>
      </c>
      <c r="I393" s="11">
        <v>4.0</v>
      </c>
      <c r="J393" s="33">
        <v>5.0</v>
      </c>
      <c r="K393" s="33">
        <v>38.0</v>
      </c>
      <c r="L393" s="11"/>
      <c r="M393" s="11"/>
      <c r="N393" s="11">
        <v>10.0</v>
      </c>
      <c r="O393" s="11">
        <v>4.0</v>
      </c>
      <c r="P393" s="11">
        <v>4.0</v>
      </c>
      <c r="Q393" s="11">
        <v>4.0</v>
      </c>
      <c r="R393" s="11">
        <v>5.0</v>
      </c>
      <c r="S393" s="11">
        <v>1.0</v>
      </c>
      <c r="T393" s="11">
        <v>5.0</v>
      </c>
      <c r="U393" s="11">
        <v>2.0</v>
      </c>
      <c r="V393" s="11">
        <v>1.0</v>
      </c>
      <c r="W393" s="11">
        <v>2.0</v>
      </c>
      <c r="X393" s="11">
        <v>2.0</v>
      </c>
      <c r="Y393" s="11">
        <v>1.0</v>
      </c>
      <c r="Z393" s="11"/>
      <c r="AA393" s="11">
        <v>1.0</v>
      </c>
      <c r="AB393" s="11">
        <v>2.0</v>
      </c>
      <c r="AC393" s="11"/>
      <c r="AD393" s="11"/>
      <c r="AE393" s="11">
        <v>1.0</v>
      </c>
      <c r="AF393" s="11"/>
    </row>
    <row r="394" ht="15.75" customHeight="1">
      <c r="A394" s="13">
        <v>391.0</v>
      </c>
      <c r="B394" s="13">
        <v>21.0</v>
      </c>
      <c r="C394" s="13" t="s">
        <v>88</v>
      </c>
      <c r="D394" s="13" t="s">
        <v>1043</v>
      </c>
      <c r="E394" s="13" t="s">
        <v>1044</v>
      </c>
      <c r="F394" s="13" t="s">
        <v>1045</v>
      </c>
      <c r="G394" s="13" t="s">
        <v>175</v>
      </c>
      <c r="H394" s="13">
        <v>4.0</v>
      </c>
      <c r="I394" s="13">
        <v>1.0</v>
      </c>
      <c r="J394" s="35">
        <v>8.0</v>
      </c>
      <c r="K394" s="35">
        <v>38.0</v>
      </c>
      <c r="L394" s="13"/>
      <c r="M394" s="13"/>
      <c r="N394" s="13">
        <v>6.0</v>
      </c>
      <c r="O394" s="13">
        <v>3.0</v>
      </c>
      <c r="P394" s="13">
        <v>3.0</v>
      </c>
      <c r="Q394" s="13">
        <v>1.0</v>
      </c>
      <c r="R394" s="13">
        <v>4.0</v>
      </c>
      <c r="S394" s="13">
        <v>1.0</v>
      </c>
      <c r="T394" s="13">
        <v>4.0</v>
      </c>
      <c r="U394" s="13">
        <v>2.0</v>
      </c>
      <c r="V394" s="13">
        <v>1.0</v>
      </c>
      <c r="W394" s="13">
        <v>1.0</v>
      </c>
      <c r="X394" s="13">
        <v>1.0</v>
      </c>
      <c r="Y394" s="13">
        <v>1.0</v>
      </c>
      <c r="Z394" s="13"/>
      <c r="AA394" s="13">
        <v>1.0</v>
      </c>
      <c r="AB394" s="13">
        <v>1.0</v>
      </c>
      <c r="AC394" s="13"/>
      <c r="AD394" s="13"/>
      <c r="AE394" s="13">
        <v>1.0</v>
      </c>
      <c r="AF394" s="13"/>
    </row>
    <row r="395" ht="15.75" customHeight="1">
      <c r="A395" s="11">
        <v>392.0</v>
      </c>
      <c r="B395" s="11">
        <v>21.0</v>
      </c>
      <c r="C395" s="11" t="s">
        <v>88</v>
      </c>
      <c r="D395" s="11" t="s">
        <v>1046</v>
      </c>
      <c r="E395" s="11"/>
      <c r="F395" s="11" t="s">
        <v>1047</v>
      </c>
      <c r="G395" s="11" t="s">
        <v>175</v>
      </c>
      <c r="H395" s="11">
        <v>4.0</v>
      </c>
      <c r="I395" s="11">
        <v>2.0</v>
      </c>
      <c r="J395" s="33">
        <v>7.0</v>
      </c>
      <c r="K395" s="33">
        <v>38.0</v>
      </c>
      <c r="L395" s="11"/>
      <c r="M395" s="11"/>
      <c r="N395" s="11">
        <v>6.0</v>
      </c>
      <c r="O395" s="11">
        <v>3.0</v>
      </c>
      <c r="P395" s="11">
        <v>3.0</v>
      </c>
      <c r="Q395" s="11">
        <v>1.0</v>
      </c>
      <c r="R395" s="11">
        <v>4.0</v>
      </c>
      <c r="S395" s="11">
        <v>1.0</v>
      </c>
      <c r="T395" s="11">
        <v>4.0</v>
      </c>
      <c r="U395" s="11">
        <v>2.0</v>
      </c>
      <c r="V395" s="11">
        <v>1.0</v>
      </c>
      <c r="W395" s="11">
        <v>1.0</v>
      </c>
      <c r="X395" s="11">
        <v>1.0</v>
      </c>
      <c r="Y395" s="11">
        <v>1.0</v>
      </c>
      <c r="Z395" s="11"/>
      <c r="AA395" s="11">
        <v>1.0</v>
      </c>
      <c r="AB395" s="11">
        <v>1.0</v>
      </c>
      <c r="AC395" s="11"/>
      <c r="AD395" s="11"/>
      <c r="AE395" s="11">
        <v>1.0</v>
      </c>
      <c r="AF395" s="11"/>
    </row>
    <row r="396" ht="15.75" customHeight="1">
      <c r="A396" s="13">
        <v>393.0</v>
      </c>
      <c r="B396" s="13">
        <v>21.0</v>
      </c>
      <c r="C396" s="13" t="s">
        <v>88</v>
      </c>
      <c r="D396" s="13" t="s">
        <v>1048</v>
      </c>
      <c r="E396" s="13"/>
      <c r="F396" s="13" t="s">
        <v>1049</v>
      </c>
      <c r="G396" s="13" t="s">
        <v>175</v>
      </c>
      <c r="H396" s="13">
        <v>4.0</v>
      </c>
      <c r="I396" s="13">
        <v>3.0</v>
      </c>
      <c r="J396" s="35">
        <v>6.0</v>
      </c>
      <c r="K396" s="35">
        <v>38.0</v>
      </c>
      <c r="L396" s="13"/>
      <c r="M396" s="13"/>
      <c r="N396" s="13">
        <v>10.0</v>
      </c>
      <c r="O396" s="13">
        <v>4.0</v>
      </c>
      <c r="P396" s="13">
        <v>4.0</v>
      </c>
      <c r="Q396" s="13">
        <v>1.0</v>
      </c>
      <c r="R396" s="13">
        <v>5.0</v>
      </c>
      <c r="S396" s="13">
        <v>1.0</v>
      </c>
      <c r="T396" s="13">
        <v>5.0</v>
      </c>
      <c r="U396" s="13">
        <v>2.0</v>
      </c>
      <c r="V396" s="13">
        <v>1.0</v>
      </c>
      <c r="W396" s="13">
        <v>1.0</v>
      </c>
      <c r="X396" s="13">
        <v>2.0</v>
      </c>
      <c r="Y396" s="13">
        <v>1.0</v>
      </c>
      <c r="Z396" s="13"/>
      <c r="AA396" s="13">
        <v>1.0</v>
      </c>
      <c r="AB396" s="13">
        <v>1.0</v>
      </c>
      <c r="AC396" s="13"/>
      <c r="AD396" s="13">
        <v>1.0</v>
      </c>
      <c r="AE396" s="13">
        <v>1.0</v>
      </c>
      <c r="AF396" s="13"/>
    </row>
    <row r="397" ht="15.75" customHeight="1">
      <c r="A397" s="11">
        <v>394.0</v>
      </c>
      <c r="B397" s="11">
        <v>21.0</v>
      </c>
      <c r="C397" s="11" t="s">
        <v>88</v>
      </c>
      <c r="D397" s="11" t="s">
        <v>1050</v>
      </c>
      <c r="E397" s="11"/>
      <c r="F397" s="11" t="s">
        <v>1051</v>
      </c>
      <c r="G397" s="11" t="s">
        <v>175</v>
      </c>
      <c r="H397" s="11">
        <v>4.0</v>
      </c>
      <c r="I397" s="11">
        <v>4.0</v>
      </c>
      <c r="J397" s="33">
        <v>5.0</v>
      </c>
      <c r="K397" s="33">
        <v>38.0</v>
      </c>
      <c r="L397" s="11"/>
      <c r="M397" s="11"/>
      <c r="N397" s="11">
        <v>10.0</v>
      </c>
      <c r="O397" s="11">
        <v>4.0</v>
      </c>
      <c r="P397" s="11">
        <v>4.0</v>
      </c>
      <c r="Q397" s="11">
        <v>1.0</v>
      </c>
      <c r="R397" s="11">
        <v>5.0</v>
      </c>
      <c r="S397" s="11">
        <v>1.0</v>
      </c>
      <c r="T397" s="11">
        <v>5.0</v>
      </c>
      <c r="U397" s="11">
        <v>2.0</v>
      </c>
      <c r="V397" s="11">
        <v>1.0</v>
      </c>
      <c r="W397" s="11">
        <v>1.0</v>
      </c>
      <c r="X397" s="11">
        <v>2.0</v>
      </c>
      <c r="Y397" s="11">
        <v>1.0</v>
      </c>
      <c r="Z397" s="11"/>
      <c r="AA397" s="11">
        <v>1.0</v>
      </c>
      <c r="AB397" s="11">
        <v>1.0</v>
      </c>
      <c r="AC397" s="11"/>
      <c r="AD397" s="11">
        <v>1.0</v>
      </c>
      <c r="AE397" s="11">
        <v>1.0</v>
      </c>
      <c r="AF397" s="11"/>
    </row>
    <row r="398" ht="15.75" customHeight="1">
      <c r="A398" s="13">
        <v>395.0</v>
      </c>
      <c r="B398" s="13">
        <v>21.0</v>
      </c>
      <c r="C398" s="13" t="s">
        <v>88</v>
      </c>
      <c r="D398" s="13" t="s">
        <v>1052</v>
      </c>
      <c r="E398" s="13"/>
      <c r="F398" s="13" t="s">
        <v>1053</v>
      </c>
      <c r="G398" s="13" t="s">
        <v>74</v>
      </c>
      <c r="H398" s="13">
        <v>5.0</v>
      </c>
      <c r="I398" s="13">
        <v>5.0</v>
      </c>
      <c r="J398" s="35">
        <v>1.0</v>
      </c>
      <c r="K398" s="35">
        <v>192.0</v>
      </c>
      <c r="L398" s="13"/>
      <c r="M398" s="13"/>
      <c r="N398" s="13">
        <v>36.0</v>
      </c>
      <c r="O398" s="13">
        <v>10.0</v>
      </c>
      <c r="P398" s="13">
        <v>10.0</v>
      </c>
      <c r="Q398" s="13">
        <v>6.0</v>
      </c>
      <c r="R398" s="13">
        <v>9.0</v>
      </c>
      <c r="S398" s="13">
        <v>3.0</v>
      </c>
      <c r="T398" s="13">
        <v>9.0</v>
      </c>
      <c r="U398" s="13">
        <v>3.0</v>
      </c>
      <c r="V398" s="13">
        <v>3.0</v>
      </c>
      <c r="W398" s="13">
        <v>3.0</v>
      </c>
      <c r="X398" s="13">
        <v>3.0</v>
      </c>
      <c r="Y398" s="13">
        <v>2.0</v>
      </c>
      <c r="Z398" s="13"/>
      <c r="AA398" s="13">
        <v>1.0</v>
      </c>
      <c r="AB398" s="13">
        <v>2.0</v>
      </c>
      <c r="AC398" s="13"/>
      <c r="AD398" s="13">
        <v>2.0</v>
      </c>
      <c r="AE398" s="13">
        <v>1.0</v>
      </c>
      <c r="AF398" s="13"/>
    </row>
    <row r="399" ht="15.75" customHeight="1">
      <c r="A399" s="11">
        <v>396.0</v>
      </c>
      <c r="B399" s="11">
        <v>22.0</v>
      </c>
      <c r="C399" s="11" t="s">
        <v>90</v>
      </c>
      <c r="D399" s="11" t="s">
        <v>1054</v>
      </c>
      <c r="E399" s="11"/>
      <c r="F399" s="11" t="s">
        <v>1055</v>
      </c>
      <c r="G399" s="11" t="s">
        <v>170</v>
      </c>
      <c r="H399" s="11">
        <v>0.0</v>
      </c>
      <c r="I399" s="11">
        <v>0.0</v>
      </c>
      <c r="J399" s="33">
        <v>15.0</v>
      </c>
      <c r="K399" s="33">
        <v>200.0</v>
      </c>
      <c r="L399" s="11"/>
      <c r="M399" s="34" t="s">
        <v>1056</v>
      </c>
      <c r="N399" s="11">
        <v>30.0</v>
      </c>
      <c r="O399" s="11">
        <v>10.0</v>
      </c>
      <c r="P399" s="11">
        <v>12.0</v>
      </c>
      <c r="Q399" s="11">
        <v>2.0</v>
      </c>
      <c r="R399" s="11">
        <v>6.0</v>
      </c>
      <c r="S399" s="11">
        <v>3.0</v>
      </c>
      <c r="T399" s="11">
        <v>4.0</v>
      </c>
      <c r="U399" s="11">
        <v>6.0</v>
      </c>
      <c r="V399" s="11">
        <v>1.0</v>
      </c>
      <c r="W399" s="11">
        <v>3.0</v>
      </c>
      <c r="X399" s="11">
        <v>3.0</v>
      </c>
      <c r="Y399" s="11">
        <v>2.0</v>
      </c>
      <c r="Z399" s="11"/>
      <c r="AA399" s="11">
        <v>1.0</v>
      </c>
      <c r="AB399" s="11">
        <v>2.0</v>
      </c>
      <c r="AC399" s="11"/>
      <c r="AD399" s="11">
        <v>1.0</v>
      </c>
      <c r="AE399" s="11">
        <v>1.0</v>
      </c>
      <c r="AF399" s="11"/>
    </row>
    <row r="400" ht="15.75" customHeight="1">
      <c r="A400" s="13">
        <v>397.0</v>
      </c>
      <c r="B400" s="13">
        <v>22.0</v>
      </c>
      <c r="C400" s="13" t="s">
        <v>90</v>
      </c>
      <c r="D400" s="13" t="s">
        <v>1057</v>
      </c>
      <c r="E400" s="13" t="s">
        <v>1058</v>
      </c>
      <c r="F400" s="13" t="s">
        <v>1059</v>
      </c>
      <c r="G400" s="13" t="s">
        <v>175</v>
      </c>
      <c r="H400" s="13">
        <v>1.0</v>
      </c>
      <c r="I400" s="13">
        <v>1.0</v>
      </c>
      <c r="J400" s="35">
        <v>8.0</v>
      </c>
      <c r="K400" s="35">
        <v>38.0</v>
      </c>
      <c r="L400" s="13"/>
      <c r="M400" s="13"/>
      <c r="N400" s="13">
        <v>8.0</v>
      </c>
      <c r="O400" s="13">
        <v>3.0</v>
      </c>
      <c r="P400" s="13">
        <v>4.0</v>
      </c>
      <c r="Q400" s="13">
        <v>1.0</v>
      </c>
      <c r="R400" s="13">
        <v>4.0</v>
      </c>
      <c r="S400" s="13">
        <v>1.0</v>
      </c>
      <c r="T400" s="13">
        <v>3.0</v>
      </c>
      <c r="U400" s="13">
        <v>3.0</v>
      </c>
      <c r="V400" s="13"/>
      <c r="W400" s="13">
        <v>1.0</v>
      </c>
      <c r="X400" s="13">
        <v>1.0</v>
      </c>
      <c r="Y400" s="13">
        <v>1.0</v>
      </c>
      <c r="Z400" s="13"/>
      <c r="AA400" s="13">
        <v>1.0</v>
      </c>
      <c r="AB400" s="13">
        <v>1.0</v>
      </c>
      <c r="AC400" s="13"/>
      <c r="AD400" s="13">
        <v>1.0</v>
      </c>
      <c r="AE400" s="13">
        <v>1.0</v>
      </c>
      <c r="AF400" s="13"/>
    </row>
    <row r="401" ht="15.75" customHeight="1">
      <c r="A401" s="11">
        <v>398.0</v>
      </c>
      <c r="B401" s="11">
        <v>22.0</v>
      </c>
      <c r="C401" s="11" t="s">
        <v>90</v>
      </c>
      <c r="D401" s="11" t="s">
        <v>1060</v>
      </c>
      <c r="E401" s="11"/>
      <c r="F401" s="11" t="s">
        <v>1061</v>
      </c>
      <c r="G401" s="11" t="s">
        <v>175</v>
      </c>
      <c r="H401" s="11">
        <v>1.0</v>
      </c>
      <c r="I401" s="11">
        <v>2.0</v>
      </c>
      <c r="J401" s="33">
        <v>7.0</v>
      </c>
      <c r="K401" s="33">
        <v>38.0</v>
      </c>
      <c r="L401" s="11"/>
      <c r="M401" s="11"/>
      <c r="N401" s="11">
        <v>8.0</v>
      </c>
      <c r="O401" s="11">
        <v>3.0</v>
      </c>
      <c r="P401" s="11">
        <v>4.0</v>
      </c>
      <c r="Q401" s="11">
        <v>1.0</v>
      </c>
      <c r="R401" s="11">
        <v>4.0</v>
      </c>
      <c r="S401" s="11">
        <v>1.0</v>
      </c>
      <c r="T401" s="11">
        <v>3.0</v>
      </c>
      <c r="U401" s="11">
        <v>3.0</v>
      </c>
      <c r="V401" s="11"/>
      <c r="W401" s="11">
        <v>1.0</v>
      </c>
      <c r="X401" s="11">
        <v>1.0</v>
      </c>
      <c r="Y401" s="11">
        <v>1.0</v>
      </c>
      <c r="Z401" s="11"/>
      <c r="AA401" s="11">
        <v>1.0</v>
      </c>
      <c r="AB401" s="11">
        <v>1.0</v>
      </c>
      <c r="AC401" s="11"/>
      <c r="AD401" s="11">
        <v>1.0</v>
      </c>
      <c r="AE401" s="11">
        <v>1.0</v>
      </c>
      <c r="AF401" s="11"/>
    </row>
    <row r="402" ht="15.75" customHeight="1">
      <c r="A402" s="13">
        <v>399.0</v>
      </c>
      <c r="B402" s="13">
        <v>22.0</v>
      </c>
      <c r="C402" s="13" t="s">
        <v>90</v>
      </c>
      <c r="D402" s="13" t="s">
        <v>1062</v>
      </c>
      <c r="E402" s="13"/>
      <c r="F402" s="13" t="s">
        <v>1063</v>
      </c>
      <c r="G402" s="13" t="s">
        <v>175</v>
      </c>
      <c r="H402" s="13">
        <v>1.0</v>
      </c>
      <c r="I402" s="13">
        <v>3.0</v>
      </c>
      <c r="J402" s="35">
        <v>6.0</v>
      </c>
      <c r="K402" s="35">
        <v>38.0</v>
      </c>
      <c r="L402" s="13"/>
      <c r="M402" s="13"/>
      <c r="N402" s="13">
        <v>12.0</v>
      </c>
      <c r="O402" s="13">
        <v>4.0</v>
      </c>
      <c r="P402" s="13">
        <v>5.0</v>
      </c>
      <c r="Q402" s="13">
        <v>1.0</v>
      </c>
      <c r="R402" s="13">
        <v>5.0</v>
      </c>
      <c r="S402" s="13">
        <v>1.0</v>
      </c>
      <c r="T402" s="13">
        <v>3.0</v>
      </c>
      <c r="U402" s="13">
        <v>3.0</v>
      </c>
      <c r="V402" s="13"/>
      <c r="W402" s="13">
        <v>1.0</v>
      </c>
      <c r="X402" s="13">
        <v>1.0</v>
      </c>
      <c r="Y402" s="13">
        <v>1.0</v>
      </c>
      <c r="Z402" s="13"/>
      <c r="AA402" s="13">
        <v>1.0</v>
      </c>
      <c r="AB402" s="13">
        <v>2.0</v>
      </c>
      <c r="AC402" s="13"/>
      <c r="AD402" s="13">
        <v>1.0</v>
      </c>
      <c r="AE402" s="13">
        <v>1.0</v>
      </c>
      <c r="AF402" s="13"/>
    </row>
    <row r="403" ht="15.75" customHeight="1">
      <c r="A403" s="11">
        <v>400.0</v>
      </c>
      <c r="B403" s="11">
        <v>22.0</v>
      </c>
      <c r="C403" s="11" t="s">
        <v>90</v>
      </c>
      <c r="D403" s="11" t="s">
        <v>1064</v>
      </c>
      <c r="E403" s="11"/>
      <c r="F403" s="11" t="s">
        <v>1065</v>
      </c>
      <c r="G403" s="11" t="s">
        <v>175</v>
      </c>
      <c r="H403" s="11">
        <v>1.0</v>
      </c>
      <c r="I403" s="11">
        <v>4.0</v>
      </c>
      <c r="J403" s="33">
        <v>5.0</v>
      </c>
      <c r="K403" s="33">
        <v>38.0</v>
      </c>
      <c r="L403" s="11"/>
      <c r="M403" s="11"/>
      <c r="N403" s="11">
        <v>12.0</v>
      </c>
      <c r="O403" s="11">
        <v>4.0</v>
      </c>
      <c r="P403" s="11">
        <v>5.0</v>
      </c>
      <c r="Q403" s="11">
        <v>1.0</v>
      </c>
      <c r="R403" s="11">
        <v>5.0</v>
      </c>
      <c r="S403" s="11">
        <v>1.0</v>
      </c>
      <c r="T403" s="11">
        <v>3.0</v>
      </c>
      <c r="U403" s="11">
        <v>3.0</v>
      </c>
      <c r="V403" s="11"/>
      <c r="W403" s="11">
        <v>1.0</v>
      </c>
      <c r="X403" s="11">
        <v>1.0</v>
      </c>
      <c r="Y403" s="11">
        <v>1.0</v>
      </c>
      <c r="Z403" s="11"/>
      <c r="AA403" s="11">
        <v>1.0</v>
      </c>
      <c r="AB403" s="11">
        <v>2.0</v>
      </c>
      <c r="AC403" s="11"/>
      <c r="AD403" s="11">
        <v>1.0</v>
      </c>
      <c r="AE403" s="11">
        <v>1.0</v>
      </c>
      <c r="AF403" s="11"/>
    </row>
    <row r="404" ht="15.75" customHeight="1">
      <c r="A404" s="13">
        <v>401.0</v>
      </c>
      <c r="B404" s="13">
        <v>22.0</v>
      </c>
      <c r="C404" s="13" t="s">
        <v>90</v>
      </c>
      <c r="D404" s="13" t="s">
        <v>1066</v>
      </c>
      <c r="E404" s="13" t="s">
        <v>1067</v>
      </c>
      <c r="F404" s="13" t="s">
        <v>1068</v>
      </c>
      <c r="G404" s="13" t="s">
        <v>175</v>
      </c>
      <c r="H404" s="13">
        <v>2.0</v>
      </c>
      <c r="I404" s="13">
        <v>1.0</v>
      </c>
      <c r="J404" s="35">
        <v>8.0</v>
      </c>
      <c r="K404" s="35">
        <v>38.0</v>
      </c>
      <c r="L404" s="13"/>
      <c r="M404" s="13"/>
      <c r="N404" s="13">
        <v>7.0</v>
      </c>
      <c r="O404" s="13">
        <v>3.0</v>
      </c>
      <c r="P404" s="13">
        <v>4.0</v>
      </c>
      <c r="Q404" s="13">
        <v>1.0</v>
      </c>
      <c r="R404" s="13">
        <v>3.0</v>
      </c>
      <c r="S404" s="13"/>
      <c r="T404" s="13">
        <v>3.0</v>
      </c>
      <c r="U404" s="13">
        <v>2.0</v>
      </c>
      <c r="V404" s="13">
        <v>1.0</v>
      </c>
      <c r="W404" s="13">
        <v>2.0</v>
      </c>
      <c r="X404" s="13">
        <v>2.0</v>
      </c>
      <c r="Y404" s="13">
        <v>2.0</v>
      </c>
      <c r="Z404" s="13"/>
      <c r="AA404" s="13">
        <v>1.0</v>
      </c>
      <c r="AB404" s="13">
        <v>1.0</v>
      </c>
      <c r="AC404" s="13"/>
      <c r="AD404" s="13">
        <v>1.0</v>
      </c>
      <c r="AE404" s="13">
        <v>2.0</v>
      </c>
      <c r="AF404" s="13"/>
    </row>
    <row r="405" ht="15.75" customHeight="1">
      <c r="A405" s="11">
        <v>402.0</v>
      </c>
      <c r="B405" s="11">
        <v>22.0</v>
      </c>
      <c r="C405" s="11" t="s">
        <v>90</v>
      </c>
      <c r="D405" s="11" t="s">
        <v>1069</v>
      </c>
      <c r="E405" s="11"/>
      <c r="F405" s="11" t="s">
        <v>1070</v>
      </c>
      <c r="G405" s="11" t="s">
        <v>175</v>
      </c>
      <c r="H405" s="11">
        <v>2.0</v>
      </c>
      <c r="I405" s="11">
        <v>2.0</v>
      </c>
      <c r="J405" s="33">
        <v>7.0</v>
      </c>
      <c r="K405" s="33">
        <v>38.0</v>
      </c>
      <c r="L405" s="11"/>
      <c r="M405" s="11"/>
      <c r="N405" s="11">
        <v>7.0</v>
      </c>
      <c r="O405" s="11">
        <v>3.0</v>
      </c>
      <c r="P405" s="11">
        <v>4.0</v>
      </c>
      <c r="Q405" s="11">
        <v>1.0</v>
      </c>
      <c r="R405" s="11">
        <v>3.0</v>
      </c>
      <c r="S405" s="11"/>
      <c r="T405" s="11">
        <v>3.0</v>
      </c>
      <c r="U405" s="11">
        <v>2.0</v>
      </c>
      <c r="V405" s="11">
        <v>1.0</v>
      </c>
      <c r="W405" s="11">
        <v>2.0</v>
      </c>
      <c r="X405" s="11">
        <v>2.0</v>
      </c>
      <c r="Y405" s="11">
        <v>2.0</v>
      </c>
      <c r="Z405" s="11"/>
      <c r="AA405" s="11">
        <v>1.0</v>
      </c>
      <c r="AB405" s="11">
        <v>1.0</v>
      </c>
      <c r="AC405" s="11"/>
      <c r="AD405" s="11">
        <v>1.0</v>
      </c>
      <c r="AE405" s="11">
        <v>2.0</v>
      </c>
      <c r="AF405" s="11"/>
    </row>
    <row r="406" ht="15.75" customHeight="1">
      <c r="A406" s="13">
        <v>403.0</v>
      </c>
      <c r="B406" s="13">
        <v>22.0</v>
      </c>
      <c r="C406" s="13" t="s">
        <v>90</v>
      </c>
      <c r="D406" s="13" t="s">
        <v>1071</v>
      </c>
      <c r="E406" s="13"/>
      <c r="F406" s="13" t="s">
        <v>1072</v>
      </c>
      <c r="G406" s="13" t="s">
        <v>175</v>
      </c>
      <c r="H406" s="13">
        <v>2.0</v>
      </c>
      <c r="I406" s="13">
        <v>3.0</v>
      </c>
      <c r="J406" s="35">
        <v>6.0</v>
      </c>
      <c r="K406" s="35">
        <v>38.0</v>
      </c>
      <c r="L406" s="13"/>
      <c r="M406" s="13"/>
      <c r="N406" s="13">
        <v>11.0</v>
      </c>
      <c r="O406" s="13">
        <v>4.0</v>
      </c>
      <c r="P406" s="13">
        <v>5.0</v>
      </c>
      <c r="Q406" s="13">
        <v>2.0</v>
      </c>
      <c r="R406" s="13">
        <v>4.0</v>
      </c>
      <c r="S406" s="13"/>
      <c r="T406" s="13">
        <v>4.0</v>
      </c>
      <c r="U406" s="13">
        <v>2.0</v>
      </c>
      <c r="V406" s="13">
        <v>1.0</v>
      </c>
      <c r="W406" s="13">
        <v>2.0</v>
      </c>
      <c r="X406" s="13">
        <v>3.0</v>
      </c>
      <c r="Y406" s="13">
        <v>2.0</v>
      </c>
      <c r="Z406" s="13"/>
      <c r="AA406" s="13">
        <v>1.0</v>
      </c>
      <c r="AB406" s="13">
        <v>1.0</v>
      </c>
      <c r="AC406" s="13"/>
      <c r="AD406" s="13">
        <v>2.0</v>
      </c>
      <c r="AE406" s="13">
        <v>2.0</v>
      </c>
      <c r="AF406" s="13"/>
    </row>
    <row r="407" ht="15.75" customHeight="1">
      <c r="A407" s="11">
        <v>404.0</v>
      </c>
      <c r="B407" s="11">
        <v>22.0</v>
      </c>
      <c r="C407" s="11" t="s">
        <v>90</v>
      </c>
      <c r="D407" s="11" t="s">
        <v>1073</v>
      </c>
      <c r="E407" s="11"/>
      <c r="F407" s="11" t="s">
        <v>1074</v>
      </c>
      <c r="G407" s="11" t="s">
        <v>175</v>
      </c>
      <c r="H407" s="11">
        <v>2.0</v>
      </c>
      <c r="I407" s="11">
        <v>4.0</v>
      </c>
      <c r="J407" s="33">
        <v>5.0</v>
      </c>
      <c r="K407" s="33">
        <v>38.0</v>
      </c>
      <c r="L407" s="11"/>
      <c r="M407" s="11"/>
      <c r="N407" s="11">
        <v>11.0</v>
      </c>
      <c r="O407" s="11">
        <v>4.0</v>
      </c>
      <c r="P407" s="11">
        <v>5.0</v>
      </c>
      <c r="Q407" s="11">
        <v>2.0</v>
      </c>
      <c r="R407" s="11">
        <v>4.0</v>
      </c>
      <c r="S407" s="11"/>
      <c r="T407" s="11">
        <v>4.0</v>
      </c>
      <c r="U407" s="11">
        <v>2.0</v>
      </c>
      <c r="V407" s="11">
        <v>1.0</v>
      </c>
      <c r="W407" s="11">
        <v>2.0</v>
      </c>
      <c r="X407" s="11">
        <v>3.0</v>
      </c>
      <c r="Y407" s="11">
        <v>2.0</v>
      </c>
      <c r="Z407" s="11"/>
      <c r="AA407" s="11">
        <v>1.0</v>
      </c>
      <c r="AB407" s="11">
        <v>1.0</v>
      </c>
      <c r="AC407" s="11"/>
      <c r="AD407" s="11">
        <v>2.0</v>
      </c>
      <c r="AE407" s="11">
        <v>2.0</v>
      </c>
      <c r="AF407" s="11"/>
    </row>
    <row r="408" ht="15.75" customHeight="1">
      <c r="A408" s="13">
        <v>405.0</v>
      </c>
      <c r="B408" s="13">
        <v>22.0</v>
      </c>
      <c r="C408" s="13" t="s">
        <v>90</v>
      </c>
      <c r="D408" s="13" t="s">
        <v>1075</v>
      </c>
      <c r="E408" s="13" t="s">
        <v>1076</v>
      </c>
      <c r="F408" s="13" t="s">
        <v>1077</v>
      </c>
      <c r="G408" s="13" t="s">
        <v>175</v>
      </c>
      <c r="H408" s="13">
        <v>3.0</v>
      </c>
      <c r="I408" s="13">
        <v>1.0</v>
      </c>
      <c r="J408" s="35">
        <v>8.0</v>
      </c>
      <c r="K408" s="35">
        <v>38.0</v>
      </c>
      <c r="L408" s="13"/>
      <c r="M408" s="13"/>
      <c r="N408" s="13">
        <v>8.0</v>
      </c>
      <c r="O408" s="13">
        <v>3.0</v>
      </c>
      <c r="P408" s="13">
        <v>4.0</v>
      </c>
      <c r="Q408" s="13">
        <v>1.0</v>
      </c>
      <c r="R408" s="13">
        <v>4.0</v>
      </c>
      <c r="S408" s="13">
        <v>1.0</v>
      </c>
      <c r="T408" s="13">
        <v>3.0</v>
      </c>
      <c r="U408" s="13">
        <v>3.0</v>
      </c>
      <c r="V408" s="13"/>
      <c r="W408" s="13">
        <v>2.0</v>
      </c>
      <c r="X408" s="13">
        <v>1.0</v>
      </c>
      <c r="Y408" s="13">
        <v>1.0</v>
      </c>
      <c r="Z408" s="13"/>
      <c r="AA408" s="13">
        <v>1.0</v>
      </c>
      <c r="AB408" s="13">
        <v>1.0</v>
      </c>
      <c r="AC408" s="13"/>
      <c r="AD408" s="13">
        <v>1.0</v>
      </c>
      <c r="AE408" s="13">
        <v>1.0</v>
      </c>
      <c r="AF408" s="13"/>
    </row>
    <row r="409" ht="15.75" customHeight="1">
      <c r="A409" s="11">
        <v>406.0</v>
      </c>
      <c r="B409" s="11">
        <v>22.0</v>
      </c>
      <c r="C409" s="11" t="s">
        <v>90</v>
      </c>
      <c r="D409" s="11" t="s">
        <v>1078</v>
      </c>
      <c r="E409" s="11"/>
      <c r="F409" s="11" t="s">
        <v>1079</v>
      </c>
      <c r="G409" s="11" t="s">
        <v>175</v>
      </c>
      <c r="H409" s="11">
        <v>3.0</v>
      </c>
      <c r="I409" s="11">
        <v>2.0</v>
      </c>
      <c r="J409" s="33">
        <v>7.0</v>
      </c>
      <c r="K409" s="33">
        <v>38.0</v>
      </c>
      <c r="L409" s="11"/>
      <c r="M409" s="11"/>
      <c r="N409" s="11">
        <v>8.0</v>
      </c>
      <c r="O409" s="11">
        <v>3.0</v>
      </c>
      <c r="P409" s="11">
        <v>4.0</v>
      </c>
      <c r="Q409" s="11">
        <v>1.0</v>
      </c>
      <c r="R409" s="11">
        <v>4.0</v>
      </c>
      <c r="S409" s="11">
        <v>1.0</v>
      </c>
      <c r="T409" s="11">
        <v>3.0</v>
      </c>
      <c r="U409" s="11">
        <v>3.0</v>
      </c>
      <c r="V409" s="11"/>
      <c r="W409" s="11">
        <v>2.0</v>
      </c>
      <c r="X409" s="11">
        <v>1.0</v>
      </c>
      <c r="Y409" s="11">
        <v>1.0</v>
      </c>
      <c r="Z409" s="11"/>
      <c r="AA409" s="11">
        <v>1.0</v>
      </c>
      <c r="AB409" s="11">
        <v>1.0</v>
      </c>
      <c r="AC409" s="11"/>
      <c r="AD409" s="11">
        <v>1.0</v>
      </c>
      <c r="AE409" s="11">
        <v>1.0</v>
      </c>
      <c r="AF409" s="11"/>
    </row>
    <row r="410" ht="15.75" customHeight="1">
      <c r="A410" s="13">
        <v>407.0</v>
      </c>
      <c r="B410" s="13">
        <v>22.0</v>
      </c>
      <c r="C410" s="13" t="s">
        <v>90</v>
      </c>
      <c r="D410" s="13" t="s">
        <v>1080</v>
      </c>
      <c r="E410" s="13"/>
      <c r="F410" s="13" t="s">
        <v>1081</v>
      </c>
      <c r="G410" s="13" t="s">
        <v>175</v>
      </c>
      <c r="H410" s="13">
        <v>3.0</v>
      </c>
      <c r="I410" s="13">
        <v>3.0</v>
      </c>
      <c r="J410" s="35">
        <v>6.0</v>
      </c>
      <c r="K410" s="35">
        <v>38.0</v>
      </c>
      <c r="L410" s="13"/>
      <c r="M410" s="13"/>
      <c r="N410" s="13">
        <v>12.0</v>
      </c>
      <c r="O410" s="13">
        <v>4.0</v>
      </c>
      <c r="P410" s="13">
        <v>5.0</v>
      </c>
      <c r="Q410" s="13">
        <v>1.0</v>
      </c>
      <c r="R410" s="13">
        <v>5.0</v>
      </c>
      <c r="S410" s="13">
        <v>1.0</v>
      </c>
      <c r="T410" s="13">
        <v>4.0</v>
      </c>
      <c r="U410" s="13">
        <v>3.0</v>
      </c>
      <c r="V410" s="13"/>
      <c r="W410" s="13">
        <v>2.0</v>
      </c>
      <c r="X410" s="13">
        <v>2.0</v>
      </c>
      <c r="Y410" s="13">
        <v>1.0</v>
      </c>
      <c r="Z410" s="13"/>
      <c r="AA410" s="13">
        <v>1.0</v>
      </c>
      <c r="AB410" s="13">
        <v>2.0</v>
      </c>
      <c r="AC410" s="13"/>
      <c r="AD410" s="13">
        <v>1.0</v>
      </c>
      <c r="AE410" s="13">
        <v>1.0</v>
      </c>
      <c r="AF410" s="13"/>
    </row>
    <row r="411" ht="15.75" customHeight="1">
      <c r="A411" s="11">
        <v>408.0</v>
      </c>
      <c r="B411" s="11">
        <v>22.0</v>
      </c>
      <c r="C411" s="11" t="s">
        <v>90</v>
      </c>
      <c r="D411" s="11" t="s">
        <v>1082</v>
      </c>
      <c r="E411" s="11"/>
      <c r="F411" s="11" t="s">
        <v>1083</v>
      </c>
      <c r="G411" s="11" t="s">
        <v>175</v>
      </c>
      <c r="H411" s="11">
        <v>3.0</v>
      </c>
      <c r="I411" s="11">
        <v>4.0</v>
      </c>
      <c r="J411" s="33">
        <v>5.0</v>
      </c>
      <c r="K411" s="33">
        <v>38.0</v>
      </c>
      <c r="L411" s="11"/>
      <c r="M411" s="11"/>
      <c r="N411" s="11">
        <v>12.0</v>
      </c>
      <c r="O411" s="11">
        <v>4.0</v>
      </c>
      <c r="P411" s="11">
        <v>5.0</v>
      </c>
      <c r="Q411" s="11">
        <v>1.0</v>
      </c>
      <c r="R411" s="11">
        <v>5.0</v>
      </c>
      <c r="S411" s="11">
        <v>1.0</v>
      </c>
      <c r="T411" s="11">
        <v>4.0</v>
      </c>
      <c r="U411" s="11">
        <v>3.0</v>
      </c>
      <c r="V411" s="11"/>
      <c r="W411" s="11">
        <v>2.0</v>
      </c>
      <c r="X411" s="11">
        <v>2.0</v>
      </c>
      <c r="Y411" s="11">
        <v>1.0</v>
      </c>
      <c r="Z411" s="11"/>
      <c r="AA411" s="11">
        <v>1.0</v>
      </c>
      <c r="AB411" s="11">
        <v>2.0</v>
      </c>
      <c r="AC411" s="11"/>
      <c r="AD411" s="11">
        <v>1.0</v>
      </c>
      <c r="AE411" s="11">
        <v>1.0</v>
      </c>
      <c r="AF411" s="11"/>
    </row>
    <row r="412" ht="15.75" customHeight="1">
      <c r="A412" s="13">
        <v>409.0</v>
      </c>
      <c r="B412" s="13">
        <v>22.0</v>
      </c>
      <c r="C412" s="13" t="s">
        <v>90</v>
      </c>
      <c r="D412" s="13" t="s">
        <v>1084</v>
      </c>
      <c r="E412" s="13" t="s">
        <v>1085</v>
      </c>
      <c r="F412" s="13" t="s">
        <v>1086</v>
      </c>
      <c r="G412" s="13" t="s">
        <v>175</v>
      </c>
      <c r="H412" s="13">
        <v>4.0</v>
      </c>
      <c r="I412" s="13">
        <v>1.0</v>
      </c>
      <c r="J412" s="35">
        <v>8.0</v>
      </c>
      <c r="K412" s="35">
        <v>38.0</v>
      </c>
      <c r="L412" s="13"/>
      <c r="M412" s="13"/>
      <c r="N412" s="13">
        <v>6.0</v>
      </c>
      <c r="O412" s="13">
        <v>3.0</v>
      </c>
      <c r="P412" s="13">
        <v>4.0</v>
      </c>
      <c r="Q412" s="13">
        <v>1.0</v>
      </c>
      <c r="R412" s="13">
        <v>4.0</v>
      </c>
      <c r="S412" s="13">
        <v>1.0</v>
      </c>
      <c r="T412" s="13">
        <v>3.0</v>
      </c>
      <c r="U412" s="13">
        <v>3.0</v>
      </c>
      <c r="V412" s="13"/>
      <c r="W412" s="13">
        <v>1.0</v>
      </c>
      <c r="X412" s="13">
        <v>2.0</v>
      </c>
      <c r="Y412" s="13">
        <v>1.0</v>
      </c>
      <c r="Z412" s="13"/>
      <c r="AA412" s="13">
        <v>1.0</v>
      </c>
      <c r="AB412" s="13">
        <v>1.0</v>
      </c>
      <c r="AC412" s="13"/>
      <c r="AD412" s="13"/>
      <c r="AE412" s="13">
        <v>1.0</v>
      </c>
      <c r="AF412" s="13"/>
    </row>
    <row r="413" ht="15.75" customHeight="1">
      <c r="A413" s="11">
        <v>410.0</v>
      </c>
      <c r="B413" s="11">
        <v>22.0</v>
      </c>
      <c r="C413" s="11" t="s">
        <v>90</v>
      </c>
      <c r="D413" s="11" t="s">
        <v>1087</v>
      </c>
      <c r="E413" s="11"/>
      <c r="F413" s="11" t="s">
        <v>1088</v>
      </c>
      <c r="G413" s="11" t="s">
        <v>175</v>
      </c>
      <c r="H413" s="11">
        <v>4.0</v>
      </c>
      <c r="I413" s="11">
        <v>2.0</v>
      </c>
      <c r="J413" s="33">
        <v>7.0</v>
      </c>
      <c r="K413" s="33">
        <v>38.0</v>
      </c>
      <c r="L413" s="11"/>
      <c r="M413" s="11"/>
      <c r="N413" s="11">
        <v>6.0</v>
      </c>
      <c r="O413" s="11">
        <v>3.0</v>
      </c>
      <c r="P413" s="11">
        <v>4.0</v>
      </c>
      <c r="Q413" s="11">
        <v>1.0</v>
      </c>
      <c r="R413" s="11">
        <v>4.0</v>
      </c>
      <c r="S413" s="11">
        <v>1.0</v>
      </c>
      <c r="T413" s="11">
        <v>3.0</v>
      </c>
      <c r="U413" s="11">
        <v>3.0</v>
      </c>
      <c r="V413" s="11"/>
      <c r="W413" s="11">
        <v>1.0</v>
      </c>
      <c r="X413" s="11">
        <v>2.0</v>
      </c>
      <c r="Y413" s="11">
        <v>1.0</v>
      </c>
      <c r="Z413" s="11"/>
      <c r="AA413" s="11">
        <v>1.0</v>
      </c>
      <c r="AB413" s="11">
        <v>1.0</v>
      </c>
      <c r="AC413" s="11"/>
      <c r="AD413" s="11"/>
      <c r="AE413" s="11">
        <v>1.0</v>
      </c>
      <c r="AF413" s="11"/>
    </row>
    <row r="414" ht="15.75" customHeight="1">
      <c r="A414" s="13">
        <v>411.0</v>
      </c>
      <c r="B414" s="13">
        <v>22.0</v>
      </c>
      <c r="C414" s="13" t="s">
        <v>90</v>
      </c>
      <c r="D414" s="13" t="s">
        <v>1089</v>
      </c>
      <c r="E414" s="13"/>
      <c r="F414" s="13" t="s">
        <v>1090</v>
      </c>
      <c r="G414" s="13" t="s">
        <v>175</v>
      </c>
      <c r="H414" s="13">
        <v>4.0</v>
      </c>
      <c r="I414" s="13">
        <v>3.0</v>
      </c>
      <c r="J414" s="35">
        <v>6.0</v>
      </c>
      <c r="K414" s="35">
        <v>38.0</v>
      </c>
      <c r="L414" s="13"/>
      <c r="M414" s="13"/>
      <c r="N414" s="13">
        <v>10.0</v>
      </c>
      <c r="O414" s="13">
        <v>4.0</v>
      </c>
      <c r="P414" s="13">
        <v>5.0</v>
      </c>
      <c r="Q414" s="13">
        <v>1.0</v>
      </c>
      <c r="R414" s="13">
        <v>5.0</v>
      </c>
      <c r="S414" s="13">
        <v>1.0</v>
      </c>
      <c r="T414" s="13">
        <v>4.0</v>
      </c>
      <c r="U414" s="13">
        <v>3.0</v>
      </c>
      <c r="V414" s="13"/>
      <c r="W414" s="13">
        <v>1.0</v>
      </c>
      <c r="X414" s="13">
        <v>2.0</v>
      </c>
      <c r="Y414" s="13">
        <v>1.0</v>
      </c>
      <c r="Z414" s="13"/>
      <c r="AA414" s="13">
        <v>1.0</v>
      </c>
      <c r="AB414" s="13">
        <v>1.0</v>
      </c>
      <c r="AC414" s="13"/>
      <c r="AD414" s="13">
        <v>1.0</v>
      </c>
      <c r="AE414" s="13">
        <v>1.0</v>
      </c>
      <c r="AF414" s="13"/>
    </row>
    <row r="415" ht="15.75" customHeight="1">
      <c r="A415" s="11">
        <v>412.0</v>
      </c>
      <c r="B415" s="11">
        <v>22.0</v>
      </c>
      <c r="C415" s="11" t="s">
        <v>90</v>
      </c>
      <c r="D415" s="11" t="s">
        <v>1091</v>
      </c>
      <c r="E415" s="11"/>
      <c r="F415" s="11" t="s">
        <v>1092</v>
      </c>
      <c r="G415" s="11" t="s">
        <v>175</v>
      </c>
      <c r="H415" s="11">
        <v>4.0</v>
      </c>
      <c r="I415" s="11">
        <v>4.0</v>
      </c>
      <c r="J415" s="33">
        <v>5.0</v>
      </c>
      <c r="K415" s="33">
        <v>38.0</v>
      </c>
      <c r="L415" s="11"/>
      <c r="M415" s="11"/>
      <c r="N415" s="11">
        <v>10.0</v>
      </c>
      <c r="O415" s="11">
        <v>4.0</v>
      </c>
      <c r="P415" s="11">
        <v>5.0</v>
      </c>
      <c r="Q415" s="11">
        <v>1.0</v>
      </c>
      <c r="R415" s="11">
        <v>5.0</v>
      </c>
      <c r="S415" s="11">
        <v>1.0</v>
      </c>
      <c r="T415" s="11">
        <v>4.0</v>
      </c>
      <c r="U415" s="11">
        <v>3.0</v>
      </c>
      <c r="V415" s="11"/>
      <c r="W415" s="11">
        <v>1.0</v>
      </c>
      <c r="X415" s="11">
        <v>2.0</v>
      </c>
      <c r="Y415" s="11">
        <v>1.0</v>
      </c>
      <c r="Z415" s="11"/>
      <c r="AA415" s="11">
        <v>1.0</v>
      </c>
      <c r="AB415" s="11">
        <v>1.0</v>
      </c>
      <c r="AC415" s="11"/>
      <c r="AD415" s="11">
        <v>1.0</v>
      </c>
      <c r="AE415" s="11">
        <v>1.0</v>
      </c>
      <c r="AF415" s="11"/>
    </row>
    <row r="416" ht="15.75" customHeight="1">
      <c r="A416" s="13">
        <v>413.0</v>
      </c>
      <c r="B416" s="13">
        <v>22.0</v>
      </c>
      <c r="C416" s="13" t="s">
        <v>90</v>
      </c>
      <c r="D416" s="13" t="s">
        <v>1093</v>
      </c>
      <c r="E416" s="13"/>
      <c r="F416" s="13" t="s">
        <v>1094</v>
      </c>
      <c r="G416" s="13" t="s">
        <v>74</v>
      </c>
      <c r="H416" s="13">
        <v>5.0</v>
      </c>
      <c r="I416" s="13">
        <v>5.0</v>
      </c>
      <c r="J416" s="35">
        <v>1.0</v>
      </c>
      <c r="K416" s="35">
        <v>192.0</v>
      </c>
      <c r="L416" s="13"/>
      <c r="M416" s="13"/>
      <c r="N416" s="13">
        <v>40.0</v>
      </c>
      <c r="O416" s="13">
        <v>12.0</v>
      </c>
      <c r="P416" s="13">
        <v>16.0</v>
      </c>
      <c r="Q416" s="13">
        <v>4.0</v>
      </c>
      <c r="R416" s="13">
        <v>8.0</v>
      </c>
      <c r="S416" s="13">
        <v>4.0</v>
      </c>
      <c r="T416" s="13">
        <v>6.0</v>
      </c>
      <c r="U416" s="13">
        <v>7.0</v>
      </c>
      <c r="V416" s="13">
        <v>1.0</v>
      </c>
      <c r="W416" s="13">
        <v>4.0</v>
      </c>
      <c r="X416" s="13">
        <v>4.0</v>
      </c>
      <c r="Y416" s="13">
        <v>3.0</v>
      </c>
      <c r="Z416" s="13"/>
      <c r="AA416" s="13">
        <v>2.0</v>
      </c>
      <c r="AB416" s="13">
        <v>2.0</v>
      </c>
      <c r="AC416" s="13"/>
      <c r="AD416" s="13">
        <v>2.0</v>
      </c>
      <c r="AE416" s="13">
        <v>2.0</v>
      </c>
      <c r="AF416" s="13"/>
    </row>
    <row r="417" ht="15.75" customHeight="1">
      <c r="A417" s="11">
        <v>414.0</v>
      </c>
      <c r="B417" s="11">
        <v>23.0</v>
      </c>
      <c r="C417" s="11" t="s">
        <v>92</v>
      </c>
      <c r="D417" s="11" t="s">
        <v>1095</v>
      </c>
      <c r="E417" s="11"/>
      <c r="F417" s="11" t="s">
        <v>1096</v>
      </c>
      <c r="G417" s="11" t="s">
        <v>170</v>
      </c>
      <c r="H417" s="11">
        <v>0.0</v>
      </c>
      <c r="I417" s="11">
        <v>0.0</v>
      </c>
      <c r="J417" s="33">
        <v>15.0</v>
      </c>
      <c r="K417" s="33">
        <v>200.0</v>
      </c>
      <c r="L417" s="11"/>
      <c r="M417" s="34" t="s">
        <v>1097</v>
      </c>
      <c r="N417" s="11">
        <v>34.0</v>
      </c>
      <c r="O417" s="11">
        <v>8.0</v>
      </c>
      <c r="P417" s="11">
        <v>8.0</v>
      </c>
      <c r="Q417" s="11">
        <v>4.0</v>
      </c>
      <c r="R417" s="11">
        <v>8.0</v>
      </c>
      <c r="S417" s="11">
        <v>3.0</v>
      </c>
      <c r="T417" s="11">
        <v>5.0</v>
      </c>
      <c r="U417" s="11">
        <v>3.0</v>
      </c>
      <c r="V417" s="11">
        <v>2.0</v>
      </c>
      <c r="W417" s="11">
        <v>2.0</v>
      </c>
      <c r="X417" s="11">
        <v>2.0</v>
      </c>
      <c r="Y417" s="11">
        <v>2.0</v>
      </c>
      <c r="Z417" s="11"/>
      <c r="AA417" s="11">
        <v>2.0</v>
      </c>
      <c r="AB417" s="11">
        <v>2.0</v>
      </c>
      <c r="AC417" s="11"/>
      <c r="AD417" s="11">
        <v>1.0</v>
      </c>
      <c r="AE417" s="11">
        <v>3.0</v>
      </c>
      <c r="AF417" s="11"/>
    </row>
    <row r="418" ht="15.75" customHeight="1">
      <c r="A418" s="13">
        <v>415.0</v>
      </c>
      <c r="B418" s="13">
        <v>23.0</v>
      </c>
      <c r="C418" s="13" t="s">
        <v>92</v>
      </c>
      <c r="D418" s="13" t="s">
        <v>1098</v>
      </c>
      <c r="E418" s="13" t="s">
        <v>1099</v>
      </c>
      <c r="F418" s="13" t="s">
        <v>1100</v>
      </c>
      <c r="G418" s="13" t="s">
        <v>175</v>
      </c>
      <c r="H418" s="13">
        <v>1.0</v>
      </c>
      <c r="I418" s="13">
        <v>1.0</v>
      </c>
      <c r="J418" s="35">
        <v>8.0</v>
      </c>
      <c r="K418" s="35">
        <v>38.0</v>
      </c>
      <c r="L418" s="13"/>
      <c r="M418" s="13"/>
      <c r="N418" s="13">
        <v>8.0</v>
      </c>
      <c r="O418" s="13">
        <v>2.0</v>
      </c>
      <c r="P418" s="13">
        <v>3.0</v>
      </c>
      <c r="Q418" s="13">
        <v>1.0</v>
      </c>
      <c r="R418" s="13">
        <v>5.0</v>
      </c>
      <c r="S418" s="13">
        <v>1.0</v>
      </c>
      <c r="T418" s="13">
        <v>3.0</v>
      </c>
      <c r="U418" s="13">
        <v>3.0</v>
      </c>
      <c r="V418" s="13">
        <v>1.0</v>
      </c>
      <c r="W418" s="13">
        <v>1.0</v>
      </c>
      <c r="X418" s="13">
        <v>1.0</v>
      </c>
      <c r="Y418" s="13">
        <v>1.0</v>
      </c>
      <c r="Z418" s="13"/>
      <c r="AA418" s="13">
        <v>1.0</v>
      </c>
      <c r="AB418" s="13">
        <v>2.0</v>
      </c>
      <c r="AC418" s="13"/>
      <c r="AD418" s="13">
        <v>1.0</v>
      </c>
      <c r="AE418" s="13">
        <v>1.0</v>
      </c>
      <c r="AF418" s="13"/>
    </row>
    <row r="419" ht="15.75" customHeight="1">
      <c r="A419" s="11">
        <v>416.0</v>
      </c>
      <c r="B419" s="11">
        <v>23.0</v>
      </c>
      <c r="C419" s="11" t="s">
        <v>92</v>
      </c>
      <c r="D419" s="11" t="s">
        <v>1101</v>
      </c>
      <c r="E419" s="11"/>
      <c r="F419" s="11" t="s">
        <v>1102</v>
      </c>
      <c r="G419" s="11" t="s">
        <v>175</v>
      </c>
      <c r="H419" s="11">
        <v>1.0</v>
      </c>
      <c r="I419" s="11">
        <v>2.0</v>
      </c>
      <c r="J419" s="33">
        <v>7.0</v>
      </c>
      <c r="K419" s="33">
        <v>38.0</v>
      </c>
      <c r="L419" s="11"/>
      <c r="M419" s="11"/>
      <c r="N419" s="11">
        <v>8.0</v>
      </c>
      <c r="O419" s="11">
        <v>2.0</v>
      </c>
      <c r="P419" s="11">
        <v>3.0</v>
      </c>
      <c r="Q419" s="11">
        <v>1.0</v>
      </c>
      <c r="R419" s="11">
        <v>5.0</v>
      </c>
      <c r="S419" s="11">
        <v>1.0</v>
      </c>
      <c r="T419" s="11">
        <v>3.0</v>
      </c>
      <c r="U419" s="11">
        <v>3.0</v>
      </c>
      <c r="V419" s="11">
        <v>1.0</v>
      </c>
      <c r="W419" s="11">
        <v>1.0</v>
      </c>
      <c r="X419" s="11">
        <v>1.0</v>
      </c>
      <c r="Y419" s="11">
        <v>1.0</v>
      </c>
      <c r="Z419" s="11"/>
      <c r="AA419" s="11">
        <v>1.0</v>
      </c>
      <c r="AB419" s="11">
        <v>2.0</v>
      </c>
      <c r="AC419" s="11"/>
      <c r="AD419" s="11">
        <v>1.0</v>
      </c>
      <c r="AE419" s="11">
        <v>1.0</v>
      </c>
      <c r="AF419" s="11"/>
    </row>
    <row r="420" ht="15.75" customHeight="1">
      <c r="A420" s="13">
        <v>417.0</v>
      </c>
      <c r="B420" s="13">
        <v>23.0</v>
      </c>
      <c r="C420" s="13" t="s">
        <v>92</v>
      </c>
      <c r="D420" s="13" t="s">
        <v>1103</v>
      </c>
      <c r="E420" s="13"/>
      <c r="F420" s="13" t="s">
        <v>1104</v>
      </c>
      <c r="G420" s="13" t="s">
        <v>175</v>
      </c>
      <c r="H420" s="13">
        <v>1.0</v>
      </c>
      <c r="I420" s="13">
        <v>3.0</v>
      </c>
      <c r="J420" s="35">
        <v>6.0</v>
      </c>
      <c r="K420" s="35">
        <v>38.0</v>
      </c>
      <c r="L420" s="13"/>
      <c r="M420" s="13"/>
      <c r="N420" s="13">
        <v>12.0</v>
      </c>
      <c r="O420" s="13">
        <v>3.0</v>
      </c>
      <c r="P420" s="13">
        <v>4.0</v>
      </c>
      <c r="Q420" s="13">
        <v>1.0</v>
      </c>
      <c r="R420" s="13">
        <v>6.0</v>
      </c>
      <c r="S420" s="13">
        <v>1.0</v>
      </c>
      <c r="T420" s="13">
        <v>4.0</v>
      </c>
      <c r="U420" s="13">
        <v>3.0</v>
      </c>
      <c r="V420" s="13">
        <v>1.0</v>
      </c>
      <c r="W420" s="13">
        <v>1.0</v>
      </c>
      <c r="X420" s="13">
        <v>1.0</v>
      </c>
      <c r="Y420" s="13">
        <v>1.0</v>
      </c>
      <c r="Z420" s="13"/>
      <c r="AA420" s="13">
        <v>1.0</v>
      </c>
      <c r="AB420" s="13">
        <v>2.0</v>
      </c>
      <c r="AC420" s="13"/>
      <c r="AD420" s="13">
        <v>2.0</v>
      </c>
      <c r="AE420" s="13">
        <v>1.0</v>
      </c>
      <c r="AF420" s="13"/>
    </row>
    <row r="421" ht="15.75" customHeight="1">
      <c r="A421" s="11">
        <v>418.0</v>
      </c>
      <c r="B421" s="11">
        <v>23.0</v>
      </c>
      <c r="C421" s="11" t="s">
        <v>92</v>
      </c>
      <c r="D421" s="11" t="s">
        <v>1105</v>
      </c>
      <c r="E421" s="11"/>
      <c r="F421" s="11" t="s">
        <v>1106</v>
      </c>
      <c r="G421" s="11" t="s">
        <v>175</v>
      </c>
      <c r="H421" s="11">
        <v>1.0</v>
      </c>
      <c r="I421" s="11">
        <v>4.0</v>
      </c>
      <c r="J421" s="33">
        <v>5.0</v>
      </c>
      <c r="K421" s="33">
        <v>38.0</v>
      </c>
      <c r="L421" s="11"/>
      <c r="M421" s="11"/>
      <c r="N421" s="11">
        <v>12.0</v>
      </c>
      <c r="O421" s="11">
        <v>3.0</v>
      </c>
      <c r="P421" s="11">
        <v>4.0</v>
      </c>
      <c r="Q421" s="11">
        <v>1.0</v>
      </c>
      <c r="R421" s="11">
        <v>6.0</v>
      </c>
      <c r="S421" s="11">
        <v>1.0</v>
      </c>
      <c r="T421" s="11">
        <v>4.0</v>
      </c>
      <c r="U421" s="11">
        <v>3.0</v>
      </c>
      <c r="V421" s="11">
        <v>1.0</v>
      </c>
      <c r="W421" s="11">
        <v>1.0</v>
      </c>
      <c r="X421" s="11">
        <v>1.0</v>
      </c>
      <c r="Y421" s="11">
        <v>1.0</v>
      </c>
      <c r="Z421" s="11"/>
      <c r="AA421" s="11">
        <v>1.0</v>
      </c>
      <c r="AB421" s="11">
        <v>2.0</v>
      </c>
      <c r="AC421" s="11"/>
      <c r="AD421" s="11">
        <v>2.0</v>
      </c>
      <c r="AE421" s="11">
        <v>1.0</v>
      </c>
      <c r="AF421" s="11"/>
    </row>
    <row r="422" ht="15.75" customHeight="1">
      <c r="A422" s="13">
        <v>419.0</v>
      </c>
      <c r="B422" s="13">
        <v>23.0</v>
      </c>
      <c r="C422" s="13" t="s">
        <v>92</v>
      </c>
      <c r="D422" s="13" t="s">
        <v>1107</v>
      </c>
      <c r="E422" s="13" t="s">
        <v>1108</v>
      </c>
      <c r="F422" s="13" t="s">
        <v>1109</v>
      </c>
      <c r="G422" s="13" t="s">
        <v>175</v>
      </c>
      <c r="H422" s="13">
        <v>2.0</v>
      </c>
      <c r="I422" s="13">
        <v>1.0</v>
      </c>
      <c r="J422" s="35">
        <v>8.0</v>
      </c>
      <c r="K422" s="35">
        <v>38.0</v>
      </c>
      <c r="L422" s="13"/>
      <c r="M422" s="13"/>
      <c r="N422" s="13">
        <v>10.0</v>
      </c>
      <c r="O422" s="13">
        <v>3.0</v>
      </c>
      <c r="P422" s="13">
        <v>3.0</v>
      </c>
      <c r="Q422" s="13"/>
      <c r="R422" s="13">
        <v>7.0</v>
      </c>
      <c r="S422" s="13">
        <v>1.0</v>
      </c>
      <c r="T422" s="13">
        <v>4.0</v>
      </c>
      <c r="U422" s="13">
        <v>2.0</v>
      </c>
      <c r="V422" s="13">
        <v>1.0</v>
      </c>
      <c r="W422" s="13">
        <v>1.0</v>
      </c>
      <c r="X422" s="13">
        <v>1.0</v>
      </c>
      <c r="Y422" s="13">
        <v>1.0</v>
      </c>
      <c r="Z422" s="13"/>
      <c r="AA422" s="13">
        <v>1.0</v>
      </c>
      <c r="AB422" s="13">
        <v>1.0</v>
      </c>
      <c r="AC422" s="13"/>
      <c r="AD422" s="13">
        <v>1.0</v>
      </c>
      <c r="AE422" s="13">
        <v>1.0</v>
      </c>
      <c r="AF422" s="13"/>
    </row>
    <row r="423" ht="15.75" customHeight="1">
      <c r="A423" s="11">
        <v>420.0</v>
      </c>
      <c r="B423" s="11">
        <v>23.0</v>
      </c>
      <c r="C423" s="11" t="s">
        <v>92</v>
      </c>
      <c r="D423" s="11" t="s">
        <v>1110</v>
      </c>
      <c r="E423" s="11"/>
      <c r="F423" s="11" t="s">
        <v>1111</v>
      </c>
      <c r="G423" s="11" t="s">
        <v>175</v>
      </c>
      <c r="H423" s="11">
        <v>2.0</v>
      </c>
      <c r="I423" s="11">
        <v>2.0</v>
      </c>
      <c r="J423" s="33">
        <v>7.0</v>
      </c>
      <c r="K423" s="33">
        <v>38.0</v>
      </c>
      <c r="L423" s="11"/>
      <c r="M423" s="11"/>
      <c r="N423" s="11">
        <v>10.0</v>
      </c>
      <c r="O423" s="11">
        <v>3.0</v>
      </c>
      <c r="P423" s="11">
        <v>3.0</v>
      </c>
      <c r="Q423" s="11"/>
      <c r="R423" s="11">
        <v>7.0</v>
      </c>
      <c r="S423" s="11">
        <v>1.0</v>
      </c>
      <c r="T423" s="11">
        <v>4.0</v>
      </c>
      <c r="U423" s="11">
        <v>2.0</v>
      </c>
      <c r="V423" s="11">
        <v>1.0</v>
      </c>
      <c r="W423" s="11">
        <v>1.0</v>
      </c>
      <c r="X423" s="11">
        <v>1.0</v>
      </c>
      <c r="Y423" s="11">
        <v>1.0</v>
      </c>
      <c r="Z423" s="11"/>
      <c r="AA423" s="11">
        <v>1.0</v>
      </c>
      <c r="AB423" s="11">
        <v>1.0</v>
      </c>
      <c r="AC423" s="11"/>
      <c r="AD423" s="11">
        <v>1.0</v>
      </c>
      <c r="AE423" s="11">
        <v>1.0</v>
      </c>
      <c r="AF423" s="11"/>
    </row>
    <row r="424" ht="15.75" customHeight="1">
      <c r="A424" s="13">
        <v>421.0</v>
      </c>
      <c r="B424" s="13">
        <v>23.0</v>
      </c>
      <c r="C424" s="13" t="s">
        <v>92</v>
      </c>
      <c r="D424" s="13" t="s">
        <v>1112</v>
      </c>
      <c r="E424" s="13"/>
      <c r="F424" s="13" t="s">
        <v>1113</v>
      </c>
      <c r="G424" s="13" t="s">
        <v>175</v>
      </c>
      <c r="H424" s="13">
        <v>2.0</v>
      </c>
      <c r="I424" s="13">
        <v>3.0</v>
      </c>
      <c r="J424" s="35">
        <v>6.0</v>
      </c>
      <c r="K424" s="35">
        <v>38.0</v>
      </c>
      <c r="L424" s="13"/>
      <c r="M424" s="13"/>
      <c r="N424" s="13">
        <v>14.0</v>
      </c>
      <c r="O424" s="13">
        <v>4.0</v>
      </c>
      <c r="P424" s="13">
        <v>4.0</v>
      </c>
      <c r="Q424" s="13"/>
      <c r="R424" s="13">
        <v>8.0</v>
      </c>
      <c r="S424" s="13">
        <v>1.0</v>
      </c>
      <c r="T424" s="13">
        <v>5.0</v>
      </c>
      <c r="U424" s="13">
        <v>2.0</v>
      </c>
      <c r="V424" s="13">
        <v>1.0</v>
      </c>
      <c r="W424" s="13">
        <v>1.0</v>
      </c>
      <c r="X424" s="13">
        <v>1.0</v>
      </c>
      <c r="Y424" s="13">
        <v>1.0</v>
      </c>
      <c r="Z424" s="13"/>
      <c r="AA424" s="13">
        <v>1.0</v>
      </c>
      <c r="AB424" s="13">
        <v>2.0</v>
      </c>
      <c r="AC424" s="13"/>
      <c r="AD424" s="13">
        <v>2.0</v>
      </c>
      <c r="AE424" s="13">
        <v>1.0</v>
      </c>
      <c r="AF424" s="13"/>
    </row>
    <row r="425" ht="15.75" customHeight="1">
      <c r="A425" s="11">
        <v>422.0</v>
      </c>
      <c r="B425" s="11">
        <v>23.0</v>
      </c>
      <c r="C425" s="11" t="s">
        <v>92</v>
      </c>
      <c r="D425" s="11" t="s">
        <v>1114</v>
      </c>
      <c r="E425" s="11"/>
      <c r="F425" s="11" t="s">
        <v>1115</v>
      </c>
      <c r="G425" s="11" t="s">
        <v>175</v>
      </c>
      <c r="H425" s="11">
        <v>2.0</v>
      </c>
      <c r="I425" s="11">
        <v>4.0</v>
      </c>
      <c r="J425" s="33">
        <v>5.0</v>
      </c>
      <c r="K425" s="33">
        <v>38.0</v>
      </c>
      <c r="L425" s="11"/>
      <c r="M425" s="11"/>
      <c r="N425" s="11">
        <v>14.0</v>
      </c>
      <c r="O425" s="11">
        <v>4.0</v>
      </c>
      <c r="P425" s="11">
        <v>4.0</v>
      </c>
      <c r="Q425" s="11"/>
      <c r="R425" s="11">
        <v>8.0</v>
      </c>
      <c r="S425" s="11">
        <v>1.0</v>
      </c>
      <c r="T425" s="11">
        <v>5.0</v>
      </c>
      <c r="U425" s="11">
        <v>2.0</v>
      </c>
      <c r="V425" s="11">
        <v>1.0</v>
      </c>
      <c r="W425" s="11">
        <v>1.0</v>
      </c>
      <c r="X425" s="11">
        <v>1.0</v>
      </c>
      <c r="Y425" s="11">
        <v>1.0</v>
      </c>
      <c r="Z425" s="11"/>
      <c r="AA425" s="11">
        <v>1.0</v>
      </c>
      <c r="AB425" s="11">
        <v>2.0</v>
      </c>
      <c r="AC425" s="11"/>
      <c r="AD425" s="11">
        <v>2.0</v>
      </c>
      <c r="AE425" s="11">
        <v>1.0</v>
      </c>
      <c r="AF425" s="11"/>
    </row>
    <row r="426" ht="15.75" customHeight="1">
      <c r="A426" s="13">
        <v>423.0</v>
      </c>
      <c r="B426" s="13">
        <v>23.0</v>
      </c>
      <c r="C426" s="13" t="s">
        <v>92</v>
      </c>
      <c r="D426" s="13" t="s">
        <v>1116</v>
      </c>
      <c r="E426" s="13" t="s">
        <v>1117</v>
      </c>
      <c r="F426" s="13" t="s">
        <v>1118</v>
      </c>
      <c r="G426" s="13" t="s">
        <v>175</v>
      </c>
      <c r="H426" s="13">
        <v>3.0</v>
      </c>
      <c r="I426" s="13">
        <v>1.0</v>
      </c>
      <c r="J426" s="35">
        <v>8.0</v>
      </c>
      <c r="K426" s="35">
        <v>38.0</v>
      </c>
      <c r="L426" s="13"/>
      <c r="M426" s="13"/>
      <c r="N426" s="13">
        <v>8.0</v>
      </c>
      <c r="O426" s="13">
        <v>3.0</v>
      </c>
      <c r="P426" s="13">
        <v>3.0</v>
      </c>
      <c r="Q426" s="13">
        <v>1.0</v>
      </c>
      <c r="R426" s="13">
        <v>5.0</v>
      </c>
      <c r="S426" s="13">
        <v>1.0</v>
      </c>
      <c r="T426" s="13">
        <v>3.0</v>
      </c>
      <c r="U426" s="13">
        <v>2.0</v>
      </c>
      <c r="V426" s="13">
        <v>1.0</v>
      </c>
      <c r="W426" s="13">
        <v>2.0</v>
      </c>
      <c r="X426" s="13">
        <v>2.0</v>
      </c>
      <c r="Y426" s="13">
        <v>1.0</v>
      </c>
      <c r="Z426" s="13"/>
      <c r="AA426" s="13">
        <v>1.0</v>
      </c>
      <c r="AB426" s="13">
        <v>2.0</v>
      </c>
      <c r="AC426" s="13"/>
      <c r="AD426" s="13">
        <v>1.0</v>
      </c>
      <c r="AE426" s="13">
        <v>2.0</v>
      </c>
      <c r="AF426" s="13"/>
    </row>
    <row r="427" ht="15.75" customHeight="1">
      <c r="A427" s="11">
        <v>424.0</v>
      </c>
      <c r="B427" s="11">
        <v>23.0</v>
      </c>
      <c r="C427" s="11" t="s">
        <v>92</v>
      </c>
      <c r="D427" s="11" t="s">
        <v>1119</v>
      </c>
      <c r="E427" s="11"/>
      <c r="F427" s="11" t="s">
        <v>1120</v>
      </c>
      <c r="G427" s="11" t="s">
        <v>175</v>
      </c>
      <c r="H427" s="11">
        <v>3.0</v>
      </c>
      <c r="I427" s="11">
        <v>2.0</v>
      </c>
      <c r="J427" s="33">
        <v>7.0</v>
      </c>
      <c r="K427" s="33">
        <v>38.0</v>
      </c>
      <c r="L427" s="11"/>
      <c r="M427" s="11"/>
      <c r="N427" s="11">
        <v>8.0</v>
      </c>
      <c r="O427" s="11">
        <v>3.0</v>
      </c>
      <c r="P427" s="11">
        <v>3.0</v>
      </c>
      <c r="Q427" s="11">
        <v>1.0</v>
      </c>
      <c r="R427" s="11">
        <v>5.0</v>
      </c>
      <c r="S427" s="11">
        <v>1.0</v>
      </c>
      <c r="T427" s="11">
        <v>3.0</v>
      </c>
      <c r="U427" s="11">
        <v>2.0</v>
      </c>
      <c r="V427" s="11">
        <v>1.0</v>
      </c>
      <c r="W427" s="11">
        <v>2.0</v>
      </c>
      <c r="X427" s="11">
        <v>2.0</v>
      </c>
      <c r="Y427" s="11">
        <v>1.0</v>
      </c>
      <c r="Z427" s="11"/>
      <c r="AA427" s="11">
        <v>1.0</v>
      </c>
      <c r="AB427" s="11">
        <v>2.0</v>
      </c>
      <c r="AC427" s="11"/>
      <c r="AD427" s="11">
        <v>1.0</v>
      </c>
      <c r="AE427" s="11">
        <v>2.0</v>
      </c>
      <c r="AF427" s="11"/>
    </row>
    <row r="428" ht="15.75" customHeight="1">
      <c r="A428" s="13">
        <v>425.0</v>
      </c>
      <c r="B428" s="13">
        <v>23.0</v>
      </c>
      <c r="C428" s="13" t="s">
        <v>92</v>
      </c>
      <c r="D428" s="13" t="s">
        <v>1121</v>
      </c>
      <c r="E428" s="13"/>
      <c r="F428" s="13" t="s">
        <v>1122</v>
      </c>
      <c r="G428" s="13" t="s">
        <v>175</v>
      </c>
      <c r="H428" s="13">
        <v>3.0</v>
      </c>
      <c r="I428" s="13">
        <v>3.0</v>
      </c>
      <c r="J428" s="35">
        <v>6.0</v>
      </c>
      <c r="K428" s="35">
        <v>38.0</v>
      </c>
      <c r="L428" s="13"/>
      <c r="M428" s="13"/>
      <c r="N428" s="13">
        <v>12.0</v>
      </c>
      <c r="O428" s="13">
        <v>4.0</v>
      </c>
      <c r="P428" s="13">
        <v>4.0</v>
      </c>
      <c r="Q428" s="13">
        <v>1.0</v>
      </c>
      <c r="R428" s="13">
        <v>6.0</v>
      </c>
      <c r="S428" s="13">
        <v>1.0</v>
      </c>
      <c r="T428" s="13">
        <v>3.0</v>
      </c>
      <c r="U428" s="13">
        <v>2.0</v>
      </c>
      <c r="V428" s="13">
        <v>1.0</v>
      </c>
      <c r="W428" s="13">
        <v>2.0</v>
      </c>
      <c r="X428" s="13">
        <v>3.0</v>
      </c>
      <c r="Y428" s="13">
        <v>1.0</v>
      </c>
      <c r="Z428" s="13"/>
      <c r="AA428" s="13">
        <v>1.0</v>
      </c>
      <c r="AB428" s="13">
        <v>2.0</v>
      </c>
      <c r="AC428" s="13"/>
      <c r="AD428" s="13">
        <v>2.0</v>
      </c>
      <c r="AE428" s="13">
        <v>3.0</v>
      </c>
      <c r="AF428" s="13"/>
    </row>
    <row r="429" ht="15.75" customHeight="1">
      <c r="A429" s="11">
        <v>426.0</v>
      </c>
      <c r="B429" s="11">
        <v>23.0</v>
      </c>
      <c r="C429" s="11" t="s">
        <v>92</v>
      </c>
      <c r="D429" s="11" t="s">
        <v>1123</v>
      </c>
      <c r="E429" s="11"/>
      <c r="F429" s="11" t="s">
        <v>1124</v>
      </c>
      <c r="G429" s="11" t="s">
        <v>175</v>
      </c>
      <c r="H429" s="11">
        <v>3.0</v>
      </c>
      <c r="I429" s="11">
        <v>4.0</v>
      </c>
      <c r="J429" s="33">
        <v>5.0</v>
      </c>
      <c r="K429" s="33">
        <v>38.0</v>
      </c>
      <c r="L429" s="11"/>
      <c r="M429" s="11"/>
      <c r="N429" s="11">
        <v>12.0</v>
      </c>
      <c r="O429" s="11">
        <v>4.0</v>
      </c>
      <c r="P429" s="11">
        <v>4.0</v>
      </c>
      <c r="Q429" s="11">
        <v>1.0</v>
      </c>
      <c r="R429" s="11">
        <v>6.0</v>
      </c>
      <c r="S429" s="11">
        <v>1.0</v>
      </c>
      <c r="T429" s="11">
        <v>3.0</v>
      </c>
      <c r="U429" s="11">
        <v>2.0</v>
      </c>
      <c r="V429" s="11">
        <v>1.0</v>
      </c>
      <c r="W429" s="11">
        <v>2.0</v>
      </c>
      <c r="X429" s="11">
        <v>3.0</v>
      </c>
      <c r="Y429" s="11">
        <v>1.0</v>
      </c>
      <c r="Z429" s="11"/>
      <c r="AA429" s="11">
        <v>1.0</v>
      </c>
      <c r="AB429" s="11">
        <v>2.0</v>
      </c>
      <c r="AC429" s="11"/>
      <c r="AD429" s="11">
        <v>2.0</v>
      </c>
      <c r="AE429" s="11">
        <v>3.0</v>
      </c>
      <c r="AF429" s="11"/>
    </row>
    <row r="430" ht="15.75" customHeight="1">
      <c r="A430" s="13">
        <v>427.0</v>
      </c>
      <c r="B430" s="13">
        <v>23.0</v>
      </c>
      <c r="C430" s="13" t="s">
        <v>92</v>
      </c>
      <c r="D430" s="13" t="s">
        <v>1125</v>
      </c>
      <c r="E430" s="13" t="s">
        <v>1126</v>
      </c>
      <c r="F430" s="13" t="s">
        <v>1127</v>
      </c>
      <c r="G430" s="13" t="s">
        <v>175</v>
      </c>
      <c r="H430" s="13">
        <v>4.0</v>
      </c>
      <c r="I430" s="13">
        <v>1.0</v>
      </c>
      <c r="J430" s="35">
        <v>8.0</v>
      </c>
      <c r="K430" s="35">
        <v>38.0</v>
      </c>
      <c r="L430" s="13"/>
      <c r="M430" s="13"/>
      <c r="N430" s="13">
        <v>8.0</v>
      </c>
      <c r="O430" s="13">
        <v>3.0</v>
      </c>
      <c r="P430" s="13">
        <v>3.0</v>
      </c>
      <c r="Q430" s="13">
        <v>1.0</v>
      </c>
      <c r="R430" s="13">
        <v>6.0</v>
      </c>
      <c r="S430" s="13">
        <v>1.0</v>
      </c>
      <c r="T430" s="13">
        <v>4.0</v>
      </c>
      <c r="U430" s="13">
        <v>2.0</v>
      </c>
      <c r="V430" s="13"/>
      <c r="W430" s="13">
        <v>1.0</v>
      </c>
      <c r="X430" s="13">
        <v>2.0</v>
      </c>
      <c r="Y430" s="13">
        <v>1.0</v>
      </c>
      <c r="Z430" s="13"/>
      <c r="AA430" s="13">
        <v>1.0</v>
      </c>
      <c r="AB430" s="13">
        <v>1.0</v>
      </c>
      <c r="AC430" s="13"/>
      <c r="AD430" s="13">
        <v>1.0</v>
      </c>
      <c r="AE430" s="13">
        <v>1.0</v>
      </c>
      <c r="AF430" s="13"/>
    </row>
    <row r="431" ht="15.75" customHeight="1">
      <c r="A431" s="11">
        <v>428.0</v>
      </c>
      <c r="B431" s="11">
        <v>23.0</v>
      </c>
      <c r="C431" s="11" t="s">
        <v>92</v>
      </c>
      <c r="D431" s="11" t="s">
        <v>1128</v>
      </c>
      <c r="E431" s="11"/>
      <c r="F431" s="11" t="s">
        <v>1129</v>
      </c>
      <c r="G431" s="11" t="s">
        <v>175</v>
      </c>
      <c r="H431" s="11">
        <v>4.0</v>
      </c>
      <c r="I431" s="11">
        <v>2.0</v>
      </c>
      <c r="J431" s="33">
        <v>7.0</v>
      </c>
      <c r="K431" s="33">
        <v>38.0</v>
      </c>
      <c r="L431" s="11"/>
      <c r="M431" s="11"/>
      <c r="N431" s="11">
        <v>8.0</v>
      </c>
      <c r="O431" s="11">
        <v>3.0</v>
      </c>
      <c r="P431" s="11">
        <v>3.0</v>
      </c>
      <c r="Q431" s="11">
        <v>1.0</v>
      </c>
      <c r="R431" s="11">
        <v>6.0</v>
      </c>
      <c r="S431" s="11">
        <v>1.0</v>
      </c>
      <c r="T431" s="11">
        <v>4.0</v>
      </c>
      <c r="U431" s="11">
        <v>2.0</v>
      </c>
      <c r="V431" s="11"/>
      <c r="W431" s="11">
        <v>1.0</v>
      </c>
      <c r="X431" s="11">
        <v>2.0</v>
      </c>
      <c r="Y431" s="11">
        <v>1.0</v>
      </c>
      <c r="Z431" s="11"/>
      <c r="AA431" s="11">
        <v>1.0</v>
      </c>
      <c r="AB431" s="11">
        <v>1.0</v>
      </c>
      <c r="AC431" s="11"/>
      <c r="AD431" s="11">
        <v>1.0</v>
      </c>
      <c r="AE431" s="11">
        <v>1.0</v>
      </c>
      <c r="AF431" s="11"/>
    </row>
    <row r="432" ht="15.75" customHeight="1">
      <c r="A432" s="13">
        <v>429.0</v>
      </c>
      <c r="B432" s="13">
        <v>23.0</v>
      </c>
      <c r="C432" s="13" t="s">
        <v>92</v>
      </c>
      <c r="D432" s="13" t="s">
        <v>1130</v>
      </c>
      <c r="E432" s="13"/>
      <c r="F432" s="13" t="s">
        <v>1131</v>
      </c>
      <c r="G432" s="13" t="s">
        <v>175</v>
      </c>
      <c r="H432" s="13">
        <v>4.0</v>
      </c>
      <c r="I432" s="13">
        <v>3.0</v>
      </c>
      <c r="J432" s="35">
        <v>6.0</v>
      </c>
      <c r="K432" s="35">
        <v>38.0</v>
      </c>
      <c r="L432" s="13"/>
      <c r="M432" s="13"/>
      <c r="N432" s="13">
        <v>12.0</v>
      </c>
      <c r="O432" s="13">
        <v>4.0</v>
      </c>
      <c r="P432" s="13">
        <v>4.0</v>
      </c>
      <c r="Q432" s="13">
        <v>1.0</v>
      </c>
      <c r="R432" s="13">
        <v>7.0</v>
      </c>
      <c r="S432" s="13">
        <v>1.0</v>
      </c>
      <c r="T432" s="13">
        <v>4.0</v>
      </c>
      <c r="U432" s="13">
        <v>2.0</v>
      </c>
      <c r="V432" s="13"/>
      <c r="W432" s="13">
        <v>1.0</v>
      </c>
      <c r="X432" s="13">
        <v>2.0</v>
      </c>
      <c r="Y432" s="13">
        <v>1.0</v>
      </c>
      <c r="Z432" s="13"/>
      <c r="AA432" s="13">
        <v>1.0</v>
      </c>
      <c r="AB432" s="13">
        <v>2.0</v>
      </c>
      <c r="AC432" s="13"/>
      <c r="AD432" s="13">
        <v>1.0</v>
      </c>
      <c r="AE432" s="13">
        <v>2.0</v>
      </c>
      <c r="AF432" s="13"/>
    </row>
    <row r="433" ht="15.75" customHeight="1">
      <c r="A433" s="11">
        <v>430.0</v>
      </c>
      <c r="B433" s="11">
        <v>23.0</v>
      </c>
      <c r="C433" s="11" t="s">
        <v>92</v>
      </c>
      <c r="D433" s="11" t="s">
        <v>1132</v>
      </c>
      <c r="E433" s="11"/>
      <c r="F433" s="11" t="s">
        <v>1133</v>
      </c>
      <c r="G433" s="11" t="s">
        <v>175</v>
      </c>
      <c r="H433" s="11">
        <v>4.0</v>
      </c>
      <c r="I433" s="11">
        <v>4.0</v>
      </c>
      <c r="J433" s="33">
        <v>5.0</v>
      </c>
      <c r="K433" s="33">
        <v>38.0</v>
      </c>
      <c r="L433" s="11"/>
      <c r="M433" s="11"/>
      <c r="N433" s="11">
        <v>12.0</v>
      </c>
      <c r="O433" s="11">
        <v>4.0</v>
      </c>
      <c r="P433" s="11">
        <v>4.0</v>
      </c>
      <c r="Q433" s="11">
        <v>1.0</v>
      </c>
      <c r="R433" s="11">
        <v>7.0</v>
      </c>
      <c r="S433" s="11">
        <v>1.0</v>
      </c>
      <c r="T433" s="11">
        <v>4.0</v>
      </c>
      <c r="U433" s="11">
        <v>2.0</v>
      </c>
      <c r="V433" s="11"/>
      <c r="W433" s="11">
        <v>1.0</v>
      </c>
      <c r="X433" s="11">
        <v>2.0</v>
      </c>
      <c r="Y433" s="11">
        <v>1.0</v>
      </c>
      <c r="Z433" s="11"/>
      <c r="AA433" s="11">
        <v>1.0</v>
      </c>
      <c r="AB433" s="11">
        <v>2.0</v>
      </c>
      <c r="AC433" s="11"/>
      <c r="AD433" s="11">
        <v>1.0</v>
      </c>
      <c r="AE433" s="11">
        <v>2.0</v>
      </c>
      <c r="AF433" s="11"/>
    </row>
    <row r="434" ht="15.75" customHeight="1">
      <c r="A434" s="13">
        <v>431.0</v>
      </c>
      <c r="B434" s="13">
        <v>23.0</v>
      </c>
      <c r="C434" s="13" t="s">
        <v>92</v>
      </c>
      <c r="D434" s="13" t="s">
        <v>1134</v>
      </c>
      <c r="E434" s="13"/>
      <c r="F434" s="13" t="s">
        <v>1135</v>
      </c>
      <c r="G434" s="13" t="s">
        <v>74</v>
      </c>
      <c r="H434" s="13">
        <v>5.0</v>
      </c>
      <c r="I434" s="13">
        <v>5.0</v>
      </c>
      <c r="J434" s="35">
        <v>1.0</v>
      </c>
      <c r="K434" s="35">
        <v>192.0</v>
      </c>
      <c r="L434" s="13"/>
      <c r="M434" s="13"/>
      <c r="N434" s="13">
        <v>42.0</v>
      </c>
      <c r="O434" s="13">
        <v>10.0</v>
      </c>
      <c r="P434" s="13">
        <v>10.0</v>
      </c>
      <c r="Q434" s="13">
        <v>6.0</v>
      </c>
      <c r="R434" s="13">
        <v>10.0</v>
      </c>
      <c r="S434" s="13">
        <v>3.0</v>
      </c>
      <c r="T434" s="13">
        <v>7.0</v>
      </c>
      <c r="U434" s="13">
        <v>4.0</v>
      </c>
      <c r="V434" s="13">
        <v>2.0</v>
      </c>
      <c r="W434" s="13">
        <v>3.0</v>
      </c>
      <c r="X434" s="13">
        <v>4.0</v>
      </c>
      <c r="Y434" s="13">
        <v>3.0</v>
      </c>
      <c r="Z434" s="13"/>
      <c r="AA434" s="13">
        <v>2.0</v>
      </c>
      <c r="AB434" s="13">
        <v>3.0</v>
      </c>
      <c r="AC434" s="13"/>
      <c r="AD434" s="13">
        <v>2.0</v>
      </c>
      <c r="AE434" s="13">
        <v>5.0</v>
      </c>
      <c r="AF434" s="13"/>
    </row>
    <row r="435" ht="15.75" customHeight="1">
      <c r="A435" s="11">
        <v>432.0</v>
      </c>
      <c r="B435" s="11">
        <v>24.0</v>
      </c>
      <c r="C435" s="11" t="s">
        <v>94</v>
      </c>
      <c r="D435" s="11" t="s">
        <v>1136</v>
      </c>
      <c r="E435" s="11"/>
      <c r="F435" s="11" t="s">
        <v>1137</v>
      </c>
      <c r="G435" s="11" t="s">
        <v>170</v>
      </c>
      <c r="H435" s="11">
        <v>0.0</v>
      </c>
      <c r="I435" s="11">
        <v>0.0</v>
      </c>
      <c r="J435" s="33">
        <v>15.0</v>
      </c>
      <c r="K435" s="33">
        <v>200.0</v>
      </c>
      <c r="L435" s="11"/>
      <c r="M435" s="34" t="s">
        <v>1138</v>
      </c>
      <c r="N435" s="11">
        <v>34.0</v>
      </c>
      <c r="O435" s="11">
        <v>8.0</v>
      </c>
      <c r="P435" s="11">
        <v>8.0</v>
      </c>
      <c r="Q435" s="11">
        <v>4.0</v>
      </c>
      <c r="R435" s="11">
        <v>8.0</v>
      </c>
      <c r="S435" s="11">
        <v>3.0</v>
      </c>
      <c r="T435" s="11">
        <v>5.0</v>
      </c>
      <c r="U435" s="11">
        <v>3.0</v>
      </c>
      <c r="V435" s="11">
        <v>2.0</v>
      </c>
      <c r="W435" s="11">
        <v>2.0</v>
      </c>
      <c r="X435" s="11">
        <v>2.0</v>
      </c>
      <c r="Y435" s="11">
        <v>2.0</v>
      </c>
      <c r="Z435" s="11"/>
      <c r="AA435" s="11">
        <v>2.0</v>
      </c>
      <c r="AB435" s="11">
        <v>2.0</v>
      </c>
      <c r="AC435" s="11"/>
      <c r="AD435" s="11">
        <v>1.0</v>
      </c>
      <c r="AE435" s="11">
        <v>3.0</v>
      </c>
      <c r="AF435" s="11"/>
    </row>
    <row r="436" ht="15.75" customHeight="1">
      <c r="A436" s="13">
        <v>433.0</v>
      </c>
      <c r="B436" s="13">
        <v>24.0</v>
      </c>
      <c r="C436" s="13" t="s">
        <v>94</v>
      </c>
      <c r="D436" s="13" t="s">
        <v>1139</v>
      </c>
      <c r="E436" s="13" t="s">
        <v>1140</v>
      </c>
      <c r="F436" s="13" t="s">
        <v>1141</v>
      </c>
      <c r="G436" s="13" t="s">
        <v>175</v>
      </c>
      <c r="H436" s="13">
        <v>1.0</v>
      </c>
      <c r="I436" s="13">
        <v>1.0</v>
      </c>
      <c r="J436" s="35">
        <v>8.0</v>
      </c>
      <c r="K436" s="35">
        <v>38.0</v>
      </c>
      <c r="L436" s="13"/>
      <c r="M436" s="13"/>
      <c r="N436" s="13">
        <v>8.0</v>
      </c>
      <c r="O436" s="13">
        <v>2.0</v>
      </c>
      <c r="P436" s="13">
        <v>3.0</v>
      </c>
      <c r="Q436" s="13">
        <v>1.0</v>
      </c>
      <c r="R436" s="13">
        <v>5.0</v>
      </c>
      <c r="S436" s="13">
        <v>1.0</v>
      </c>
      <c r="T436" s="13">
        <v>3.0</v>
      </c>
      <c r="U436" s="13">
        <v>3.0</v>
      </c>
      <c r="V436" s="13">
        <v>1.0</v>
      </c>
      <c r="W436" s="13">
        <v>1.0</v>
      </c>
      <c r="X436" s="13">
        <v>1.0</v>
      </c>
      <c r="Y436" s="13">
        <v>1.0</v>
      </c>
      <c r="Z436" s="13"/>
      <c r="AA436" s="13">
        <v>1.0</v>
      </c>
      <c r="AB436" s="13">
        <v>2.0</v>
      </c>
      <c r="AC436" s="13"/>
      <c r="AD436" s="13">
        <v>1.0</v>
      </c>
      <c r="AE436" s="13">
        <v>1.0</v>
      </c>
      <c r="AF436" s="13"/>
    </row>
    <row r="437" ht="15.75" customHeight="1">
      <c r="A437" s="11">
        <v>434.0</v>
      </c>
      <c r="B437" s="11">
        <v>24.0</v>
      </c>
      <c r="C437" s="11" t="s">
        <v>94</v>
      </c>
      <c r="D437" s="11" t="s">
        <v>1142</v>
      </c>
      <c r="E437" s="11"/>
      <c r="F437" s="11" t="s">
        <v>1143</v>
      </c>
      <c r="G437" s="11" t="s">
        <v>175</v>
      </c>
      <c r="H437" s="11">
        <v>1.0</v>
      </c>
      <c r="I437" s="11">
        <v>2.0</v>
      </c>
      <c r="J437" s="33">
        <v>7.0</v>
      </c>
      <c r="K437" s="33">
        <v>38.0</v>
      </c>
      <c r="L437" s="11"/>
      <c r="M437" s="11"/>
      <c r="N437" s="11">
        <v>8.0</v>
      </c>
      <c r="O437" s="11">
        <v>2.0</v>
      </c>
      <c r="P437" s="11">
        <v>3.0</v>
      </c>
      <c r="Q437" s="11">
        <v>1.0</v>
      </c>
      <c r="R437" s="11">
        <v>5.0</v>
      </c>
      <c r="S437" s="11">
        <v>1.0</v>
      </c>
      <c r="T437" s="11">
        <v>3.0</v>
      </c>
      <c r="U437" s="11">
        <v>3.0</v>
      </c>
      <c r="V437" s="11">
        <v>1.0</v>
      </c>
      <c r="W437" s="11">
        <v>1.0</v>
      </c>
      <c r="X437" s="11">
        <v>1.0</v>
      </c>
      <c r="Y437" s="11">
        <v>1.0</v>
      </c>
      <c r="Z437" s="11"/>
      <c r="AA437" s="11">
        <v>1.0</v>
      </c>
      <c r="AB437" s="11">
        <v>2.0</v>
      </c>
      <c r="AC437" s="11"/>
      <c r="AD437" s="11">
        <v>1.0</v>
      </c>
      <c r="AE437" s="11">
        <v>1.0</v>
      </c>
      <c r="AF437" s="11"/>
    </row>
    <row r="438" ht="15.75" customHeight="1">
      <c r="A438" s="13">
        <v>435.0</v>
      </c>
      <c r="B438" s="13">
        <v>24.0</v>
      </c>
      <c r="C438" s="13" t="s">
        <v>94</v>
      </c>
      <c r="D438" s="13" t="s">
        <v>1144</v>
      </c>
      <c r="E438" s="13"/>
      <c r="F438" s="13" t="s">
        <v>1145</v>
      </c>
      <c r="G438" s="13" t="s">
        <v>175</v>
      </c>
      <c r="H438" s="13">
        <v>1.0</v>
      </c>
      <c r="I438" s="13">
        <v>3.0</v>
      </c>
      <c r="J438" s="35">
        <v>6.0</v>
      </c>
      <c r="K438" s="35">
        <v>38.0</v>
      </c>
      <c r="L438" s="13"/>
      <c r="M438" s="13"/>
      <c r="N438" s="13">
        <v>12.0</v>
      </c>
      <c r="O438" s="13">
        <v>3.0</v>
      </c>
      <c r="P438" s="13">
        <v>4.0</v>
      </c>
      <c r="Q438" s="13">
        <v>1.0</v>
      </c>
      <c r="R438" s="13">
        <v>6.0</v>
      </c>
      <c r="S438" s="13">
        <v>1.0</v>
      </c>
      <c r="T438" s="13">
        <v>4.0</v>
      </c>
      <c r="U438" s="13">
        <v>3.0</v>
      </c>
      <c r="V438" s="13">
        <v>1.0</v>
      </c>
      <c r="W438" s="13">
        <v>1.0</v>
      </c>
      <c r="X438" s="13">
        <v>1.0</v>
      </c>
      <c r="Y438" s="13">
        <v>1.0</v>
      </c>
      <c r="Z438" s="13"/>
      <c r="AA438" s="13">
        <v>1.0</v>
      </c>
      <c r="AB438" s="13">
        <v>2.0</v>
      </c>
      <c r="AC438" s="13"/>
      <c r="AD438" s="13">
        <v>2.0</v>
      </c>
      <c r="AE438" s="13">
        <v>1.0</v>
      </c>
      <c r="AF438" s="13"/>
    </row>
    <row r="439" ht="15.75" customHeight="1">
      <c r="A439" s="11">
        <v>436.0</v>
      </c>
      <c r="B439" s="11">
        <v>24.0</v>
      </c>
      <c r="C439" s="11" t="s">
        <v>94</v>
      </c>
      <c r="D439" s="11" t="s">
        <v>1146</v>
      </c>
      <c r="E439" s="11"/>
      <c r="F439" s="11" t="s">
        <v>1147</v>
      </c>
      <c r="G439" s="11" t="s">
        <v>175</v>
      </c>
      <c r="H439" s="11">
        <v>1.0</v>
      </c>
      <c r="I439" s="11">
        <v>4.0</v>
      </c>
      <c r="J439" s="33">
        <v>5.0</v>
      </c>
      <c r="K439" s="33">
        <v>38.0</v>
      </c>
      <c r="L439" s="11"/>
      <c r="M439" s="11"/>
      <c r="N439" s="11">
        <v>12.0</v>
      </c>
      <c r="O439" s="11">
        <v>3.0</v>
      </c>
      <c r="P439" s="11">
        <v>4.0</v>
      </c>
      <c r="Q439" s="11">
        <v>1.0</v>
      </c>
      <c r="R439" s="11">
        <v>6.0</v>
      </c>
      <c r="S439" s="11">
        <v>1.0</v>
      </c>
      <c r="T439" s="11">
        <v>4.0</v>
      </c>
      <c r="U439" s="11">
        <v>3.0</v>
      </c>
      <c r="V439" s="11">
        <v>1.0</v>
      </c>
      <c r="W439" s="11">
        <v>1.0</v>
      </c>
      <c r="X439" s="11">
        <v>1.0</v>
      </c>
      <c r="Y439" s="11">
        <v>1.0</v>
      </c>
      <c r="Z439" s="11"/>
      <c r="AA439" s="11">
        <v>1.0</v>
      </c>
      <c r="AB439" s="11">
        <v>2.0</v>
      </c>
      <c r="AC439" s="11"/>
      <c r="AD439" s="11">
        <v>2.0</v>
      </c>
      <c r="AE439" s="11">
        <v>1.0</v>
      </c>
      <c r="AF439" s="11"/>
    </row>
    <row r="440" ht="15.75" customHeight="1">
      <c r="A440" s="13">
        <v>437.0</v>
      </c>
      <c r="B440" s="13">
        <v>24.0</v>
      </c>
      <c r="C440" s="13" t="s">
        <v>94</v>
      </c>
      <c r="D440" s="13" t="s">
        <v>1148</v>
      </c>
      <c r="E440" s="13" t="s">
        <v>1149</v>
      </c>
      <c r="F440" s="13" t="s">
        <v>1150</v>
      </c>
      <c r="G440" s="13" t="s">
        <v>175</v>
      </c>
      <c r="H440" s="13">
        <v>2.0</v>
      </c>
      <c r="I440" s="13">
        <v>1.0</v>
      </c>
      <c r="J440" s="35">
        <v>8.0</v>
      </c>
      <c r="K440" s="35">
        <v>38.0</v>
      </c>
      <c r="L440" s="13"/>
      <c r="M440" s="13"/>
      <c r="N440" s="13">
        <v>10.0</v>
      </c>
      <c r="O440" s="13">
        <v>3.0</v>
      </c>
      <c r="P440" s="13">
        <v>3.0</v>
      </c>
      <c r="Q440" s="13"/>
      <c r="R440" s="13">
        <v>7.0</v>
      </c>
      <c r="S440" s="13">
        <v>1.0</v>
      </c>
      <c r="T440" s="13">
        <v>4.0</v>
      </c>
      <c r="U440" s="13">
        <v>2.0</v>
      </c>
      <c r="V440" s="13">
        <v>1.0</v>
      </c>
      <c r="W440" s="13">
        <v>1.0</v>
      </c>
      <c r="X440" s="13">
        <v>1.0</v>
      </c>
      <c r="Y440" s="13">
        <v>1.0</v>
      </c>
      <c r="Z440" s="13"/>
      <c r="AA440" s="13">
        <v>1.0</v>
      </c>
      <c r="AB440" s="13">
        <v>1.0</v>
      </c>
      <c r="AC440" s="13"/>
      <c r="AD440" s="13">
        <v>1.0</v>
      </c>
      <c r="AE440" s="13">
        <v>1.0</v>
      </c>
      <c r="AF440" s="13"/>
    </row>
    <row r="441" ht="15.75" customHeight="1">
      <c r="A441" s="11">
        <v>438.0</v>
      </c>
      <c r="B441" s="11">
        <v>24.0</v>
      </c>
      <c r="C441" s="11" t="s">
        <v>94</v>
      </c>
      <c r="D441" s="11" t="s">
        <v>1151</v>
      </c>
      <c r="E441" s="11"/>
      <c r="F441" s="11" t="s">
        <v>1152</v>
      </c>
      <c r="G441" s="11" t="s">
        <v>175</v>
      </c>
      <c r="H441" s="11">
        <v>2.0</v>
      </c>
      <c r="I441" s="11">
        <v>2.0</v>
      </c>
      <c r="J441" s="33">
        <v>7.0</v>
      </c>
      <c r="K441" s="33">
        <v>38.0</v>
      </c>
      <c r="L441" s="11"/>
      <c r="M441" s="11"/>
      <c r="N441" s="11">
        <v>10.0</v>
      </c>
      <c r="O441" s="11">
        <v>3.0</v>
      </c>
      <c r="P441" s="11">
        <v>3.0</v>
      </c>
      <c r="Q441" s="11"/>
      <c r="R441" s="11">
        <v>7.0</v>
      </c>
      <c r="S441" s="11">
        <v>1.0</v>
      </c>
      <c r="T441" s="11">
        <v>4.0</v>
      </c>
      <c r="U441" s="11">
        <v>2.0</v>
      </c>
      <c r="V441" s="11">
        <v>1.0</v>
      </c>
      <c r="W441" s="11">
        <v>1.0</v>
      </c>
      <c r="X441" s="11">
        <v>1.0</v>
      </c>
      <c r="Y441" s="11">
        <v>1.0</v>
      </c>
      <c r="Z441" s="11"/>
      <c r="AA441" s="11">
        <v>1.0</v>
      </c>
      <c r="AB441" s="11">
        <v>1.0</v>
      </c>
      <c r="AC441" s="11"/>
      <c r="AD441" s="11">
        <v>1.0</v>
      </c>
      <c r="AE441" s="11">
        <v>1.0</v>
      </c>
      <c r="AF441" s="11"/>
    </row>
    <row r="442" ht="15.75" customHeight="1">
      <c r="A442" s="13">
        <v>439.0</v>
      </c>
      <c r="B442" s="13">
        <v>24.0</v>
      </c>
      <c r="C442" s="13" t="s">
        <v>94</v>
      </c>
      <c r="D442" s="13" t="s">
        <v>1153</v>
      </c>
      <c r="E442" s="13"/>
      <c r="F442" s="13" t="s">
        <v>1154</v>
      </c>
      <c r="G442" s="13" t="s">
        <v>175</v>
      </c>
      <c r="H442" s="13">
        <v>2.0</v>
      </c>
      <c r="I442" s="13">
        <v>3.0</v>
      </c>
      <c r="J442" s="35">
        <v>6.0</v>
      </c>
      <c r="K442" s="35">
        <v>38.0</v>
      </c>
      <c r="L442" s="13"/>
      <c r="M442" s="13"/>
      <c r="N442" s="13">
        <v>14.0</v>
      </c>
      <c r="O442" s="13">
        <v>4.0</v>
      </c>
      <c r="P442" s="13">
        <v>4.0</v>
      </c>
      <c r="Q442" s="13"/>
      <c r="R442" s="13">
        <v>8.0</v>
      </c>
      <c r="S442" s="13">
        <v>1.0</v>
      </c>
      <c r="T442" s="13">
        <v>5.0</v>
      </c>
      <c r="U442" s="13">
        <v>2.0</v>
      </c>
      <c r="V442" s="13">
        <v>1.0</v>
      </c>
      <c r="W442" s="13">
        <v>1.0</v>
      </c>
      <c r="X442" s="13">
        <v>1.0</v>
      </c>
      <c r="Y442" s="13">
        <v>1.0</v>
      </c>
      <c r="Z442" s="13"/>
      <c r="AA442" s="13">
        <v>1.0</v>
      </c>
      <c r="AB442" s="13">
        <v>2.0</v>
      </c>
      <c r="AC442" s="13"/>
      <c r="AD442" s="13">
        <v>2.0</v>
      </c>
      <c r="AE442" s="13">
        <v>1.0</v>
      </c>
      <c r="AF442" s="13"/>
    </row>
    <row r="443" ht="15.75" customHeight="1">
      <c r="A443" s="11">
        <v>440.0</v>
      </c>
      <c r="B443" s="11">
        <v>24.0</v>
      </c>
      <c r="C443" s="11" t="s">
        <v>94</v>
      </c>
      <c r="D443" s="11" t="s">
        <v>1155</v>
      </c>
      <c r="E443" s="11"/>
      <c r="F443" s="11" t="s">
        <v>1156</v>
      </c>
      <c r="G443" s="11" t="s">
        <v>175</v>
      </c>
      <c r="H443" s="11">
        <v>2.0</v>
      </c>
      <c r="I443" s="11">
        <v>4.0</v>
      </c>
      <c r="J443" s="33">
        <v>5.0</v>
      </c>
      <c r="K443" s="33">
        <v>38.0</v>
      </c>
      <c r="L443" s="11"/>
      <c r="M443" s="11"/>
      <c r="N443" s="11">
        <v>14.0</v>
      </c>
      <c r="O443" s="11">
        <v>4.0</v>
      </c>
      <c r="P443" s="11">
        <v>4.0</v>
      </c>
      <c r="Q443" s="11"/>
      <c r="R443" s="11">
        <v>8.0</v>
      </c>
      <c r="S443" s="11">
        <v>1.0</v>
      </c>
      <c r="T443" s="11">
        <v>5.0</v>
      </c>
      <c r="U443" s="11">
        <v>2.0</v>
      </c>
      <c r="V443" s="11">
        <v>1.0</v>
      </c>
      <c r="W443" s="11">
        <v>1.0</v>
      </c>
      <c r="X443" s="11">
        <v>1.0</v>
      </c>
      <c r="Y443" s="11">
        <v>1.0</v>
      </c>
      <c r="Z443" s="11"/>
      <c r="AA443" s="11">
        <v>1.0</v>
      </c>
      <c r="AB443" s="11">
        <v>2.0</v>
      </c>
      <c r="AC443" s="11"/>
      <c r="AD443" s="11">
        <v>2.0</v>
      </c>
      <c r="AE443" s="11">
        <v>1.0</v>
      </c>
      <c r="AF443" s="11"/>
    </row>
    <row r="444" ht="15.75" customHeight="1">
      <c r="A444" s="13">
        <v>441.0</v>
      </c>
      <c r="B444" s="13">
        <v>24.0</v>
      </c>
      <c r="C444" s="13" t="s">
        <v>94</v>
      </c>
      <c r="D444" s="13" t="s">
        <v>1157</v>
      </c>
      <c r="E444" s="13" t="s">
        <v>1158</v>
      </c>
      <c r="F444" s="13" t="s">
        <v>1159</v>
      </c>
      <c r="G444" s="13" t="s">
        <v>175</v>
      </c>
      <c r="H444" s="13">
        <v>3.0</v>
      </c>
      <c r="I444" s="13">
        <v>1.0</v>
      </c>
      <c r="J444" s="35">
        <v>8.0</v>
      </c>
      <c r="K444" s="35">
        <v>38.0</v>
      </c>
      <c r="L444" s="13"/>
      <c r="M444" s="13"/>
      <c r="N444" s="13">
        <v>8.0</v>
      </c>
      <c r="O444" s="13">
        <v>3.0</v>
      </c>
      <c r="P444" s="13">
        <v>3.0</v>
      </c>
      <c r="Q444" s="13">
        <v>1.0</v>
      </c>
      <c r="R444" s="13">
        <v>5.0</v>
      </c>
      <c r="S444" s="13">
        <v>1.0</v>
      </c>
      <c r="T444" s="13">
        <v>3.0</v>
      </c>
      <c r="U444" s="13">
        <v>2.0</v>
      </c>
      <c r="V444" s="13">
        <v>1.0</v>
      </c>
      <c r="W444" s="13">
        <v>2.0</v>
      </c>
      <c r="X444" s="13">
        <v>2.0</v>
      </c>
      <c r="Y444" s="13">
        <v>1.0</v>
      </c>
      <c r="Z444" s="13"/>
      <c r="AA444" s="13">
        <v>1.0</v>
      </c>
      <c r="AB444" s="13">
        <v>2.0</v>
      </c>
      <c r="AC444" s="13"/>
      <c r="AD444" s="13">
        <v>1.0</v>
      </c>
      <c r="AE444" s="13">
        <v>2.0</v>
      </c>
      <c r="AF444" s="13"/>
    </row>
    <row r="445" ht="15.75" customHeight="1">
      <c r="A445" s="11">
        <v>442.0</v>
      </c>
      <c r="B445" s="11">
        <v>24.0</v>
      </c>
      <c r="C445" s="11" t="s">
        <v>94</v>
      </c>
      <c r="D445" s="11" t="s">
        <v>1160</v>
      </c>
      <c r="E445" s="11"/>
      <c r="F445" s="11" t="s">
        <v>1161</v>
      </c>
      <c r="G445" s="11" t="s">
        <v>175</v>
      </c>
      <c r="H445" s="11">
        <v>3.0</v>
      </c>
      <c r="I445" s="11">
        <v>2.0</v>
      </c>
      <c r="J445" s="33">
        <v>7.0</v>
      </c>
      <c r="K445" s="33">
        <v>38.0</v>
      </c>
      <c r="L445" s="11"/>
      <c r="M445" s="11"/>
      <c r="N445" s="11">
        <v>8.0</v>
      </c>
      <c r="O445" s="11">
        <v>3.0</v>
      </c>
      <c r="P445" s="11">
        <v>3.0</v>
      </c>
      <c r="Q445" s="11">
        <v>1.0</v>
      </c>
      <c r="R445" s="11">
        <v>5.0</v>
      </c>
      <c r="S445" s="11">
        <v>1.0</v>
      </c>
      <c r="T445" s="11">
        <v>3.0</v>
      </c>
      <c r="U445" s="11">
        <v>2.0</v>
      </c>
      <c r="V445" s="11">
        <v>1.0</v>
      </c>
      <c r="W445" s="11">
        <v>2.0</v>
      </c>
      <c r="X445" s="11">
        <v>2.0</v>
      </c>
      <c r="Y445" s="11">
        <v>1.0</v>
      </c>
      <c r="Z445" s="11"/>
      <c r="AA445" s="11">
        <v>1.0</v>
      </c>
      <c r="AB445" s="11">
        <v>2.0</v>
      </c>
      <c r="AC445" s="11"/>
      <c r="AD445" s="11">
        <v>1.0</v>
      </c>
      <c r="AE445" s="11">
        <v>2.0</v>
      </c>
      <c r="AF445" s="11"/>
    </row>
    <row r="446" ht="15.75" customHeight="1">
      <c r="A446" s="13">
        <v>443.0</v>
      </c>
      <c r="B446" s="13">
        <v>24.0</v>
      </c>
      <c r="C446" s="13" t="s">
        <v>94</v>
      </c>
      <c r="D446" s="13" t="s">
        <v>1162</v>
      </c>
      <c r="E446" s="13"/>
      <c r="F446" s="13" t="s">
        <v>1163</v>
      </c>
      <c r="G446" s="13" t="s">
        <v>175</v>
      </c>
      <c r="H446" s="13">
        <v>3.0</v>
      </c>
      <c r="I446" s="13">
        <v>3.0</v>
      </c>
      <c r="J446" s="35">
        <v>6.0</v>
      </c>
      <c r="K446" s="35">
        <v>38.0</v>
      </c>
      <c r="L446" s="13"/>
      <c r="M446" s="13"/>
      <c r="N446" s="13">
        <v>12.0</v>
      </c>
      <c r="O446" s="13">
        <v>4.0</v>
      </c>
      <c r="P446" s="13">
        <v>4.0</v>
      </c>
      <c r="Q446" s="13">
        <v>1.0</v>
      </c>
      <c r="R446" s="13">
        <v>6.0</v>
      </c>
      <c r="S446" s="13">
        <v>1.0</v>
      </c>
      <c r="T446" s="13">
        <v>3.0</v>
      </c>
      <c r="U446" s="13">
        <v>2.0</v>
      </c>
      <c r="V446" s="13">
        <v>1.0</v>
      </c>
      <c r="W446" s="13">
        <v>2.0</v>
      </c>
      <c r="X446" s="13">
        <v>3.0</v>
      </c>
      <c r="Y446" s="13">
        <v>1.0</v>
      </c>
      <c r="Z446" s="13"/>
      <c r="AA446" s="13">
        <v>1.0</v>
      </c>
      <c r="AB446" s="13">
        <v>2.0</v>
      </c>
      <c r="AC446" s="13"/>
      <c r="AD446" s="13">
        <v>2.0</v>
      </c>
      <c r="AE446" s="13">
        <v>3.0</v>
      </c>
      <c r="AF446" s="13"/>
    </row>
    <row r="447" ht="15.75" customHeight="1">
      <c r="A447" s="11">
        <v>444.0</v>
      </c>
      <c r="B447" s="11">
        <v>24.0</v>
      </c>
      <c r="C447" s="11" t="s">
        <v>94</v>
      </c>
      <c r="D447" s="11" t="s">
        <v>1164</v>
      </c>
      <c r="E447" s="11"/>
      <c r="F447" s="11" t="s">
        <v>1165</v>
      </c>
      <c r="G447" s="11" t="s">
        <v>175</v>
      </c>
      <c r="H447" s="11">
        <v>3.0</v>
      </c>
      <c r="I447" s="11">
        <v>4.0</v>
      </c>
      <c r="J447" s="33">
        <v>5.0</v>
      </c>
      <c r="K447" s="33">
        <v>38.0</v>
      </c>
      <c r="L447" s="11"/>
      <c r="M447" s="11"/>
      <c r="N447" s="11">
        <v>12.0</v>
      </c>
      <c r="O447" s="11">
        <v>4.0</v>
      </c>
      <c r="P447" s="11">
        <v>4.0</v>
      </c>
      <c r="Q447" s="11">
        <v>1.0</v>
      </c>
      <c r="R447" s="11">
        <v>6.0</v>
      </c>
      <c r="S447" s="11">
        <v>1.0</v>
      </c>
      <c r="T447" s="11">
        <v>3.0</v>
      </c>
      <c r="U447" s="11">
        <v>2.0</v>
      </c>
      <c r="V447" s="11">
        <v>1.0</v>
      </c>
      <c r="W447" s="11">
        <v>2.0</v>
      </c>
      <c r="X447" s="11">
        <v>3.0</v>
      </c>
      <c r="Y447" s="11">
        <v>1.0</v>
      </c>
      <c r="Z447" s="11"/>
      <c r="AA447" s="11">
        <v>1.0</v>
      </c>
      <c r="AB447" s="11">
        <v>2.0</v>
      </c>
      <c r="AC447" s="11"/>
      <c r="AD447" s="11">
        <v>2.0</v>
      </c>
      <c r="AE447" s="11">
        <v>3.0</v>
      </c>
      <c r="AF447" s="11"/>
    </row>
    <row r="448" ht="15.75" customHeight="1">
      <c r="A448" s="13">
        <v>445.0</v>
      </c>
      <c r="B448" s="13">
        <v>24.0</v>
      </c>
      <c r="C448" s="13" t="s">
        <v>94</v>
      </c>
      <c r="D448" s="13" t="s">
        <v>1166</v>
      </c>
      <c r="E448" s="13" t="s">
        <v>1167</v>
      </c>
      <c r="F448" s="13" t="s">
        <v>1168</v>
      </c>
      <c r="G448" s="13" t="s">
        <v>175</v>
      </c>
      <c r="H448" s="13">
        <v>4.0</v>
      </c>
      <c r="I448" s="13">
        <v>1.0</v>
      </c>
      <c r="J448" s="35">
        <v>8.0</v>
      </c>
      <c r="K448" s="35">
        <v>38.0</v>
      </c>
      <c r="L448" s="13"/>
      <c r="M448" s="13"/>
      <c r="N448" s="13">
        <v>8.0</v>
      </c>
      <c r="O448" s="13">
        <v>3.0</v>
      </c>
      <c r="P448" s="13">
        <v>3.0</v>
      </c>
      <c r="Q448" s="13">
        <v>1.0</v>
      </c>
      <c r="R448" s="13">
        <v>6.0</v>
      </c>
      <c r="S448" s="13">
        <v>1.0</v>
      </c>
      <c r="T448" s="13">
        <v>4.0</v>
      </c>
      <c r="U448" s="13">
        <v>2.0</v>
      </c>
      <c r="V448" s="13"/>
      <c r="W448" s="13">
        <v>1.0</v>
      </c>
      <c r="X448" s="13">
        <v>2.0</v>
      </c>
      <c r="Y448" s="13">
        <v>1.0</v>
      </c>
      <c r="Z448" s="13"/>
      <c r="AA448" s="13">
        <v>1.0</v>
      </c>
      <c r="AB448" s="13">
        <v>1.0</v>
      </c>
      <c r="AC448" s="13"/>
      <c r="AD448" s="13">
        <v>1.0</v>
      </c>
      <c r="AE448" s="13">
        <v>1.0</v>
      </c>
      <c r="AF448" s="13"/>
    </row>
    <row r="449" ht="15.75" customHeight="1">
      <c r="A449" s="11">
        <v>446.0</v>
      </c>
      <c r="B449" s="11">
        <v>24.0</v>
      </c>
      <c r="C449" s="11" t="s">
        <v>94</v>
      </c>
      <c r="D449" s="11" t="s">
        <v>1169</v>
      </c>
      <c r="E449" s="11"/>
      <c r="F449" s="11" t="s">
        <v>1170</v>
      </c>
      <c r="G449" s="11" t="s">
        <v>175</v>
      </c>
      <c r="H449" s="11">
        <v>4.0</v>
      </c>
      <c r="I449" s="11">
        <v>2.0</v>
      </c>
      <c r="J449" s="33">
        <v>7.0</v>
      </c>
      <c r="K449" s="33">
        <v>38.0</v>
      </c>
      <c r="L449" s="11"/>
      <c r="M449" s="11"/>
      <c r="N449" s="11">
        <v>8.0</v>
      </c>
      <c r="O449" s="11">
        <v>3.0</v>
      </c>
      <c r="P449" s="11">
        <v>3.0</v>
      </c>
      <c r="Q449" s="11">
        <v>1.0</v>
      </c>
      <c r="R449" s="11">
        <v>6.0</v>
      </c>
      <c r="S449" s="11">
        <v>1.0</v>
      </c>
      <c r="T449" s="11">
        <v>4.0</v>
      </c>
      <c r="U449" s="11">
        <v>2.0</v>
      </c>
      <c r="V449" s="11"/>
      <c r="W449" s="11">
        <v>1.0</v>
      </c>
      <c r="X449" s="11">
        <v>2.0</v>
      </c>
      <c r="Y449" s="11">
        <v>1.0</v>
      </c>
      <c r="Z449" s="11"/>
      <c r="AA449" s="11">
        <v>1.0</v>
      </c>
      <c r="AB449" s="11">
        <v>1.0</v>
      </c>
      <c r="AC449" s="11"/>
      <c r="AD449" s="11">
        <v>1.0</v>
      </c>
      <c r="AE449" s="11">
        <v>1.0</v>
      </c>
      <c r="AF449" s="11"/>
    </row>
    <row r="450" ht="15.75" customHeight="1">
      <c r="A450" s="13">
        <v>447.0</v>
      </c>
      <c r="B450" s="13">
        <v>24.0</v>
      </c>
      <c r="C450" s="13" t="s">
        <v>94</v>
      </c>
      <c r="D450" s="13" t="s">
        <v>1171</v>
      </c>
      <c r="E450" s="13"/>
      <c r="F450" s="13" t="s">
        <v>1172</v>
      </c>
      <c r="G450" s="13" t="s">
        <v>175</v>
      </c>
      <c r="H450" s="13">
        <v>4.0</v>
      </c>
      <c r="I450" s="13">
        <v>3.0</v>
      </c>
      <c r="J450" s="35">
        <v>6.0</v>
      </c>
      <c r="K450" s="35">
        <v>38.0</v>
      </c>
      <c r="L450" s="13"/>
      <c r="M450" s="13"/>
      <c r="N450" s="13">
        <v>12.0</v>
      </c>
      <c r="O450" s="13">
        <v>4.0</v>
      </c>
      <c r="P450" s="13">
        <v>4.0</v>
      </c>
      <c r="Q450" s="13">
        <v>1.0</v>
      </c>
      <c r="R450" s="13">
        <v>7.0</v>
      </c>
      <c r="S450" s="13">
        <v>1.0</v>
      </c>
      <c r="T450" s="13">
        <v>4.0</v>
      </c>
      <c r="U450" s="13">
        <v>2.0</v>
      </c>
      <c r="V450" s="13"/>
      <c r="W450" s="13">
        <v>1.0</v>
      </c>
      <c r="X450" s="13">
        <v>2.0</v>
      </c>
      <c r="Y450" s="13">
        <v>1.0</v>
      </c>
      <c r="Z450" s="13"/>
      <c r="AA450" s="13">
        <v>1.0</v>
      </c>
      <c r="AB450" s="13">
        <v>2.0</v>
      </c>
      <c r="AC450" s="13"/>
      <c r="AD450" s="13">
        <v>1.0</v>
      </c>
      <c r="AE450" s="13">
        <v>2.0</v>
      </c>
      <c r="AF450" s="13"/>
    </row>
    <row r="451" ht="15.75" customHeight="1">
      <c r="A451" s="11">
        <v>448.0</v>
      </c>
      <c r="B451" s="11">
        <v>24.0</v>
      </c>
      <c r="C451" s="11" t="s">
        <v>94</v>
      </c>
      <c r="D451" s="11" t="s">
        <v>1173</v>
      </c>
      <c r="E451" s="11"/>
      <c r="F451" s="11" t="s">
        <v>1174</v>
      </c>
      <c r="G451" s="11" t="s">
        <v>175</v>
      </c>
      <c r="H451" s="11">
        <v>4.0</v>
      </c>
      <c r="I451" s="11">
        <v>4.0</v>
      </c>
      <c r="J451" s="33">
        <v>5.0</v>
      </c>
      <c r="K451" s="33">
        <v>38.0</v>
      </c>
      <c r="L451" s="11"/>
      <c r="M451" s="11"/>
      <c r="N451" s="11">
        <v>12.0</v>
      </c>
      <c r="O451" s="11">
        <v>4.0</v>
      </c>
      <c r="P451" s="11">
        <v>4.0</v>
      </c>
      <c r="Q451" s="11">
        <v>1.0</v>
      </c>
      <c r="R451" s="11">
        <v>7.0</v>
      </c>
      <c r="S451" s="11">
        <v>1.0</v>
      </c>
      <c r="T451" s="11">
        <v>4.0</v>
      </c>
      <c r="U451" s="11">
        <v>2.0</v>
      </c>
      <c r="V451" s="11"/>
      <c r="W451" s="11">
        <v>1.0</v>
      </c>
      <c r="X451" s="11">
        <v>2.0</v>
      </c>
      <c r="Y451" s="11">
        <v>1.0</v>
      </c>
      <c r="Z451" s="11"/>
      <c r="AA451" s="11">
        <v>1.0</v>
      </c>
      <c r="AB451" s="11">
        <v>2.0</v>
      </c>
      <c r="AC451" s="11"/>
      <c r="AD451" s="11">
        <v>1.0</v>
      </c>
      <c r="AE451" s="11">
        <v>2.0</v>
      </c>
      <c r="AF451" s="11"/>
    </row>
    <row r="452" ht="15.75" customHeight="1">
      <c r="A452" s="13">
        <v>449.0</v>
      </c>
      <c r="B452" s="13">
        <v>24.0</v>
      </c>
      <c r="C452" s="13" t="s">
        <v>94</v>
      </c>
      <c r="D452" s="13" t="s">
        <v>1175</v>
      </c>
      <c r="E452" s="13"/>
      <c r="F452" s="13" t="s">
        <v>1176</v>
      </c>
      <c r="G452" s="13" t="s">
        <v>74</v>
      </c>
      <c r="H452" s="13">
        <v>5.0</v>
      </c>
      <c r="I452" s="13">
        <v>5.0</v>
      </c>
      <c r="J452" s="35">
        <v>1.0</v>
      </c>
      <c r="K452" s="35">
        <v>192.0</v>
      </c>
      <c r="L452" s="13"/>
      <c r="M452" s="13"/>
      <c r="N452" s="13">
        <v>42.0</v>
      </c>
      <c r="O452" s="13">
        <v>10.0</v>
      </c>
      <c r="P452" s="13">
        <v>10.0</v>
      </c>
      <c r="Q452" s="13">
        <v>6.0</v>
      </c>
      <c r="R452" s="13">
        <v>10.0</v>
      </c>
      <c r="S452" s="13">
        <v>3.0</v>
      </c>
      <c r="T452" s="13">
        <v>7.0</v>
      </c>
      <c r="U452" s="13">
        <v>4.0</v>
      </c>
      <c r="V452" s="13">
        <v>2.0</v>
      </c>
      <c r="W452" s="13">
        <v>3.0</v>
      </c>
      <c r="X452" s="13">
        <v>4.0</v>
      </c>
      <c r="Y452" s="13">
        <v>3.0</v>
      </c>
      <c r="Z452" s="13"/>
      <c r="AA452" s="13">
        <v>2.0</v>
      </c>
      <c r="AB452" s="13">
        <v>3.0</v>
      </c>
      <c r="AC452" s="13"/>
      <c r="AD452" s="13">
        <v>2.0</v>
      </c>
      <c r="AE452" s="13">
        <v>5.0</v>
      </c>
      <c r="AF452" s="13"/>
    </row>
    <row r="453" ht="15.75" customHeight="1">
      <c r="A453" s="11">
        <v>450.0</v>
      </c>
      <c r="B453" s="11">
        <v>25.0</v>
      </c>
      <c r="C453" s="11" t="s">
        <v>96</v>
      </c>
      <c r="D453" s="11" t="s">
        <v>1177</v>
      </c>
      <c r="E453" s="11"/>
      <c r="F453" s="12" t="s">
        <v>1178</v>
      </c>
      <c r="G453" s="11" t="s">
        <v>170</v>
      </c>
      <c r="H453" s="11">
        <v>0.0</v>
      </c>
      <c r="I453" s="11">
        <v>0.0</v>
      </c>
      <c r="J453" s="33">
        <v>15.0</v>
      </c>
      <c r="K453" s="33">
        <v>200.0</v>
      </c>
      <c r="L453" s="11"/>
      <c r="M453" s="34" t="s">
        <v>1179</v>
      </c>
      <c r="N453" s="11">
        <v>20.0</v>
      </c>
      <c r="O453" s="11">
        <v>8.0</v>
      </c>
      <c r="P453" s="11">
        <v>4.0</v>
      </c>
      <c r="Q453" s="11">
        <v>28.0</v>
      </c>
      <c r="R453" s="11">
        <v>1.0</v>
      </c>
      <c r="S453" s="11">
        <v>2.0</v>
      </c>
      <c r="T453" s="11">
        <v>2.0</v>
      </c>
      <c r="U453" s="11">
        <v>2.0</v>
      </c>
      <c r="V453" s="11">
        <v>8.0</v>
      </c>
      <c r="W453" s="11">
        <v>8.0</v>
      </c>
      <c r="X453" s="11">
        <v>5.0</v>
      </c>
      <c r="Y453" s="11">
        <v>4.0</v>
      </c>
      <c r="Z453" s="11">
        <v>1.0</v>
      </c>
      <c r="AA453" s="11">
        <v>2.0</v>
      </c>
      <c r="AB453" s="11">
        <v>2.0</v>
      </c>
      <c r="AC453" s="11">
        <v>1.0</v>
      </c>
      <c r="AD453" s="11">
        <v>2.0</v>
      </c>
      <c r="AE453" s="11">
        <v>1.0</v>
      </c>
      <c r="AF453" s="11"/>
    </row>
    <row r="454" ht="15.75" customHeight="1">
      <c r="A454" s="13">
        <v>451.0</v>
      </c>
      <c r="B454" s="13">
        <v>25.0</v>
      </c>
      <c r="C454" s="13" t="s">
        <v>96</v>
      </c>
      <c r="D454" s="13" t="s">
        <v>1180</v>
      </c>
      <c r="E454" s="13" t="s">
        <v>1181</v>
      </c>
      <c r="F454" s="14" t="s">
        <v>1182</v>
      </c>
      <c r="G454" s="13" t="s">
        <v>175</v>
      </c>
      <c r="H454" s="13">
        <v>1.0</v>
      </c>
      <c r="I454" s="13">
        <v>1.0</v>
      </c>
      <c r="J454" s="35">
        <v>8.0</v>
      </c>
      <c r="K454" s="35">
        <v>38.0</v>
      </c>
      <c r="L454" s="13"/>
      <c r="M454" s="13"/>
      <c r="N454" s="13">
        <v>5.0</v>
      </c>
      <c r="O454" s="13">
        <v>2.0</v>
      </c>
      <c r="P454" s="13"/>
      <c r="Q454" s="13">
        <v>6.0</v>
      </c>
      <c r="R454" s="13"/>
      <c r="S454" s="13">
        <v>1.0</v>
      </c>
      <c r="T454" s="13">
        <v>1.0</v>
      </c>
      <c r="U454" s="13">
        <v>1.0</v>
      </c>
      <c r="V454" s="13">
        <v>4.0</v>
      </c>
      <c r="W454" s="13">
        <v>4.0</v>
      </c>
      <c r="X454" s="13">
        <v>2.0</v>
      </c>
      <c r="Y454" s="13">
        <v>2.0</v>
      </c>
      <c r="Z454" s="13"/>
      <c r="AA454" s="13">
        <v>1.0</v>
      </c>
      <c r="AB454" s="13">
        <v>1.0</v>
      </c>
      <c r="AC454" s="13"/>
      <c r="AD454" s="13">
        <v>1.0</v>
      </c>
      <c r="AE454" s="13"/>
      <c r="AF454" s="13"/>
    </row>
    <row r="455" ht="15.75" customHeight="1">
      <c r="A455" s="11">
        <v>452.0</v>
      </c>
      <c r="B455" s="11">
        <v>25.0</v>
      </c>
      <c r="C455" s="11" t="s">
        <v>96</v>
      </c>
      <c r="D455" s="11" t="s">
        <v>1183</v>
      </c>
      <c r="E455" s="11"/>
      <c r="F455" s="12" t="s">
        <v>1184</v>
      </c>
      <c r="G455" s="11" t="s">
        <v>175</v>
      </c>
      <c r="H455" s="11">
        <v>1.0</v>
      </c>
      <c r="I455" s="11">
        <v>2.0</v>
      </c>
      <c r="J455" s="33">
        <v>7.0</v>
      </c>
      <c r="K455" s="33">
        <v>38.0</v>
      </c>
      <c r="L455" s="11"/>
      <c r="M455" s="11"/>
      <c r="N455" s="11">
        <v>5.0</v>
      </c>
      <c r="O455" s="11">
        <v>2.0</v>
      </c>
      <c r="P455" s="11"/>
      <c r="Q455" s="11">
        <v>6.0</v>
      </c>
      <c r="R455" s="11"/>
      <c r="S455" s="11">
        <v>1.0</v>
      </c>
      <c r="T455" s="11">
        <v>1.0</v>
      </c>
      <c r="U455" s="11">
        <v>1.0</v>
      </c>
      <c r="V455" s="11">
        <v>4.0</v>
      </c>
      <c r="W455" s="11">
        <v>4.0</v>
      </c>
      <c r="X455" s="11">
        <v>2.0</v>
      </c>
      <c r="Y455" s="11">
        <v>2.0</v>
      </c>
      <c r="Z455" s="11"/>
      <c r="AA455" s="11">
        <v>1.0</v>
      </c>
      <c r="AB455" s="11">
        <v>1.0</v>
      </c>
      <c r="AC455" s="11"/>
      <c r="AD455" s="11">
        <v>1.0</v>
      </c>
      <c r="AE455" s="11"/>
      <c r="AF455" s="11"/>
    </row>
    <row r="456" ht="15.75" customHeight="1">
      <c r="A456" s="13">
        <v>453.0</v>
      </c>
      <c r="B456" s="13">
        <v>25.0</v>
      </c>
      <c r="C456" s="13" t="s">
        <v>96</v>
      </c>
      <c r="D456" s="13" t="s">
        <v>1185</v>
      </c>
      <c r="E456" s="13"/>
      <c r="F456" s="14" t="s">
        <v>1186</v>
      </c>
      <c r="G456" s="13" t="s">
        <v>175</v>
      </c>
      <c r="H456" s="13">
        <v>1.0</v>
      </c>
      <c r="I456" s="13">
        <v>3.0</v>
      </c>
      <c r="J456" s="35">
        <v>6.0</v>
      </c>
      <c r="K456" s="35">
        <v>38.0</v>
      </c>
      <c r="L456" s="13"/>
      <c r="M456" s="13"/>
      <c r="N456" s="13">
        <v>8.0</v>
      </c>
      <c r="O456" s="13">
        <v>3.0</v>
      </c>
      <c r="P456" s="13"/>
      <c r="Q456" s="13">
        <v>7.0</v>
      </c>
      <c r="R456" s="13"/>
      <c r="S456" s="13">
        <v>1.0</v>
      </c>
      <c r="T456" s="13">
        <v>1.0</v>
      </c>
      <c r="U456" s="13">
        <v>1.0</v>
      </c>
      <c r="V456" s="13">
        <v>5.0</v>
      </c>
      <c r="W456" s="13">
        <v>4.0</v>
      </c>
      <c r="X456" s="13">
        <v>3.0</v>
      </c>
      <c r="Y456" s="13">
        <v>2.0</v>
      </c>
      <c r="Z456" s="13"/>
      <c r="AA456" s="13">
        <v>2.0</v>
      </c>
      <c r="AB456" s="13">
        <v>1.0</v>
      </c>
      <c r="AC456" s="13"/>
      <c r="AD456" s="13">
        <v>1.0</v>
      </c>
      <c r="AE456" s="13">
        <v>1.0</v>
      </c>
      <c r="AF456" s="13"/>
    </row>
    <row r="457" ht="15.75" customHeight="1">
      <c r="A457" s="11">
        <v>454.0</v>
      </c>
      <c r="B457" s="11">
        <v>25.0</v>
      </c>
      <c r="C457" s="11" t="s">
        <v>96</v>
      </c>
      <c r="D457" s="11" t="s">
        <v>1187</v>
      </c>
      <c r="E457" s="11"/>
      <c r="F457" s="12" t="s">
        <v>1188</v>
      </c>
      <c r="G457" s="11" t="s">
        <v>175</v>
      </c>
      <c r="H457" s="11">
        <v>1.0</v>
      </c>
      <c r="I457" s="11">
        <v>4.0</v>
      </c>
      <c r="J457" s="33">
        <v>5.0</v>
      </c>
      <c r="K457" s="33">
        <v>38.0</v>
      </c>
      <c r="L457" s="11"/>
      <c r="M457" s="11"/>
      <c r="N457" s="11">
        <v>8.0</v>
      </c>
      <c r="O457" s="11">
        <v>3.0</v>
      </c>
      <c r="P457" s="11"/>
      <c r="Q457" s="11">
        <v>7.0</v>
      </c>
      <c r="R457" s="11"/>
      <c r="S457" s="11">
        <v>1.0</v>
      </c>
      <c r="T457" s="11">
        <v>1.0</v>
      </c>
      <c r="U457" s="11">
        <v>1.0</v>
      </c>
      <c r="V457" s="11">
        <v>5.0</v>
      </c>
      <c r="W457" s="11">
        <v>4.0</v>
      </c>
      <c r="X457" s="11">
        <v>3.0</v>
      </c>
      <c r="Y457" s="11">
        <v>2.0</v>
      </c>
      <c r="Z457" s="11"/>
      <c r="AA457" s="11">
        <v>2.0</v>
      </c>
      <c r="AB457" s="11">
        <v>1.0</v>
      </c>
      <c r="AC457" s="11"/>
      <c r="AD457" s="11">
        <v>1.0</v>
      </c>
      <c r="AE457" s="11">
        <v>1.0</v>
      </c>
      <c r="AF457" s="11"/>
    </row>
    <row r="458" ht="15.75" customHeight="1">
      <c r="A458" s="13">
        <v>455.0</v>
      </c>
      <c r="B458" s="13">
        <v>25.0</v>
      </c>
      <c r="C458" s="13" t="s">
        <v>96</v>
      </c>
      <c r="D458" s="13" t="s">
        <v>1189</v>
      </c>
      <c r="E458" s="13" t="s">
        <v>1190</v>
      </c>
      <c r="F458" s="14" t="s">
        <v>1191</v>
      </c>
      <c r="G458" s="13" t="s">
        <v>175</v>
      </c>
      <c r="H458" s="13">
        <v>2.0</v>
      </c>
      <c r="I458" s="13">
        <v>1.0</v>
      </c>
      <c r="J458" s="35">
        <v>8.0</v>
      </c>
      <c r="K458" s="35">
        <v>38.0</v>
      </c>
      <c r="L458" s="13"/>
      <c r="M458" s="13"/>
      <c r="N458" s="13">
        <v>6.0</v>
      </c>
      <c r="O458" s="13">
        <v>2.0</v>
      </c>
      <c r="P458" s="13"/>
      <c r="Q458" s="13">
        <v>6.0</v>
      </c>
      <c r="R458" s="13">
        <v>1.0</v>
      </c>
      <c r="S458" s="13">
        <v>1.0</v>
      </c>
      <c r="T458" s="13">
        <v>1.0</v>
      </c>
      <c r="U458" s="13">
        <v>1.0</v>
      </c>
      <c r="V458" s="13">
        <v>3.0</v>
      </c>
      <c r="W458" s="13">
        <v>3.0</v>
      </c>
      <c r="X458" s="13">
        <v>3.0</v>
      </c>
      <c r="Y458" s="13">
        <v>2.0</v>
      </c>
      <c r="Z458" s="13"/>
      <c r="AA458" s="13">
        <v>1.0</v>
      </c>
      <c r="AB458" s="13">
        <v>1.0</v>
      </c>
      <c r="AC458" s="13"/>
      <c r="AD458" s="13">
        <v>1.0</v>
      </c>
      <c r="AE458" s="13">
        <v>1.0</v>
      </c>
      <c r="AF458" s="13"/>
    </row>
    <row r="459" ht="15.75" customHeight="1">
      <c r="A459" s="11">
        <v>456.0</v>
      </c>
      <c r="B459" s="11">
        <v>25.0</v>
      </c>
      <c r="C459" s="11" t="s">
        <v>96</v>
      </c>
      <c r="D459" s="11" t="s">
        <v>1192</v>
      </c>
      <c r="E459" s="11"/>
      <c r="F459" s="12" t="s">
        <v>1193</v>
      </c>
      <c r="G459" s="11" t="s">
        <v>175</v>
      </c>
      <c r="H459" s="11">
        <v>2.0</v>
      </c>
      <c r="I459" s="11">
        <v>2.0</v>
      </c>
      <c r="J459" s="33">
        <v>7.0</v>
      </c>
      <c r="K459" s="33">
        <v>38.0</v>
      </c>
      <c r="L459" s="11"/>
      <c r="M459" s="11"/>
      <c r="N459" s="11">
        <v>6.0</v>
      </c>
      <c r="O459" s="11">
        <v>2.0</v>
      </c>
      <c r="P459" s="11"/>
      <c r="Q459" s="11">
        <v>6.0</v>
      </c>
      <c r="R459" s="11">
        <v>1.0</v>
      </c>
      <c r="S459" s="11">
        <v>1.0</v>
      </c>
      <c r="T459" s="11">
        <v>1.0</v>
      </c>
      <c r="U459" s="11">
        <v>1.0</v>
      </c>
      <c r="V459" s="11">
        <v>3.0</v>
      </c>
      <c r="W459" s="11">
        <v>3.0</v>
      </c>
      <c r="X459" s="11">
        <v>3.0</v>
      </c>
      <c r="Y459" s="11">
        <v>2.0</v>
      </c>
      <c r="Z459" s="11"/>
      <c r="AA459" s="11">
        <v>1.0</v>
      </c>
      <c r="AB459" s="11">
        <v>1.0</v>
      </c>
      <c r="AC459" s="11"/>
      <c r="AD459" s="11">
        <v>1.0</v>
      </c>
      <c r="AE459" s="11">
        <v>1.0</v>
      </c>
      <c r="AF459" s="11"/>
    </row>
    <row r="460" ht="15.75" customHeight="1">
      <c r="A460" s="13">
        <v>457.0</v>
      </c>
      <c r="B460" s="13">
        <v>25.0</v>
      </c>
      <c r="C460" s="13" t="s">
        <v>96</v>
      </c>
      <c r="D460" s="13" t="s">
        <v>1194</v>
      </c>
      <c r="E460" s="13"/>
      <c r="F460" s="14" t="s">
        <v>1195</v>
      </c>
      <c r="G460" s="13" t="s">
        <v>175</v>
      </c>
      <c r="H460" s="13">
        <v>2.0</v>
      </c>
      <c r="I460" s="13">
        <v>3.0</v>
      </c>
      <c r="J460" s="35">
        <v>6.0</v>
      </c>
      <c r="K460" s="35">
        <v>38.0</v>
      </c>
      <c r="L460" s="13"/>
      <c r="M460" s="13"/>
      <c r="N460" s="13">
        <v>9.0</v>
      </c>
      <c r="O460" s="13">
        <v>3.0</v>
      </c>
      <c r="P460" s="13"/>
      <c r="Q460" s="13">
        <v>6.0</v>
      </c>
      <c r="R460" s="13">
        <v>1.0</v>
      </c>
      <c r="S460" s="13">
        <v>1.0</v>
      </c>
      <c r="T460" s="13">
        <v>1.0</v>
      </c>
      <c r="U460" s="13">
        <v>1.0</v>
      </c>
      <c r="V460" s="13">
        <v>4.0</v>
      </c>
      <c r="W460" s="13">
        <v>3.0</v>
      </c>
      <c r="X460" s="13">
        <v>4.0</v>
      </c>
      <c r="Y460" s="13">
        <v>2.0</v>
      </c>
      <c r="Z460" s="13"/>
      <c r="AA460" s="13">
        <v>1.0</v>
      </c>
      <c r="AB460" s="13">
        <v>2.0</v>
      </c>
      <c r="AC460" s="13"/>
      <c r="AD460" s="13">
        <v>1.0</v>
      </c>
      <c r="AE460" s="13">
        <v>1.0</v>
      </c>
      <c r="AF460" s="13"/>
    </row>
    <row r="461" ht="15.75" customHeight="1">
      <c r="A461" s="11">
        <v>458.0</v>
      </c>
      <c r="B461" s="11">
        <v>25.0</v>
      </c>
      <c r="C461" s="11" t="s">
        <v>96</v>
      </c>
      <c r="D461" s="11" t="s">
        <v>1196</v>
      </c>
      <c r="E461" s="11"/>
      <c r="F461" s="12" t="s">
        <v>1197</v>
      </c>
      <c r="G461" s="11" t="s">
        <v>175</v>
      </c>
      <c r="H461" s="11">
        <v>2.0</v>
      </c>
      <c r="I461" s="11">
        <v>4.0</v>
      </c>
      <c r="J461" s="33">
        <v>5.0</v>
      </c>
      <c r="K461" s="33">
        <v>38.0</v>
      </c>
      <c r="L461" s="11"/>
      <c r="M461" s="11"/>
      <c r="N461" s="11">
        <v>9.0</v>
      </c>
      <c r="O461" s="11">
        <v>3.0</v>
      </c>
      <c r="P461" s="11"/>
      <c r="Q461" s="11">
        <v>6.0</v>
      </c>
      <c r="R461" s="11">
        <v>1.0</v>
      </c>
      <c r="S461" s="11">
        <v>1.0</v>
      </c>
      <c r="T461" s="11">
        <v>1.0</v>
      </c>
      <c r="U461" s="11">
        <v>1.0</v>
      </c>
      <c r="V461" s="11">
        <v>4.0</v>
      </c>
      <c r="W461" s="11">
        <v>3.0</v>
      </c>
      <c r="X461" s="11">
        <v>4.0</v>
      </c>
      <c r="Y461" s="11">
        <v>2.0</v>
      </c>
      <c r="Z461" s="11"/>
      <c r="AA461" s="11">
        <v>1.0</v>
      </c>
      <c r="AB461" s="11">
        <v>2.0</v>
      </c>
      <c r="AC461" s="11"/>
      <c r="AD461" s="11">
        <v>1.0</v>
      </c>
      <c r="AE461" s="11">
        <v>1.0</v>
      </c>
      <c r="AF461" s="11"/>
    </row>
    <row r="462" ht="15.75" customHeight="1">
      <c r="A462" s="13">
        <v>459.0</v>
      </c>
      <c r="B462" s="13">
        <v>25.0</v>
      </c>
      <c r="C462" s="13" t="s">
        <v>96</v>
      </c>
      <c r="D462" s="13" t="s">
        <v>1198</v>
      </c>
      <c r="E462" s="13" t="s">
        <v>1199</v>
      </c>
      <c r="F462" s="14" t="s">
        <v>1200</v>
      </c>
      <c r="G462" s="13" t="s">
        <v>175</v>
      </c>
      <c r="H462" s="13">
        <v>3.0</v>
      </c>
      <c r="I462" s="13">
        <v>1.0</v>
      </c>
      <c r="J462" s="35">
        <v>8.0</v>
      </c>
      <c r="K462" s="35">
        <v>38.0</v>
      </c>
      <c r="L462" s="13"/>
      <c r="M462" s="13"/>
      <c r="N462" s="13">
        <v>6.0</v>
      </c>
      <c r="O462" s="13">
        <v>3.0</v>
      </c>
      <c r="P462" s="13">
        <v>2.0</v>
      </c>
      <c r="Q462" s="13">
        <v>5.0</v>
      </c>
      <c r="R462" s="13">
        <v>1.0</v>
      </c>
      <c r="S462" s="13">
        <v>1.0</v>
      </c>
      <c r="T462" s="13">
        <v>2.0</v>
      </c>
      <c r="U462" s="13">
        <v>1.0</v>
      </c>
      <c r="V462" s="13">
        <v>3.0</v>
      </c>
      <c r="W462" s="13">
        <v>2.0</v>
      </c>
      <c r="X462" s="13">
        <v>2.0</v>
      </c>
      <c r="Y462" s="13">
        <v>2.0</v>
      </c>
      <c r="Z462" s="13"/>
      <c r="AA462" s="13">
        <v>1.0</v>
      </c>
      <c r="AB462" s="13">
        <v>1.0</v>
      </c>
      <c r="AC462" s="13"/>
      <c r="AD462" s="13">
        <v>1.0</v>
      </c>
      <c r="AE462" s="13">
        <v>1.0</v>
      </c>
      <c r="AF462" s="13"/>
    </row>
    <row r="463" ht="15.75" customHeight="1">
      <c r="A463" s="11">
        <v>460.0</v>
      </c>
      <c r="B463" s="11">
        <v>25.0</v>
      </c>
      <c r="C463" s="11" t="s">
        <v>96</v>
      </c>
      <c r="D463" s="11" t="s">
        <v>1201</v>
      </c>
      <c r="E463" s="11"/>
      <c r="F463" s="12" t="s">
        <v>1202</v>
      </c>
      <c r="G463" s="11" t="s">
        <v>175</v>
      </c>
      <c r="H463" s="11">
        <v>3.0</v>
      </c>
      <c r="I463" s="11">
        <v>2.0</v>
      </c>
      <c r="J463" s="33">
        <v>7.0</v>
      </c>
      <c r="K463" s="33">
        <v>38.0</v>
      </c>
      <c r="L463" s="11"/>
      <c r="M463" s="11"/>
      <c r="N463" s="11">
        <v>6.0</v>
      </c>
      <c r="O463" s="11">
        <v>3.0</v>
      </c>
      <c r="P463" s="11">
        <v>2.0</v>
      </c>
      <c r="Q463" s="11">
        <v>5.0</v>
      </c>
      <c r="R463" s="11">
        <v>1.0</v>
      </c>
      <c r="S463" s="11">
        <v>1.0</v>
      </c>
      <c r="T463" s="11">
        <v>2.0</v>
      </c>
      <c r="U463" s="11">
        <v>1.0</v>
      </c>
      <c r="V463" s="11">
        <v>3.0</v>
      </c>
      <c r="W463" s="11">
        <v>2.0</v>
      </c>
      <c r="X463" s="11">
        <v>2.0</v>
      </c>
      <c r="Y463" s="11">
        <v>2.0</v>
      </c>
      <c r="Z463" s="11"/>
      <c r="AA463" s="11">
        <v>1.0</v>
      </c>
      <c r="AB463" s="11">
        <v>1.0</v>
      </c>
      <c r="AC463" s="11"/>
      <c r="AD463" s="11">
        <v>1.0</v>
      </c>
      <c r="AE463" s="11">
        <v>1.0</v>
      </c>
      <c r="AF463" s="11"/>
    </row>
    <row r="464" ht="15.75" customHeight="1">
      <c r="A464" s="13">
        <v>461.0</v>
      </c>
      <c r="B464" s="13">
        <v>25.0</v>
      </c>
      <c r="C464" s="13" t="s">
        <v>96</v>
      </c>
      <c r="D464" s="13" t="s">
        <v>1203</v>
      </c>
      <c r="E464" s="13"/>
      <c r="F464" s="14" t="s">
        <v>1204</v>
      </c>
      <c r="G464" s="13" t="s">
        <v>175</v>
      </c>
      <c r="H464" s="13">
        <v>3.0</v>
      </c>
      <c r="I464" s="13">
        <v>3.0</v>
      </c>
      <c r="J464" s="35">
        <v>6.0</v>
      </c>
      <c r="K464" s="35">
        <v>38.0</v>
      </c>
      <c r="L464" s="13"/>
      <c r="M464" s="13"/>
      <c r="N464" s="13">
        <v>10.0</v>
      </c>
      <c r="O464" s="13">
        <v>4.0</v>
      </c>
      <c r="P464" s="13">
        <v>2.0</v>
      </c>
      <c r="Q464" s="13">
        <v>6.0</v>
      </c>
      <c r="R464" s="13">
        <v>1.0</v>
      </c>
      <c r="S464" s="13">
        <v>1.0</v>
      </c>
      <c r="T464" s="13">
        <v>2.0</v>
      </c>
      <c r="U464" s="13">
        <v>1.0</v>
      </c>
      <c r="V464" s="13">
        <v>4.0</v>
      </c>
      <c r="W464" s="13">
        <v>2.0</v>
      </c>
      <c r="X464" s="13">
        <v>3.0</v>
      </c>
      <c r="Y464" s="13">
        <v>2.0</v>
      </c>
      <c r="Z464" s="13"/>
      <c r="AA464" s="13">
        <v>1.0</v>
      </c>
      <c r="AB464" s="13">
        <v>1.0</v>
      </c>
      <c r="AC464" s="13"/>
      <c r="AD464" s="13">
        <v>2.0</v>
      </c>
      <c r="AE464" s="13">
        <v>1.0</v>
      </c>
      <c r="AF464" s="13"/>
    </row>
    <row r="465" ht="15.75" customHeight="1">
      <c r="A465" s="11">
        <v>462.0</v>
      </c>
      <c r="B465" s="11">
        <v>25.0</v>
      </c>
      <c r="C465" s="11" t="s">
        <v>96</v>
      </c>
      <c r="D465" s="11" t="s">
        <v>1205</v>
      </c>
      <c r="E465" s="11"/>
      <c r="F465" s="12" t="s">
        <v>1206</v>
      </c>
      <c r="G465" s="11" t="s">
        <v>175</v>
      </c>
      <c r="H465" s="11">
        <v>3.0</v>
      </c>
      <c r="I465" s="11">
        <v>4.0</v>
      </c>
      <c r="J465" s="33">
        <v>5.0</v>
      </c>
      <c r="K465" s="33">
        <v>38.0</v>
      </c>
      <c r="L465" s="11"/>
      <c r="M465" s="11"/>
      <c r="N465" s="11">
        <v>10.0</v>
      </c>
      <c r="O465" s="11">
        <v>4.0</v>
      </c>
      <c r="P465" s="11">
        <v>2.0</v>
      </c>
      <c r="Q465" s="11">
        <v>6.0</v>
      </c>
      <c r="R465" s="11">
        <v>1.0</v>
      </c>
      <c r="S465" s="11">
        <v>1.0</v>
      </c>
      <c r="T465" s="11">
        <v>2.0</v>
      </c>
      <c r="U465" s="11">
        <v>1.0</v>
      </c>
      <c r="V465" s="11">
        <v>4.0</v>
      </c>
      <c r="W465" s="11">
        <v>2.0</v>
      </c>
      <c r="X465" s="11">
        <v>3.0</v>
      </c>
      <c r="Y465" s="11">
        <v>2.0</v>
      </c>
      <c r="Z465" s="11"/>
      <c r="AA465" s="11">
        <v>1.0</v>
      </c>
      <c r="AB465" s="11">
        <v>1.0</v>
      </c>
      <c r="AC465" s="11"/>
      <c r="AD465" s="11">
        <v>2.0</v>
      </c>
      <c r="AE465" s="11">
        <v>1.0</v>
      </c>
      <c r="AF465" s="11"/>
    </row>
    <row r="466" ht="15.75" customHeight="1">
      <c r="A466" s="13">
        <v>463.0</v>
      </c>
      <c r="B466" s="13">
        <v>25.0</v>
      </c>
      <c r="C466" s="13" t="s">
        <v>96</v>
      </c>
      <c r="D466" s="13" t="s">
        <v>1207</v>
      </c>
      <c r="E466" s="13" t="s">
        <v>1208</v>
      </c>
      <c r="F466" s="14" t="s">
        <v>1209</v>
      </c>
      <c r="G466" s="13" t="s">
        <v>175</v>
      </c>
      <c r="H466" s="13">
        <v>4.0</v>
      </c>
      <c r="I466" s="13">
        <v>1.0</v>
      </c>
      <c r="J466" s="35">
        <v>8.0</v>
      </c>
      <c r="K466" s="35">
        <v>38.0</v>
      </c>
      <c r="L466" s="13"/>
      <c r="M466" s="13"/>
      <c r="N466" s="13">
        <v>6.0</v>
      </c>
      <c r="O466" s="13">
        <v>3.0</v>
      </c>
      <c r="P466" s="13"/>
      <c r="Q466" s="13">
        <v>8.0</v>
      </c>
      <c r="R466" s="13"/>
      <c r="S466" s="13">
        <v>1.0</v>
      </c>
      <c r="T466" s="13">
        <v>1.0</v>
      </c>
      <c r="U466" s="13">
        <v>1.0</v>
      </c>
      <c r="V466" s="13">
        <v>4.0</v>
      </c>
      <c r="W466" s="13">
        <v>3.0</v>
      </c>
      <c r="X466" s="13">
        <v>3.0</v>
      </c>
      <c r="Y466" s="13">
        <v>2.0</v>
      </c>
      <c r="Z466" s="13"/>
      <c r="AA466" s="13">
        <v>2.0</v>
      </c>
      <c r="AB466" s="13">
        <v>2.0</v>
      </c>
      <c r="AC466" s="13">
        <v>1.0</v>
      </c>
      <c r="AD466" s="13">
        <v>1.0</v>
      </c>
      <c r="AE466" s="13">
        <v>1.0</v>
      </c>
      <c r="AF466" s="13"/>
    </row>
    <row r="467" ht="15.75" customHeight="1">
      <c r="A467" s="11">
        <v>464.0</v>
      </c>
      <c r="B467" s="11">
        <v>25.0</v>
      </c>
      <c r="C467" s="11" t="s">
        <v>96</v>
      </c>
      <c r="D467" s="11" t="s">
        <v>1210</v>
      </c>
      <c r="E467" s="11"/>
      <c r="F467" s="12" t="s">
        <v>1211</v>
      </c>
      <c r="G467" s="11" t="s">
        <v>175</v>
      </c>
      <c r="H467" s="11">
        <v>4.0</v>
      </c>
      <c r="I467" s="11">
        <v>2.0</v>
      </c>
      <c r="J467" s="33">
        <v>7.0</v>
      </c>
      <c r="K467" s="33">
        <v>38.0</v>
      </c>
      <c r="L467" s="11"/>
      <c r="M467" s="11"/>
      <c r="N467" s="11">
        <v>6.0</v>
      </c>
      <c r="O467" s="11">
        <v>3.0</v>
      </c>
      <c r="P467" s="11"/>
      <c r="Q467" s="11">
        <v>8.0</v>
      </c>
      <c r="R467" s="11"/>
      <c r="S467" s="11">
        <v>1.0</v>
      </c>
      <c r="T467" s="11">
        <v>1.0</v>
      </c>
      <c r="U467" s="11">
        <v>1.0</v>
      </c>
      <c r="V467" s="11">
        <v>4.0</v>
      </c>
      <c r="W467" s="11">
        <v>3.0</v>
      </c>
      <c r="X467" s="11">
        <v>3.0</v>
      </c>
      <c r="Y467" s="11">
        <v>2.0</v>
      </c>
      <c r="Z467" s="11"/>
      <c r="AA467" s="11">
        <v>2.0</v>
      </c>
      <c r="AB467" s="11">
        <v>2.0</v>
      </c>
      <c r="AC467" s="11">
        <v>1.0</v>
      </c>
      <c r="AD467" s="11">
        <v>1.0</v>
      </c>
      <c r="AE467" s="11">
        <v>1.0</v>
      </c>
      <c r="AF467" s="11"/>
    </row>
    <row r="468" ht="15.75" customHeight="1">
      <c r="A468" s="13">
        <v>465.0</v>
      </c>
      <c r="B468" s="13">
        <v>25.0</v>
      </c>
      <c r="C468" s="13" t="s">
        <v>96</v>
      </c>
      <c r="D468" s="13" t="s">
        <v>1212</v>
      </c>
      <c r="E468" s="13"/>
      <c r="F468" s="14" t="s">
        <v>1213</v>
      </c>
      <c r="G468" s="13" t="s">
        <v>175</v>
      </c>
      <c r="H468" s="13">
        <v>4.0</v>
      </c>
      <c r="I468" s="13">
        <v>3.0</v>
      </c>
      <c r="J468" s="35">
        <v>6.0</v>
      </c>
      <c r="K468" s="35">
        <v>38.0</v>
      </c>
      <c r="L468" s="13"/>
      <c r="M468" s="13"/>
      <c r="N468" s="13">
        <v>10.0</v>
      </c>
      <c r="O468" s="13">
        <v>4.0</v>
      </c>
      <c r="P468" s="13"/>
      <c r="Q468" s="13">
        <v>9.0</v>
      </c>
      <c r="R468" s="13"/>
      <c r="S468" s="13">
        <v>1.0</v>
      </c>
      <c r="T468" s="13">
        <v>1.0</v>
      </c>
      <c r="U468" s="13">
        <v>1.0</v>
      </c>
      <c r="V468" s="13">
        <v>5.0</v>
      </c>
      <c r="W468" s="13">
        <v>3.0</v>
      </c>
      <c r="X468" s="13">
        <v>4.0</v>
      </c>
      <c r="Y468" s="13">
        <v>2.0</v>
      </c>
      <c r="Z468" s="13"/>
      <c r="AA468" s="13">
        <v>2.0</v>
      </c>
      <c r="AB468" s="13">
        <v>2.0</v>
      </c>
      <c r="AC468" s="13">
        <v>1.0</v>
      </c>
      <c r="AD468" s="13">
        <v>2.0</v>
      </c>
      <c r="AE468" s="13">
        <v>1.0</v>
      </c>
      <c r="AF468" s="13"/>
    </row>
    <row r="469" ht="15.75" customHeight="1">
      <c r="A469" s="11">
        <v>466.0</v>
      </c>
      <c r="B469" s="11">
        <v>25.0</v>
      </c>
      <c r="C469" s="11" t="s">
        <v>96</v>
      </c>
      <c r="D469" s="11" t="s">
        <v>1214</v>
      </c>
      <c r="E469" s="11"/>
      <c r="F469" s="12" t="s">
        <v>1215</v>
      </c>
      <c r="G469" s="11" t="s">
        <v>175</v>
      </c>
      <c r="H469" s="11">
        <v>4.0</v>
      </c>
      <c r="I469" s="11">
        <v>4.0</v>
      </c>
      <c r="J469" s="33">
        <v>5.0</v>
      </c>
      <c r="K469" s="33">
        <v>38.0</v>
      </c>
      <c r="L469" s="11"/>
      <c r="M469" s="11"/>
      <c r="N469" s="11">
        <v>10.0</v>
      </c>
      <c r="O469" s="11">
        <v>4.0</v>
      </c>
      <c r="P469" s="11"/>
      <c r="Q469" s="11">
        <v>9.0</v>
      </c>
      <c r="R469" s="11"/>
      <c r="S469" s="11">
        <v>1.0</v>
      </c>
      <c r="T469" s="11">
        <v>1.0</v>
      </c>
      <c r="U469" s="11">
        <v>1.0</v>
      </c>
      <c r="V469" s="11">
        <v>5.0</v>
      </c>
      <c r="W469" s="11">
        <v>3.0</v>
      </c>
      <c r="X469" s="11">
        <v>4.0</v>
      </c>
      <c r="Y469" s="11">
        <v>2.0</v>
      </c>
      <c r="Z469" s="11"/>
      <c r="AA469" s="11">
        <v>2.0</v>
      </c>
      <c r="AB469" s="11">
        <v>2.0</v>
      </c>
      <c r="AC469" s="11">
        <v>1.0</v>
      </c>
      <c r="AD469" s="11">
        <v>2.0</v>
      </c>
      <c r="AE469" s="11">
        <v>1.0</v>
      </c>
      <c r="AF469" s="11"/>
    </row>
    <row r="470" ht="15.75" customHeight="1">
      <c r="A470" s="13">
        <v>467.0</v>
      </c>
      <c r="B470" s="13">
        <v>25.0</v>
      </c>
      <c r="C470" s="13" t="s">
        <v>96</v>
      </c>
      <c r="D470" s="13" t="s">
        <v>1216</v>
      </c>
      <c r="E470" s="13"/>
      <c r="F470" s="14" t="s">
        <v>1217</v>
      </c>
      <c r="G470" s="13" t="s">
        <v>74</v>
      </c>
      <c r="H470" s="13">
        <v>5.0</v>
      </c>
      <c r="I470" s="13">
        <v>5.0</v>
      </c>
      <c r="J470" s="35">
        <v>1.0</v>
      </c>
      <c r="K470" s="35">
        <v>192.0</v>
      </c>
      <c r="L470" s="13"/>
      <c r="M470" s="13"/>
      <c r="N470" s="13">
        <v>30.0</v>
      </c>
      <c r="O470" s="13">
        <v>10.0</v>
      </c>
      <c r="P470" s="13">
        <v>6.0</v>
      </c>
      <c r="Q470" s="13">
        <v>34.0</v>
      </c>
      <c r="R470" s="13">
        <v>1.0</v>
      </c>
      <c r="S470" s="13">
        <v>3.0</v>
      </c>
      <c r="T470" s="13">
        <v>3.0</v>
      </c>
      <c r="U470" s="13">
        <v>3.0</v>
      </c>
      <c r="V470" s="13">
        <v>10.0</v>
      </c>
      <c r="W470" s="13">
        <v>10.0</v>
      </c>
      <c r="X470" s="13">
        <v>7.0</v>
      </c>
      <c r="Y470" s="13">
        <v>5.0</v>
      </c>
      <c r="Z470" s="13">
        <v>1.0</v>
      </c>
      <c r="AA470" s="13">
        <v>3.0</v>
      </c>
      <c r="AB470" s="13">
        <v>3.0</v>
      </c>
      <c r="AC470" s="13">
        <v>1.0</v>
      </c>
      <c r="AD470" s="13">
        <v>3.0</v>
      </c>
      <c r="AE470" s="13">
        <v>2.0</v>
      </c>
      <c r="AF470" s="13"/>
    </row>
    <row r="471" ht="15.75" customHeight="1">
      <c r="A471" s="11">
        <v>468.0</v>
      </c>
      <c r="B471" s="11">
        <v>26.0</v>
      </c>
      <c r="C471" s="11" t="s">
        <v>99</v>
      </c>
      <c r="D471" s="11" t="s">
        <v>1218</v>
      </c>
      <c r="E471" s="11"/>
      <c r="F471" s="11" t="s">
        <v>1219</v>
      </c>
      <c r="G471" s="11" t="s">
        <v>170</v>
      </c>
      <c r="H471" s="11">
        <v>0.0</v>
      </c>
      <c r="I471" s="11">
        <v>0.0</v>
      </c>
      <c r="J471" s="33">
        <v>15.0</v>
      </c>
      <c r="K471" s="33">
        <v>200.0</v>
      </c>
      <c r="L471" s="11"/>
      <c r="M471" s="34" t="s">
        <v>1220</v>
      </c>
      <c r="N471" s="11">
        <v>20.0</v>
      </c>
      <c r="O471" s="11">
        <v>8.0</v>
      </c>
      <c r="P471" s="11">
        <v>4.0</v>
      </c>
      <c r="Q471" s="11">
        <v>26.0</v>
      </c>
      <c r="R471" s="11">
        <v>1.0</v>
      </c>
      <c r="S471" s="11">
        <v>1.0</v>
      </c>
      <c r="T471" s="11">
        <v>2.0</v>
      </c>
      <c r="U471" s="11">
        <v>2.0</v>
      </c>
      <c r="V471" s="11">
        <v>8.0</v>
      </c>
      <c r="W471" s="11">
        <v>6.0</v>
      </c>
      <c r="X471" s="11">
        <v>5.0</v>
      </c>
      <c r="Y471" s="11">
        <v>4.0</v>
      </c>
      <c r="Z471" s="11">
        <v>3.0</v>
      </c>
      <c r="AA471" s="11">
        <v>4.0</v>
      </c>
      <c r="AB471" s="11">
        <v>4.0</v>
      </c>
      <c r="AC471" s="11">
        <v>4.0</v>
      </c>
      <c r="AD471" s="11">
        <v>1.0</v>
      </c>
      <c r="AE471" s="11"/>
      <c r="AF471" s="11"/>
    </row>
    <row r="472" ht="15.75" customHeight="1">
      <c r="A472" s="13">
        <v>469.0</v>
      </c>
      <c r="B472" s="13">
        <v>26.0</v>
      </c>
      <c r="C472" s="13" t="s">
        <v>99</v>
      </c>
      <c r="D472" s="13" t="s">
        <v>1221</v>
      </c>
      <c r="E472" s="13" t="s">
        <v>1222</v>
      </c>
      <c r="F472" s="13" t="s">
        <v>1223</v>
      </c>
      <c r="G472" s="13" t="s">
        <v>175</v>
      </c>
      <c r="H472" s="13">
        <v>1.0</v>
      </c>
      <c r="I472" s="13">
        <v>1.0</v>
      </c>
      <c r="J472" s="35">
        <v>8.0</v>
      </c>
      <c r="K472" s="35">
        <v>38.0</v>
      </c>
      <c r="L472" s="13"/>
      <c r="M472" s="13"/>
      <c r="N472" s="13">
        <v>6.0</v>
      </c>
      <c r="O472" s="13">
        <v>2.0</v>
      </c>
      <c r="P472" s="13"/>
      <c r="Q472" s="13">
        <v>8.0</v>
      </c>
      <c r="R472" s="13"/>
      <c r="S472" s="13"/>
      <c r="T472" s="13">
        <v>1.0</v>
      </c>
      <c r="U472" s="13">
        <v>1.0</v>
      </c>
      <c r="V472" s="13">
        <v>4.0</v>
      </c>
      <c r="W472" s="13">
        <v>1.0</v>
      </c>
      <c r="X472" s="13">
        <v>2.0</v>
      </c>
      <c r="Y472" s="13">
        <v>2.0</v>
      </c>
      <c r="Z472" s="13">
        <v>2.0</v>
      </c>
      <c r="AA472" s="13">
        <v>2.0</v>
      </c>
      <c r="AB472" s="13">
        <v>2.0</v>
      </c>
      <c r="AC472" s="13">
        <v>2.0</v>
      </c>
      <c r="AD472" s="13"/>
      <c r="AE472" s="13"/>
      <c r="AF472" s="13"/>
    </row>
    <row r="473" ht="15.75" customHeight="1">
      <c r="A473" s="11">
        <v>470.0</v>
      </c>
      <c r="B473" s="11">
        <v>26.0</v>
      </c>
      <c r="C473" s="11" t="s">
        <v>99</v>
      </c>
      <c r="D473" s="11" t="s">
        <v>1224</v>
      </c>
      <c r="E473" s="11"/>
      <c r="F473" s="11" t="s">
        <v>1225</v>
      </c>
      <c r="G473" s="11" t="s">
        <v>175</v>
      </c>
      <c r="H473" s="11">
        <v>1.0</v>
      </c>
      <c r="I473" s="11">
        <v>2.0</v>
      </c>
      <c r="J473" s="33">
        <v>7.0</v>
      </c>
      <c r="K473" s="33">
        <v>38.0</v>
      </c>
      <c r="L473" s="11"/>
      <c r="M473" s="11"/>
      <c r="N473" s="11">
        <v>6.0</v>
      </c>
      <c r="O473" s="11">
        <v>2.0</v>
      </c>
      <c r="P473" s="11"/>
      <c r="Q473" s="11">
        <v>8.0</v>
      </c>
      <c r="R473" s="11"/>
      <c r="S473" s="11"/>
      <c r="T473" s="11">
        <v>1.0</v>
      </c>
      <c r="U473" s="11">
        <v>1.0</v>
      </c>
      <c r="V473" s="11">
        <v>4.0</v>
      </c>
      <c r="W473" s="11">
        <v>1.0</v>
      </c>
      <c r="X473" s="11">
        <v>2.0</v>
      </c>
      <c r="Y473" s="11">
        <v>2.0</v>
      </c>
      <c r="Z473" s="11">
        <v>2.0</v>
      </c>
      <c r="AA473" s="11">
        <v>2.0</v>
      </c>
      <c r="AB473" s="11">
        <v>2.0</v>
      </c>
      <c r="AC473" s="11">
        <v>2.0</v>
      </c>
      <c r="AD473" s="11"/>
      <c r="AE473" s="11"/>
      <c r="AF473" s="11"/>
    </row>
    <row r="474" ht="15.75" customHeight="1">
      <c r="A474" s="13">
        <v>471.0</v>
      </c>
      <c r="B474" s="13">
        <v>26.0</v>
      </c>
      <c r="C474" s="13" t="s">
        <v>99</v>
      </c>
      <c r="D474" s="13" t="s">
        <v>1226</v>
      </c>
      <c r="E474" s="13"/>
      <c r="F474" s="13" t="s">
        <v>1227</v>
      </c>
      <c r="G474" s="13" t="s">
        <v>175</v>
      </c>
      <c r="H474" s="13">
        <v>1.0</v>
      </c>
      <c r="I474" s="13">
        <v>3.0</v>
      </c>
      <c r="J474" s="35">
        <v>6.0</v>
      </c>
      <c r="K474" s="35">
        <v>38.0</v>
      </c>
      <c r="L474" s="13"/>
      <c r="M474" s="13"/>
      <c r="N474" s="13">
        <v>10.0</v>
      </c>
      <c r="O474" s="13">
        <v>3.0</v>
      </c>
      <c r="P474" s="13"/>
      <c r="Q474" s="13">
        <v>9.0</v>
      </c>
      <c r="R474" s="13"/>
      <c r="S474" s="13"/>
      <c r="T474" s="13">
        <v>1.0</v>
      </c>
      <c r="U474" s="13">
        <v>1.0</v>
      </c>
      <c r="V474" s="13">
        <v>5.0</v>
      </c>
      <c r="W474" s="13">
        <v>1.0</v>
      </c>
      <c r="X474" s="13">
        <v>3.0</v>
      </c>
      <c r="Y474" s="13">
        <v>2.0</v>
      </c>
      <c r="Z474" s="13">
        <v>2.0</v>
      </c>
      <c r="AA474" s="13">
        <v>3.0</v>
      </c>
      <c r="AB474" s="13">
        <v>3.0</v>
      </c>
      <c r="AC474" s="13">
        <v>3.0</v>
      </c>
      <c r="AD474" s="13"/>
      <c r="AE474" s="13"/>
      <c r="AF474" s="13"/>
    </row>
    <row r="475" ht="15.75" customHeight="1">
      <c r="A475" s="11">
        <v>472.0</v>
      </c>
      <c r="B475" s="11">
        <v>26.0</v>
      </c>
      <c r="C475" s="11" t="s">
        <v>99</v>
      </c>
      <c r="D475" s="11" t="s">
        <v>1228</v>
      </c>
      <c r="E475" s="11"/>
      <c r="F475" s="11" t="s">
        <v>1229</v>
      </c>
      <c r="G475" s="11" t="s">
        <v>175</v>
      </c>
      <c r="H475" s="11">
        <v>1.0</v>
      </c>
      <c r="I475" s="11">
        <v>4.0</v>
      </c>
      <c r="J475" s="33">
        <v>5.0</v>
      </c>
      <c r="K475" s="33">
        <v>38.0</v>
      </c>
      <c r="L475" s="11"/>
      <c r="M475" s="11"/>
      <c r="N475" s="11">
        <v>10.0</v>
      </c>
      <c r="O475" s="11">
        <v>3.0</v>
      </c>
      <c r="P475" s="11"/>
      <c r="Q475" s="11">
        <v>9.0</v>
      </c>
      <c r="R475" s="11"/>
      <c r="S475" s="11"/>
      <c r="T475" s="11">
        <v>1.0</v>
      </c>
      <c r="U475" s="11">
        <v>1.0</v>
      </c>
      <c r="V475" s="11">
        <v>5.0</v>
      </c>
      <c r="W475" s="11">
        <v>1.0</v>
      </c>
      <c r="X475" s="11">
        <v>3.0</v>
      </c>
      <c r="Y475" s="11">
        <v>2.0</v>
      </c>
      <c r="Z475" s="11">
        <v>2.0</v>
      </c>
      <c r="AA475" s="11">
        <v>3.0</v>
      </c>
      <c r="AB475" s="11">
        <v>3.0</v>
      </c>
      <c r="AC475" s="11">
        <v>3.0</v>
      </c>
      <c r="AD475" s="11"/>
      <c r="AE475" s="11"/>
      <c r="AF475" s="11"/>
    </row>
    <row r="476" ht="15.75" customHeight="1">
      <c r="A476" s="13">
        <v>473.0</v>
      </c>
      <c r="B476" s="13">
        <v>26.0</v>
      </c>
      <c r="C476" s="13" t="s">
        <v>99</v>
      </c>
      <c r="D476" s="13" t="s">
        <v>1230</v>
      </c>
      <c r="E476" s="13" t="s">
        <v>1231</v>
      </c>
      <c r="F476" s="13" t="s">
        <v>1232</v>
      </c>
      <c r="G476" s="13" t="s">
        <v>175</v>
      </c>
      <c r="H476" s="13">
        <v>2.0</v>
      </c>
      <c r="I476" s="13">
        <v>1.0</v>
      </c>
      <c r="J476" s="35">
        <v>8.0</v>
      </c>
      <c r="K476" s="35">
        <v>38.0</v>
      </c>
      <c r="L476" s="13"/>
      <c r="M476" s="13"/>
      <c r="N476" s="13">
        <v>5.0</v>
      </c>
      <c r="O476" s="13">
        <v>2.0</v>
      </c>
      <c r="P476" s="13"/>
      <c r="Q476" s="13">
        <v>8.0</v>
      </c>
      <c r="R476" s="13">
        <v>1.0</v>
      </c>
      <c r="S476" s="13"/>
      <c r="T476" s="13">
        <v>2.0</v>
      </c>
      <c r="U476" s="13">
        <v>1.0</v>
      </c>
      <c r="V476" s="13">
        <v>3.0</v>
      </c>
      <c r="W476" s="13">
        <v>1.0</v>
      </c>
      <c r="X476" s="13">
        <v>2.0</v>
      </c>
      <c r="Y476" s="13">
        <v>2.0</v>
      </c>
      <c r="Z476" s="13">
        <v>1.0</v>
      </c>
      <c r="AA476" s="13">
        <v>2.0</v>
      </c>
      <c r="AB476" s="13">
        <v>2.0</v>
      </c>
      <c r="AC476" s="13">
        <v>2.0</v>
      </c>
      <c r="AD476" s="13">
        <v>1.0</v>
      </c>
      <c r="AE476" s="13"/>
      <c r="AF476" s="13"/>
    </row>
    <row r="477" ht="15.75" customHeight="1">
      <c r="A477" s="11">
        <v>474.0</v>
      </c>
      <c r="B477" s="11">
        <v>26.0</v>
      </c>
      <c r="C477" s="11" t="s">
        <v>99</v>
      </c>
      <c r="D477" s="11" t="s">
        <v>1233</v>
      </c>
      <c r="E477" s="11"/>
      <c r="F477" s="11" t="s">
        <v>1234</v>
      </c>
      <c r="G477" s="11" t="s">
        <v>175</v>
      </c>
      <c r="H477" s="11">
        <v>2.0</v>
      </c>
      <c r="I477" s="11">
        <v>2.0</v>
      </c>
      <c r="J477" s="33">
        <v>7.0</v>
      </c>
      <c r="K477" s="33">
        <v>38.0</v>
      </c>
      <c r="L477" s="11"/>
      <c r="M477" s="11"/>
      <c r="N477" s="11">
        <v>5.0</v>
      </c>
      <c r="O477" s="11">
        <v>2.0</v>
      </c>
      <c r="P477" s="11"/>
      <c r="Q477" s="11">
        <v>8.0</v>
      </c>
      <c r="R477" s="11">
        <v>1.0</v>
      </c>
      <c r="S477" s="11"/>
      <c r="T477" s="11">
        <v>2.0</v>
      </c>
      <c r="U477" s="11">
        <v>1.0</v>
      </c>
      <c r="V477" s="11">
        <v>3.0</v>
      </c>
      <c r="W477" s="11">
        <v>1.0</v>
      </c>
      <c r="X477" s="11">
        <v>2.0</v>
      </c>
      <c r="Y477" s="11">
        <v>2.0</v>
      </c>
      <c r="Z477" s="11">
        <v>1.0</v>
      </c>
      <c r="AA477" s="11">
        <v>2.0</v>
      </c>
      <c r="AB477" s="11">
        <v>2.0</v>
      </c>
      <c r="AC477" s="11">
        <v>2.0</v>
      </c>
      <c r="AD477" s="11">
        <v>1.0</v>
      </c>
      <c r="AE477" s="11"/>
      <c r="AF477" s="11"/>
    </row>
    <row r="478" ht="15.75" customHeight="1">
      <c r="A478" s="13">
        <v>475.0</v>
      </c>
      <c r="B478" s="13">
        <v>26.0</v>
      </c>
      <c r="C478" s="13" t="s">
        <v>99</v>
      </c>
      <c r="D478" s="13" t="s">
        <v>1235</v>
      </c>
      <c r="E478" s="13"/>
      <c r="F478" s="13" t="s">
        <v>1236</v>
      </c>
      <c r="G478" s="13" t="s">
        <v>175</v>
      </c>
      <c r="H478" s="13">
        <v>2.0</v>
      </c>
      <c r="I478" s="13">
        <v>3.0</v>
      </c>
      <c r="J478" s="35">
        <v>6.0</v>
      </c>
      <c r="K478" s="35">
        <v>38.0</v>
      </c>
      <c r="L478" s="13"/>
      <c r="M478" s="13"/>
      <c r="N478" s="13">
        <v>8.0</v>
      </c>
      <c r="O478" s="13">
        <v>3.0</v>
      </c>
      <c r="P478" s="13"/>
      <c r="Q478" s="13">
        <v>9.0</v>
      </c>
      <c r="R478" s="13">
        <v>1.0</v>
      </c>
      <c r="S478" s="13">
        <v>1.0</v>
      </c>
      <c r="T478" s="13">
        <v>2.0</v>
      </c>
      <c r="U478" s="13">
        <v>1.0</v>
      </c>
      <c r="V478" s="13">
        <v>4.0</v>
      </c>
      <c r="W478" s="13">
        <v>1.0</v>
      </c>
      <c r="X478" s="13">
        <v>3.0</v>
      </c>
      <c r="Y478" s="13">
        <v>2.0</v>
      </c>
      <c r="Z478" s="13">
        <v>1.0</v>
      </c>
      <c r="AA478" s="13">
        <v>3.0</v>
      </c>
      <c r="AB478" s="13">
        <v>3.0</v>
      </c>
      <c r="AC478" s="13">
        <v>3.0</v>
      </c>
      <c r="AD478" s="13">
        <v>1.0</v>
      </c>
      <c r="AE478" s="13"/>
      <c r="AF478" s="13"/>
    </row>
    <row r="479" ht="15.75" customHeight="1">
      <c r="A479" s="11">
        <v>476.0</v>
      </c>
      <c r="B479" s="11">
        <v>26.0</v>
      </c>
      <c r="C479" s="11" t="s">
        <v>99</v>
      </c>
      <c r="D479" s="11" t="s">
        <v>1237</v>
      </c>
      <c r="E479" s="11"/>
      <c r="F479" s="11" t="s">
        <v>1238</v>
      </c>
      <c r="G479" s="11" t="s">
        <v>175</v>
      </c>
      <c r="H479" s="11">
        <v>2.0</v>
      </c>
      <c r="I479" s="11">
        <v>4.0</v>
      </c>
      <c r="J479" s="33">
        <v>5.0</v>
      </c>
      <c r="K479" s="33">
        <v>38.0</v>
      </c>
      <c r="L479" s="11"/>
      <c r="M479" s="11"/>
      <c r="N479" s="11">
        <v>8.0</v>
      </c>
      <c r="O479" s="11">
        <v>3.0</v>
      </c>
      <c r="P479" s="11"/>
      <c r="Q479" s="11">
        <v>9.0</v>
      </c>
      <c r="R479" s="11">
        <v>1.0</v>
      </c>
      <c r="S479" s="11">
        <v>1.0</v>
      </c>
      <c r="T479" s="11">
        <v>2.0</v>
      </c>
      <c r="U479" s="11">
        <v>1.0</v>
      </c>
      <c r="V479" s="11">
        <v>4.0</v>
      </c>
      <c r="W479" s="11">
        <v>1.0</v>
      </c>
      <c r="X479" s="11">
        <v>3.0</v>
      </c>
      <c r="Y479" s="11">
        <v>2.0</v>
      </c>
      <c r="Z479" s="11">
        <v>1.0</v>
      </c>
      <c r="AA479" s="11">
        <v>3.0</v>
      </c>
      <c r="AB479" s="11">
        <v>3.0</v>
      </c>
      <c r="AC479" s="11">
        <v>3.0</v>
      </c>
      <c r="AD479" s="11">
        <v>1.0</v>
      </c>
      <c r="AE479" s="11"/>
      <c r="AF479" s="11"/>
    </row>
    <row r="480" ht="15.75" customHeight="1">
      <c r="A480" s="13">
        <v>477.0</v>
      </c>
      <c r="B480" s="13">
        <v>26.0</v>
      </c>
      <c r="C480" s="13" t="s">
        <v>99</v>
      </c>
      <c r="D480" s="13" t="s">
        <v>1239</v>
      </c>
      <c r="E480" s="13" t="s">
        <v>1240</v>
      </c>
      <c r="F480" s="13" t="s">
        <v>1241</v>
      </c>
      <c r="G480" s="13" t="s">
        <v>175</v>
      </c>
      <c r="H480" s="13">
        <v>3.0</v>
      </c>
      <c r="I480" s="13">
        <v>1.0</v>
      </c>
      <c r="J480" s="35">
        <v>8.0</v>
      </c>
      <c r="K480" s="35">
        <v>38.0</v>
      </c>
      <c r="L480" s="13"/>
      <c r="M480" s="13"/>
      <c r="N480" s="13">
        <v>6.0</v>
      </c>
      <c r="O480" s="13">
        <v>3.0</v>
      </c>
      <c r="P480" s="13"/>
      <c r="Q480" s="13">
        <v>6.0</v>
      </c>
      <c r="R480" s="13"/>
      <c r="S480" s="13">
        <v>1.0</v>
      </c>
      <c r="T480" s="13">
        <v>1.0</v>
      </c>
      <c r="U480" s="13">
        <v>1.0</v>
      </c>
      <c r="V480" s="13">
        <v>3.0</v>
      </c>
      <c r="W480" s="13">
        <v>2.0</v>
      </c>
      <c r="X480" s="13">
        <v>2.0</v>
      </c>
      <c r="Y480" s="13">
        <v>2.0</v>
      </c>
      <c r="Z480" s="13">
        <v>1.0</v>
      </c>
      <c r="AA480" s="13">
        <v>3.0</v>
      </c>
      <c r="AB480" s="13">
        <v>3.0</v>
      </c>
      <c r="AC480" s="13">
        <v>3.0</v>
      </c>
      <c r="AD480" s="13"/>
      <c r="AE480" s="13"/>
      <c r="AF480" s="13"/>
    </row>
    <row r="481" ht="15.75" customHeight="1">
      <c r="A481" s="11">
        <v>478.0</v>
      </c>
      <c r="B481" s="11">
        <v>26.0</v>
      </c>
      <c r="C481" s="11" t="s">
        <v>99</v>
      </c>
      <c r="D481" s="11" t="s">
        <v>1242</v>
      </c>
      <c r="E481" s="11"/>
      <c r="F481" s="11" t="s">
        <v>1243</v>
      </c>
      <c r="G481" s="11" t="s">
        <v>175</v>
      </c>
      <c r="H481" s="11">
        <v>3.0</v>
      </c>
      <c r="I481" s="11">
        <v>2.0</v>
      </c>
      <c r="J481" s="33">
        <v>7.0</v>
      </c>
      <c r="K481" s="33">
        <v>38.0</v>
      </c>
      <c r="L481" s="11"/>
      <c r="M481" s="11"/>
      <c r="N481" s="11">
        <v>6.0</v>
      </c>
      <c r="O481" s="11">
        <v>3.0</v>
      </c>
      <c r="P481" s="11"/>
      <c r="Q481" s="11">
        <v>6.0</v>
      </c>
      <c r="R481" s="11"/>
      <c r="S481" s="11">
        <v>1.0</v>
      </c>
      <c r="T481" s="11">
        <v>1.0</v>
      </c>
      <c r="U481" s="11">
        <v>1.0</v>
      </c>
      <c r="V481" s="11">
        <v>3.0</v>
      </c>
      <c r="W481" s="11">
        <v>2.0</v>
      </c>
      <c r="X481" s="11">
        <v>2.0</v>
      </c>
      <c r="Y481" s="11">
        <v>2.0</v>
      </c>
      <c r="Z481" s="11">
        <v>1.0</v>
      </c>
      <c r="AA481" s="11">
        <v>3.0</v>
      </c>
      <c r="AB481" s="11">
        <v>3.0</v>
      </c>
      <c r="AC481" s="11">
        <v>3.0</v>
      </c>
      <c r="AD481" s="11"/>
      <c r="AE481" s="11"/>
      <c r="AF481" s="11"/>
    </row>
    <row r="482" ht="15.75" customHeight="1">
      <c r="A482" s="13">
        <v>479.0</v>
      </c>
      <c r="B482" s="13">
        <v>26.0</v>
      </c>
      <c r="C482" s="13" t="s">
        <v>99</v>
      </c>
      <c r="D482" s="13" t="s">
        <v>1244</v>
      </c>
      <c r="E482" s="13"/>
      <c r="F482" s="13" t="s">
        <v>1245</v>
      </c>
      <c r="G482" s="13" t="s">
        <v>175</v>
      </c>
      <c r="H482" s="13">
        <v>3.0</v>
      </c>
      <c r="I482" s="13">
        <v>3.0</v>
      </c>
      <c r="J482" s="35">
        <v>6.0</v>
      </c>
      <c r="K482" s="35">
        <v>38.0</v>
      </c>
      <c r="L482" s="13"/>
      <c r="M482" s="13"/>
      <c r="N482" s="13">
        <v>10.0</v>
      </c>
      <c r="O482" s="13">
        <v>4.0</v>
      </c>
      <c r="P482" s="13"/>
      <c r="Q482" s="13">
        <v>7.0</v>
      </c>
      <c r="R482" s="13"/>
      <c r="S482" s="13">
        <v>1.0</v>
      </c>
      <c r="T482" s="13">
        <v>1.0</v>
      </c>
      <c r="U482" s="13">
        <v>1.0</v>
      </c>
      <c r="V482" s="13">
        <v>4.0</v>
      </c>
      <c r="W482" s="13">
        <v>2.0</v>
      </c>
      <c r="X482" s="13">
        <v>3.0</v>
      </c>
      <c r="Y482" s="13">
        <v>2.0</v>
      </c>
      <c r="Z482" s="13">
        <v>1.0</v>
      </c>
      <c r="AA482" s="13">
        <v>4.0</v>
      </c>
      <c r="AB482" s="13">
        <v>4.0</v>
      </c>
      <c r="AC482" s="13">
        <v>4.0</v>
      </c>
      <c r="AD482" s="13"/>
      <c r="AE482" s="13"/>
      <c r="AF482" s="13"/>
    </row>
    <row r="483" ht="15.75" customHeight="1">
      <c r="A483" s="11">
        <v>480.0</v>
      </c>
      <c r="B483" s="11">
        <v>26.0</v>
      </c>
      <c r="C483" s="11" t="s">
        <v>99</v>
      </c>
      <c r="D483" s="11" t="s">
        <v>1246</v>
      </c>
      <c r="E483" s="11"/>
      <c r="F483" s="11" t="s">
        <v>1247</v>
      </c>
      <c r="G483" s="11" t="s">
        <v>175</v>
      </c>
      <c r="H483" s="11">
        <v>3.0</v>
      </c>
      <c r="I483" s="11">
        <v>4.0</v>
      </c>
      <c r="J483" s="33">
        <v>5.0</v>
      </c>
      <c r="K483" s="33">
        <v>38.0</v>
      </c>
      <c r="L483" s="11"/>
      <c r="M483" s="11"/>
      <c r="N483" s="11">
        <v>10.0</v>
      </c>
      <c r="O483" s="11">
        <v>4.0</v>
      </c>
      <c r="P483" s="11"/>
      <c r="Q483" s="11">
        <v>7.0</v>
      </c>
      <c r="R483" s="11"/>
      <c r="S483" s="11">
        <v>1.0</v>
      </c>
      <c r="T483" s="11">
        <v>1.0</v>
      </c>
      <c r="U483" s="11">
        <v>1.0</v>
      </c>
      <c r="V483" s="11">
        <v>4.0</v>
      </c>
      <c r="W483" s="11">
        <v>2.0</v>
      </c>
      <c r="X483" s="11">
        <v>3.0</v>
      </c>
      <c r="Y483" s="11">
        <v>2.0</v>
      </c>
      <c r="Z483" s="11">
        <v>1.0</v>
      </c>
      <c r="AA483" s="11">
        <v>4.0</v>
      </c>
      <c r="AB483" s="11">
        <v>4.0</v>
      </c>
      <c r="AC483" s="11">
        <v>4.0</v>
      </c>
      <c r="AD483" s="11"/>
      <c r="AE483" s="11"/>
      <c r="AF483" s="11"/>
    </row>
    <row r="484" ht="15.75" customHeight="1">
      <c r="A484" s="13">
        <v>481.0</v>
      </c>
      <c r="B484" s="13">
        <v>26.0</v>
      </c>
      <c r="C484" s="13" t="s">
        <v>99</v>
      </c>
      <c r="D484" s="13" t="s">
        <v>1248</v>
      </c>
      <c r="E484" s="13" t="s">
        <v>1249</v>
      </c>
      <c r="F484" s="13" t="s">
        <v>1250</v>
      </c>
      <c r="G484" s="13" t="s">
        <v>175</v>
      </c>
      <c r="H484" s="13">
        <v>4.0</v>
      </c>
      <c r="I484" s="13">
        <v>1.0</v>
      </c>
      <c r="J484" s="35">
        <v>8.0</v>
      </c>
      <c r="K484" s="35">
        <v>38.0</v>
      </c>
      <c r="L484" s="13"/>
      <c r="M484" s="13"/>
      <c r="N484" s="13">
        <v>6.0</v>
      </c>
      <c r="O484" s="13">
        <v>2.0</v>
      </c>
      <c r="P484" s="13">
        <v>2.0</v>
      </c>
      <c r="Q484" s="13">
        <v>6.0</v>
      </c>
      <c r="R484" s="13"/>
      <c r="S484" s="13">
        <v>1.0</v>
      </c>
      <c r="T484" s="13">
        <v>2.0</v>
      </c>
      <c r="U484" s="13">
        <v>2.0</v>
      </c>
      <c r="V484" s="13">
        <v>3.0</v>
      </c>
      <c r="W484" s="13">
        <v>1.0</v>
      </c>
      <c r="X484" s="13">
        <v>2.0</v>
      </c>
      <c r="Y484" s="13">
        <v>2.0</v>
      </c>
      <c r="Z484" s="13"/>
      <c r="AA484" s="13">
        <v>2.0</v>
      </c>
      <c r="AB484" s="13">
        <v>4.0</v>
      </c>
      <c r="AC484" s="13">
        <v>1.0</v>
      </c>
      <c r="AD484" s="13"/>
      <c r="AE484" s="13"/>
      <c r="AF484" s="13"/>
    </row>
    <row r="485" ht="15.75" customHeight="1">
      <c r="A485" s="11">
        <v>482.0</v>
      </c>
      <c r="B485" s="11">
        <v>26.0</v>
      </c>
      <c r="C485" s="11" t="s">
        <v>99</v>
      </c>
      <c r="D485" s="11" t="s">
        <v>1251</v>
      </c>
      <c r="E485" s="11"/>
      <c r="F485" s="11" t="s">
        <v>1252</v>
      </c>
      <c r="G485" s="11" t="s">
        <v>175</v>
      </c>
      <c r="H485" s="11">
        <v>4.0</v>
      </c>
      <c r="I485" s="11">
        <v>2.0</v>
      </c>
      <c r="J485" s="33">
        <v>7.0</v>
      </c>
      <c r="K485" s="33">
        <v>38.0</v>
      </c>
      <c r="L485" s="11"/>
      <c r="M485" s="11"/>
      <c r="N485" s="11">
        <v>6.0</v>
      </c>
      <c r="O485" s="11">
        <v>2.0</v>
      </c>
      <c r="P485" s="11">
        <v>2.0</v>
      </c>
      <c r="Q485" s="11">
        <v>6.0</v>
      </c>
      <c r="R485" s="11"/>
      <c r="S485" s="11">
        <v>1.0</v>
      </c>
      <c r="T485" s="11">
        <v>2.0</v>
      </c>
      <c r="U485" s="11">
        <v>2.0</v>
      </c>
      <c r="V485" s="11">
        <v>3.0</v>
      </c>
      <c r="W485" s="11">
        <v>1.0</v>
      </c>
      <c r="X485" s="11">
        <v>2.0</v>
      </c>
      <c r="Y485" s="11">
        <v>2.0</v>
      </c>
      <c r="Z485" s="11"/>
      <c r="AA485" s="11">
        <v>2.0</v>
      </c>
      <c r="AB485" s="11">
        <v>4.0</v>
      </c>
      <c r="AC485" s="11">
        <v>1.0</v>
      </c>
      <c r="AD485" s="11"/>
      <c r="AE485" s="11"/>
      <c r="AF485" s="11"/>
    </row>
    <row r="486" ht="15.75" customHeight="1">
      <c r="A486" s="13">
        <v>483.0</v>
      </c>
      <c r="B486" s="13">
        <v>26.0</v>
      </c>
      <c r="C486" s="13" t="s">
        <v>99</v>
      </c>
      <c r="D486" s="13" t="s">
        <v>1253</v>
      </c>
      <c r="E486" s="13"/>
      <c r="F486" s="13" t="s">
        <v>1254</v>
      </c>
      <c r="G486" s="13" t="s">
        <v>175</v>
      </c>
      <c r="H486" s="13">
        <v>4.0</v>
      </c>
      <c r="I486" s="13">
        <v>3.0</v>
      </c>
      <c r="J486" s="35">
        <v>6.0</v>
      </c>
      <c r="K486" s="35">
        <v>38.0</v>
      </c>
      <c r="L486" s="13"/>
      <c r="M486" s="13"/>
      <c r="N486" s="13">
        <v>8.0</v>
      </c>
      <c r="O486" s="13">
        <v>3.0</v>
      </c>
      <c r="P486" s="13">
        <v>3.0</v>
      </c>
      <c r="Q486" s="13">
        <v>6.0</v>
      </c>
      <c r="R486" s="13"/>
      <c r="S486" s="13">
        <v>1.0</v>
      </c>
      <c r="T486" s="13">
        <v>2.0</v>
      </c>
      <c r="U486" s="13">
        <v>2.0</v>
      </c>
      <c r="V486" s="13">
        <v>4.0</v>
      </c>
      <c r="W486" s="13">
        <v>1.0</v>
      </c>
      <c r="X486" s="13">
        <v>3.0</v>
      </c>
      <c r="Y486" s="13">
        <v>2.0</v>
      </c>
      <c r="Z486" s="13"/>
      <c r="AA486" s="13">
        <v>3.0</v>
      </c>
      <c r="AB486" s="13">
        <v>5.0</v>
      </c>
      <c r="AC486" s="13">
        <v>1.0</v>
      </c>
      <c r="AD486" s="13"/>
      <c r="AE486" s="13"/>
      <c r="AF486" s="13"/>
    </row>
    <row r="487" ht="15.75" customHeight="1">
      <c r="A487" s="11">
        <v>484.0</v>
      </c>
      <c r="B487" s="11">
        <v>26.0</v>
      </c>
      <c r="C487" s="11" t="s">
        <v>99</v>
      </c>
      <c r="D487" s="11" t="s">
        <v>1255</v>
      </c>
      <c r="E487" s="11"/>
      <c r="F487" s="11" t="s">
        <v>1256</v>
      </c>
      <c r="G487" s="11" t="s">
        <v>175</v>
      </c>
      <c r="H487" s="11">
        <v>4.0</v>
      </c>
      <c r="I487" s="11">
        <v>4.0</v>
      </c>
      <c r="J487" s="33">
        <v>5.0</v>
      </c>
      <c r="K487" s="33">
        <v>38.0</v>
      </c>
      <c r="L487" s="11"/>
      <c r="M487" s="11"/>
      <c r="N487" s="11">
        <v>8.0</v>
      </c>
      <c r="O487" s="11">
        <v>3.0</v>
      </c>
      <c r="P487" s="11">
        <v>3.0</v>
      </c>
      <c r="Q487" s="11">
        <v>6.0</v>
      </c>
      <c r="R487" s="11"/>
      <c r="S487" s="11">
        <v>1.0</v>
      </c>
      <c r="T487" s="11">
        <v>2.0</v>
      </c>
      <c r="U487" s="11">
        <v>2.0</v>
      </c>
      <c r="V487" s="11">
        <v>4.0</v>
      </c>
      <c r="W487" s="11">
        <v>1.0</v>
      </c>
      <c r="X487" s="11">
        <v>3.0</v>
      </c>
      <c r="Y487" s="11">
        <v>2.0</v>
      </c>
      <c r="Z487" s="11"/>
      <c r="AA487" s="11">
        <v>3.0</v>
      </c>
      <c r="AB487" s="11">
        <v>5.0</v>
      </c>
      <c r="AC487" s="11">
        <v>1.0</v>
      </c>
      <c r="AD487" s="11"/>
      <c r="AE487" s="11"/>
      <c r="AF487" s="11"/>
    </row>
    <row r="488" ht="15.75" customHeight="1">
      <c r="A488" s="13">
        <v>485.0</v>
      </c>
      <c r="B488" s="13">
        <v>26.0</v>
      </c>
      <c r="C488" s="13" t="s">
        <v>99</v>
      </c>
      <c r="D488" s="13" t="s">
        <v>1257</v>
      </c>
      <c r="E488" s="13"/>
      <c r="F488" s="13" t="s">
        <v>1258</v>
      </c>
      <c r="G488" s="13" t="s">
        <v>74</v>
      </c>
      <c r="H488" s="13">
        <v>5.0</v>
      </c>
      <c r="I488" s="13">
        <v>5.0</v>
      </c>
      <c r="J488" s="35">
        <v>1.0</v>
      </c>
      <c r="K488" s="35">
        <v>192.0</v>
      </c>
      <c r="L488" s="13"/>
      <c r="M488" s="13"/>
      <c r="N488" s="13">
        <v>28.0</v>
      </c>
      <c r="O488" s="13">
        <v>10.0</v>
      </c>
      <c r="P488" s="13">
        <v>5.0</v>
      </c>
      <c r="Q488" s="13">
        <v>32.0</v>
      </c>
      <c r="R488" s="13">
        <v>1.0</v>
      </c>
      <c r="S488" s="13">
        <v>2.0</v>
      </c>
      <c r="T488" s="13">
        <v>3.0</v>
      </c>
      <c r="U488" s="13">
        <v>3.0</v>
      </c>
      <c r="V488" s="13">
        <v>10.0</v>
      </c>
      <c r="W488" s="13">
        <v>6.0</v>
      </c>
      <c r="X488" s="13">
        <v>6.0</v>
      </c>
      <c r="Y488" s="13">
        <v>5.0</v>
      </c>
      <c r="Z488" s="13">
        <v>4.0</v>
      </c>
      <c r="AA488" s="13">
        <v>6.0</v>
      </c>
      <c r="AB488" s="13">
        <v>6.0</v>
      </c>
      <c r="AC488" s="13">
        <v>6.0</v>
      </c>
      <c r="AD488" s="13">
        <v>2.0</v>
      </c>
      <c r="AE488" s="13"/>
      <c r="AF488" s="13"/>
    </row>
    <row r="489" ht="15.75" customHeight="1">
      <c r="A489" s="11">
        <v>486.0</v>
      </c>
      <c r="B489" s="11">
        <v>27.0</v>
      </c>
      <c r="C489" s="11" t="s">
        <v>101</v>
      </c>
      <c r="D489" s="11" t="s">
        <v>1259</v>
      </c>
      <c r="E489" s="11"/>
      <c r="F489" s="11" t="s">
        <v>1260</v>
      </c>
      <c r="G489" s="11" t="s">
        <v>170</v>
      </c>
      <c r="H489" s="11">
        <v>0.0</v>
      </c>
      <c r="I489" s="11">
        <v>0.0</v>
      </c>
      <c r="J489" s="33">
        <v>15.0</v>
      </c>
      <c r="K489" s="33">
        <v>200.0</v>
      </c>
      <c r="L489" s="11"/>
      <c r="M489" s="34" t="s">
        <v>1261</v>
      </c>
      <c r="N489" s="11">
        <v>24.0</v>
      </c>
      <c r="O489" s="11">
        <v>6.0</v>
      </c>
      <c r="P489" s="11">
        <v>4.0</v>
      </c>
      <c r="Q489" s="11">
        <v>24.0</v>
      </c>
      <c r="R489" s="11">
        <v>1.0</v>
      </c>
      <c r="S489" s="11">
        <v>1.0</v>
      </c>
      <c r="T489" s="11">
        <v>2.0</v>
      </c>
      <c r="U489" s="11">
        <v>1.0</v>
      </c>
      <c r="V489" s="11">
        <v>7.0</v>
      </c>
      <c r="W489" s="11">
        <v>5.0</v>
      </c>
      <c r="X489" s="11">
        <v>5.0</v>
      </c>
      <c r="Y489" s="11">
        <v>4.0</v>
      </c>
      <c r="Z489" s="11">
        <v>1.0</v>
      </c>
      <c r="AA489" s="11">
        <v>2.0</v>
      </c>
      <c r="AB489" s="11">
        <v>1.0</v>
      </c>
      <c r="AC489" s="11"/>
      <c r="AD489" s="11">
        <v>2.0</v>
      </c>
      <c r="AE489" s="11">
        <v>4.0</v>
      </c>
      <c r="AF489" s="11"/>
    </row>
    <row r="490" ht="15.75" customHeight="1">
      <c r="A490" s="13">
        <v>487.0</v>
      </c>
      <c r="B490" s="13">
        <v>27.0</v>
      </c>
      <c r="C490" s="13" t="s">
        <v>101</v>
      </c>
      <c r="D490" s="13" t="s">
        <v>1262</v>
      </c>
      <c r="E490" s="13" t="s">
        <v>1263</v>
      </c>
      <c r="F490" s="13" t="s">
        <v>1264</v>
      </c>
      <c r="G490" s="13" t="s">
        <v>175</v>
      </c>
      <c r="H490" s="13">
        <v>1.0</v>
      </c>
      <c r="I490" s="13">
        <v>1.0</v>
      </c>
      <c r="J490" s="35">
        <v>8.0</v>
      </c>
      <c r="K490" s="35">
        <v>38.0</v>
      </c>
      <c r="L490" s="13"/>
      <c r="M490" s="13"/>
      <c r="N490" s="13">
        <v>6.0</v>
      </c>
      <c r="O490" s="13">
        <v>2.0</v>
      </c>
      <c r="P490" s="13"/>
      <c r="Q490" s="13">
        <v>8.0</v>
      </c>
      <c r="R490" s="13"/>
      <c r="S490" s="13"/>
      <c r="T490" s="13">
        <v>1.0</v>
      </c>
      <c r="U490" s="13">
        <v>1.0</v>
      </c>
      <c r="V490" s="13">
        <v>4.0</v>
      </c>
      <c r="W490" s="13">
        <v>1.0</v>
      </c>
      <c r="X490" s="13">
        <v>3.0</v>
      </c>
      <c r="Y490" s="13">
        <v>1.0</v>
      </c>
      <c r="Z490" s="13"/>
      <c r="AA490" s="13">
        <v>1.0</v>
      </c>
      <c r="AB490" s="13">
        <v>1.0</v>
      </c>
      <c r="AC490" s="13"/>
      <c r="AD490" s="13">
        <v>1.0</v>
      </c>
      <c r="AE490" s="13">
        <v>2.0</v>
      </c>
      <c r="AF490" s="13"/>
    </row>
    <row r="491" ht="15.75" customHeight="1">
      <c r="A491" s="11">
        <v>488.0</v>
      </c>
      <c r="B491" s="11">
        <v>27.0</v>
      </c>
      <c r="C491" s="11" t="s">
        <v>101</v>
      </c>
      <c r="D491" s="11" t="s">
        <v>1265</v>
      </c>
      <c r="E491" s="11"/>
      <c r="F491" s="11" t="s">
        <v>1266</v>
      </c>
      <c r="G491" s="11" t="s">
        <v>175</v>
      </c>
      <c r="H491" s="11">
        <v>1.0</v>
      </c>
      <c r="I491" s="11">
        <v>2.0</v>
      </c>
      <c r="J491" s="33">
        <v>7.0</v>
      </c>
      <c r="K491" s="33">
        <v>38.0</v>
      </c>
      <c r="L491" s="11"/>
      <c r="M491" s="11"/>
      <c r="N491" s="11">
        <v>6.0</v>
      </c>
      <c r="O491" s="11">
        <v>2.0</v>
      </c>
      <c r="P491" s="11"/>
      <c r="Q491" s="11">
        <v>8.0</v>
      </c>
      <c r="R491" s="11"/>
      <c r="S491" s="11"/>
      <c r="T491" s="11">
        <v>1.0</v>
      </c>
      <c r="U491" s="11">
        <v>1.0</v>
      </c>
      <c r="V491" s="11">
        <v>4.0</v>
      </c>
      <c r="W491" s="11">
        <v>1.0</v>
      </c>
      <c r="X491" s="11">
        <v>3.0</v>
      </c>
      <c r="Y491" s="11">
        <v>1.0</v>
      </c>
      <c r="Z491" s="11"/>
      <c r="AA491" s="11">
        <v>1.0</v>
      </c>
      <c r="AB491" s="11">
        <v>1.0</v>
      </c>
      <c r="AC491" s="11"/>
      <c r="AD491" s="11">
        <v>1.0</v>
      </c>
      <c r="AE491" s="11">
        <v>2.0</v>
      </c>
      <c r="AF491" s="11"/>
    </row>
    <row r="492" ht="15.75" customHeight="1">
      <c r="A492" s="13">
        <v>489.0</v>
      </c>
      <c r="B492" s="13">
        <v>27.0</v>
      </c>
      <c r="C492" s="13" t="s">
        <v>101</v>
      </c>
      <c r="D492" s="13" t="s">
        <v>1267</v>
      </c>
      <c r="E492" s="13"/>
      <c r="F492" s="13" t="s">
        <v>1268</v>
      </c>
      <c r="G492" s="13" t="s">
        <v>175</v>
      </c>
      <c r="H492" s="13">
        <v>1.0</v>
      </c>
      <c r="I492" s="13">
        <v>3.0</v>
      </c>
      <c r="J492" s="35">
        <v>6.0</v>
      </c>
      <c r="K492" s="35">
        <v>38.0</v>
      </c>
      <c r="L492" s="13"/>
      <c r="M492" s="13"/>
      <c r="N492" s="13">
        <v>10.0</v>
      </c>
      <c r="O492" s="13">
        <v>3.0</v>
      </c>
      <c r="P492" s="13"/>
      <c r="Q492" s="13">
        <v>9.0</v>
      </c>
      <c r="R492" s="13"/>
      <c r="S492" s="13"/>
      <c r="T492" s="13">
        <v>1.0</v>
      </c>
      <c r="U492" s="13">
        <v>1.0</v>
      </c>
      <c r="V492" s="13">
        <v>5.0</v>
      </c>
      <c r="W492" s="13">
        <v>1.0</v>
      </c>
      <c r="X492" s="13">
        <v>4.0</v>
      </c>
      <c r="Y492" s="13">
        <v>1.0</v>
      </c>
      <c r="Z492" s="13"/>
      <c r="AA492" s="13">
        <v>1.0</v>
      </c>
      <c r="AB492" s="13">
        <v>2.0</v>
      </c>
      <c r="AC492" s="13"/>
      <c r="AD492" s="13">
        <v>1.0</v>
      </c>
      <c r="AE492" s="13">
        <v>3.0</v>
      </c>
      <c r="AF492" s="13"/>
    </row>
    <row r="493" ht="15.75" customHeight="1">
      <c r="A493" s="11">
        <v>490.0</v>
      </c>
      <c r="B493" s="11">
        <v>27.0</v>
      </c>
      <c r="C493" s="11" t="s">
        <v>101</v>
      </c>
      <c r="D493" s="11" t="s">
        <v>1269</v>
      </c>
      <c r="E493" s="11"/>
      <c r="F493" s="11" t="s">
        <v>1270</v>
      </c>
      <c r="G493" s="11" t="s">
        <v>175</v>
      </c>
      <c r="H493" s="11">
        <v>1.0</v>
      </c>
      <c r="I493" s="11">
        <v>4.0</v>
      </c>
      <c r="J493" s="33">
        <v>5.0</v>
      </c>
      <c r="K493" s="33">
        <v>38.0</v>
      </c>
      <c r="L493" s="11"/>
      <c r="M493" s="11"/>
      <c r="N493" s="11">
        <v>10.0</v>
      </c>
      <c r="O493" s="11">
        <v>3.0</v>
      </c>
      <c r="P493" s="11"/>
      <c r="Q493" s="11">
        <v>9.0</v>
      </c>
      <c r="R493" s="11"/>
      <c r="S493" s="11"/>
      <c r="T493" s="11">
        <v>1.0</v>
      </c>
      <c r="U493" s="11">
        <v>1.0</v>
      </c>
      <c r="V493" s="11">
        <v>5.0</v>
      </c>
      <c r="W493" s="11">
        <v>1.0</v>
      </c>
      <c r="X493" s="11">
        <v>4.0</v>
      </c>
      <c r="Y493" s="11">
        <v>1.0</v>
      </c>
      <c r="Z493" s="11"/>
      <c r="AA493" s="11">
        <v>1.0</v>
      </c>
      <c r="AB493" s="11">
        <v>2.0</v>
      </c>
      <c r="AC493" s="11"/>
      <c r="AD493" s="11">
        <v>1.0</v>
      </c>
      <c r="AE493" s="11">
        <v>3.0</v>
      </c>
      <c r="AF493" s="11"/>
    </row>
    <row r="494" ht="15.75" customHeight="1">
      <c r="A494" s="13">
        <v>491.0</v>
      </c>
      <c r="B494" s="13">
        <v>27.0</v>
      </c>
      <c r="C494" s="13" t="s">
        <v>101</v>
      </c>
      <c r="D494" s="13" t="s">
        <v>1271</v>
      </c>
      <c r="E494" s="13" t="s">
        <v>1272</v>
      </c>
      <c r="F494" s="13" t="s">
        <v>1273</v>
      </c>
      <c r="G494" s="13" t="s">
        <v>175</v>
      </c>
      <c r="H494" s="13">
        <v>2.0</v>
      </c>
      <c r="I494" s="13">
        <v>1.0</v>
      </c>
      <c r="J494" s="35">
        <v>8.0</v>
      </c>
      <c r="K494" s="35">
        <v>38.0</v>
      </c>
      <c r="L494" s="13"/>
      <c r="M494" s="13"/>
      <c r="N494" s="13">
        <v>5.0</v>
      </c>
      <c r="O494" s="13">
        <v>2.0</v>
      </c>
      <c r="P494" s="13"/>
      <c r="Q494" s="13">
        <v>8.0</v>
      </c>
      <c r="R494" s="13">
        <v>1.0</v>
      </c>
      <c r="S494" s="13"/>
      <c r="T494" s="13">
        <v>1.0</v>
      </c>
      <c r="U494" s="13">
        <v>1.0</v>
      </c>
      <c r="V494" s="13">
        <v>3.0</v>
      </c>
      <c r="W494" s="13">
        <v>1.0</v>
      </c>
      <c r="X494" s="13">
        <v>2.0</v>
      </c>
      <c r="Y494" s="13">
        <v>2.0</v>
      </c>
      <c r="Z494" s="13"/>
      <c r="AA494" s="13">
        <v>1.0</v>
      </c>
      <c r="AB494" s="13">
        <v>1.0</v>
      </c>
      <c r="AC494" s="13"/>
      <c r="AD494" s="13">
        <v>1.0</v>
      </c>
      <c r="AE494" s="13">
        <v>2.0</v>
      </c>
      <c r="AF494" s="13"/>
    </row>
    <row r="495" ht="15.75" customHeight="1">
      <c r="A495" s="11">
        <v>492.0</v>
      </c>
      <c r="B495" s="11">
        <v>27.0</v>
      </c>
      <c r="C495" s="11" t="s">
        <v>101</v>
      </c>
      <c r="D495" s="11" t="s">
        <v>1274</v>
      </c>
      <c r="E495" s="11"/>
      <c r="F495" s="11" t="s">
        <v>1275</v>
      </c>
      <c r="G495" s="11" t="s">
        <v>175</v>
      </c>
      <c r="H495" s="11">
        <v>2.0</v>
      </c>
      <c r="I495" s="11">
        <v>2.0</v>
      </c>
      <c r="J495" s="33">
        <v>7.0</v>
      </c>
      <c r="K495" s="33">
        <v>38.0</v>
      </c>
      <c r="L495" s="11"/>
      <c r="M495" s="11"/>
      <c r="N495" s="11">
        <v>5.0</v>
      </c>
      <c r="O495" s="11">
        <v>2.0</v>
      </c>
      <c r="P495" s="11"/>
      <c r="Q495" s="11">
        <v>8.0</v>
      </c>
      <c r="R495" s="11">
        <v>1.0</v>
      </c>
      <c r="S495" s="11"/>
      <c r="T495" s="11">
        <v>1.0</v>
      </c>
      <c r="U495" s="11">
        <v>1.0</v>
      </c>
      <c r="V495" s="11">
        <v>3.0</v>
      </c>
      <c r="W495" s="11">
        <v>1.0</v>
      </c>
      <c r="X495" s="11">
        <v>2.0</v>
      </c>
      <c r="Y495" s="11">
        <v>2.0</v>
      </c>
      <c r="Z495" s="11"/>
      <c r="AA495" s="11">
        <v>1.0</v>
      </c>
      <c r="AB495" s="11">
        <v>1.0</v>
      </c>
      <c r="AC495" s="11"/>
      <c r="AD495" s="11">
        <v>1.0</v>
      </c>
      <c r="AE495" s="11">
        <v>2.0</v>
      </c>
      <c r="AF495" s="11"/>
    </row>
    <row r="496" ht="15.75" customHeight="1">
      <c r="A496" s="13">
        <v>493.0</v>
      </c>
      <c r="B496" s="13">
        <v>27.0</v>
      </c>
      <c r="C496" s="13" t="s">
        <v>101</v>
      </c>
      <c r="D496" s="13" t="s">
        <v>1276</v>
      </c>
      <c r="E496" s="13"/>
      <c r="F496" s="13" t="s">
        <v>1277</v>
      </c>
      <c r="G496" s="13" t="s">
        <v>175</v>
      </c>
      <c r="H496" s="13">
        <v>2.0</v>
      </c>
      <c r="I496" s="13">
        <v>3.0</v>
      </c>
      <c r="J496" s="35">
        <v>6.0</v>
      </c>
      <c r="K496" s="35">
        <v>38.0</v>
      </c>
      <c r="L496" s="13"/>
      <c r="M496" s="13"/>
      <c r="N496" s="13">
        <v>8.0</v>
      </c>
      <c r="O496" s="13">
        <v>3.0</v>
      </c>
      <c r="P496" s="13"/>
      <c r="Q496" s="13">
        <v>9.0</v>
      </c>
      <c r="R496" s="13">
        <v>1.0</v>
      </c>
      <c r="S496" s="13"/>
      <c r="T496" s="13">
        <v>1.0</v>
      </c>
      <c r="U496" s="13">
        <v>1.0</v>
      </c>
      <c r="V496" s="13">
        <v>4.0</v>
      </c>
      <c r="W496" s="13">
        <v>1.0</v>
      </c>
      <c r="X496" s="13">
        <v>3.0</v>
      </c>
      <c r="Y496" s="13">
        <v>2.0</v>
      </c>
      <c r="Z496" s="13"/>
      <c r="AA496" s="13">
        <v>1.0</v>
      </c>
      <c r="AB496" s="13">
        <v>2.0</v>
      </c>
      <c r="AC496" s="13"/>
      <c r="AD496" s="13">
        <v>1.0</v>
      </c>
      <c r="AE496" s="13">
        <v>3.0</v>
      </c>
      <c r="AF496" s="13"/>
    </row>
    <row r="497" ht="15.75" customHeight="1">
      <c r="A497" s="11">
        <v>494.0</v>
      </c>
      <c r="B497" s="11">
        <v>27.0</v>
      </c>
      <c r="C497" s="11" t="s">
        <v>101</v>
      </c>
      <c r="D497" s="11" t="s">
        <v>1278</v>
      </c>
      <c r="E497" s="11"/>
      <c r="F497" s="11" t="s">
        <v>1279</v>
      </c>
      <c r="G497" s="11" t="s">
        <v>175</v>
      </c>
      <c r="H497" s="11">
        <v>2.0</v>
      </c>
      <c r="I497" s="11">
        <v>4.0</v>
      </c>
      <c r="J497" s="33">
        <v>5.0</v>
      </c>
      <c r="K497" s="33">
        <v>38.0</v>
      </c>
      <c r="L497" s="11"/>
      <c r="M497" s="11"/>
      <c r="N497" s="11">
        <v>8.0</v>
      </c>
      <c r="O497" s="11">
        <v>3.0</v>
      </c>
      <c r="P497" s="11"/>
      <c r="Q497" s="11">
        <v>9.0</v>
      </c>
      <c r="R497" s="11">
        <v>1.0</v>
      </c>
      <c r="S497" s="11"/>
      <c r="T497" s="11">
        <v>1.0</v>
      </c>
      <c r="U497" s="11">
        <v>1.0</v>
      </c>
      <c r="V497" s="11">
        <v>4.0</v>
      </c>
      <c r="W497" s="11">
        <v>1.0</v>
      </c>
      <c r="X497" s="11">
        <v>3.0</v>
      </c>
      <c r="Y497" s="11">
        <v>2.0</v>
      </c>
      <c r="Z497" s="11"/>
      <c r="AA497" s="11">
        <v>1.0</v>
      </c>
      <c r="AB497" s="11">
        <v>2.0</v>
      </c>
      <c r="AC497" s="11"/>
      <c r="AD497" s="11">
        <v>1.0</v>
      </c>
      <c r="AE497" s="11">
        <v>3.0</v>
      </c>
      <c r="AF497" s="11"/>
    </row>
    <row r="498" ht="15.75" customHeight="1">
      <c r="A498" s="13">
        <v>495.0</v>
      </c>
      <c r="B498" s="13">
        <v>27.0</v>
      </c>
      <c r="C498" s="13" t="s">
        <v>101</v>
      </c>
      <c r="D498" s="13" t="s">
        <v>1280</v>
      </c>
      <c r="E498" s="13" t="s">
        <v>1281</v>
      </c>
      <c r="F498" s="13" t="s">
        <v>1282</v>
      </c>
      <c r="G498" s="13" t="s">
        <v>175</v>
      </c>
      <c r="H498" s="13">
        <v>3.0</v>
      </c>
      <c r="I498" s="13">
        <v>1.0</v>
      </c>
      <c r="J498" s="35">
        <v>8.0</v>
      </c>
      <c r="K498" s="35">
        <v>38.0</v>
      </c>
      <c r="L498" s="13"/>
      <c r="M498" s="13"/>
      <c r="N498" s="13">
        <v>6.0</v>
      </c>
      <c r="O498" s="13">
        <v>3.0</v>
      </c>
      <c r="P498" s="13"/>
      <c r="Q498" s="13">
        <v>6.0</v>
      </c>
      <c r="R498" s="13"/>
      <c r="S498" s="13">
        <v>1.0</v>
      </c>
      <c r="T498" s="13">
        <v>1.0</v>
      </c>
      <c r="U498" s="13">
        <v>1.0</v>
      </c>
      <c r="V498" s="13">
        <v>3.0</v>
      </c>
      <c r="W498" s="13">
        <v>2.0</v>
      </c>
      <c r="X498" s="13">
        <v>2.0</v>
      </c>
      <c r="Y498" s="13">
        <v>2.0</v>
      </c>
      <c r="Z498" s="13"/>
      <c r="AA498" s="13">
        <v>1.0</v>
      </c>
      <c r="AB498" s="13">
        <v>1.0</v>
      </c>
      <c r="AC498" s="13"/>
      <c r="AD498" s="13"/>
      <c r="AE498" s="13">
        <v>3.0</v>
      </c>
      <c r="AF498" s="13"/>
    </row>
    <row r="499" ht="15.75" customHeight="1">
      <c r="A499" s="11">
        <v>496.0</v>
      </c>
      <c r="B499" s="11">
        <v>27.0</v>
      </c>
      <c r="C499" s="11" t="s">
        <v>101</v>
      </c>
      <c r="D499" s="11" t="s">
        <v>1283</v>
      </c>
      <c r="E499" s="11"/>
      <c r="F499" s="11" t="s">
        <v>1284</v>
      </c>
      <c r="G499" s="11" t="s">
        <v>175</v>
      </c>
      <c r="H499" s="11">
        <v>3.0</v>
      </c>
      <c r="I499" s="11">
        <v>2.0</v>
      </c>
      <c r="J499" s="33">
        <v>7.0</v>
      </c>
      <c r="K499" s="33">
        <v>38.0</v>
      </c>
      <c r="L499" s="11"/>
      <c r="M499" s="11"/>
      <c r="N499" s="11">
        <v>6.0</v>
      </c>
      <c r="O499" s="11">
        <v>3.0</v>
      </c>
      <c r="P499" s="11"/>
      <c r="Q499" s="11">
        <v>6.0</v>
      </c>
      <c r="R499" s="11"/>
      <c r="S499" s="11">
        <v>1.0</v>
      </c>
      <c r="T499" s="11">
        <v>1.0</v>
      </c>
      <c r="U499" s="11">
        <v>1.0</v>
      </c>
      <c r="V499" s="11">
        <v>3.0</v>
      </c>
      <c r="W499" s="11">
        <v>2.0</v>
      </c>
      <c r="X499" s="11">
        <v>2.0</v>
      </c>
      <c r="Y499" s="11">
        <v>2.0</v>
      </c>
      <c r="Z499" s="11"/>
      <c r="AA499" s="11">
        <v>1.0</v>
      </c>
      <c r="AB499" s="11">
        <v>1.0</v>
      </c>
      <c r="AC499" s="11"/>
      <c r="AD499" s="11"/>
      <c r="AE499" s="11">
        <v>3.0</v>
      </c>
      <c r="AF499" s="11"/>
    </row>
    <row r="500" ht="15.75" customHeight="1">
      <c r="A500" s="13">
        <v>497.0</v>
      </c>
      <c r="B500" s="13">
        <v>27.0</v>
      </c>
      <c r="C500" s="13" t="s">
        <v>101</v>
      </c>
      <c r="D500" s="13" t="s">
        <v>1285</v>
      </c>
      <c r="E500" s="13"/>
      <c r="F500" s="13" t="s">
        <v>1286</v>
      </c>
      <c r="G500" s="13" t="s">
        <v>175</v>
      </c>
      <c r="H500" s="13">
        <v>3.0</v>
      </c>
      <c r="I500" s="13">
        <v>3.0</v>
      </c>
      <c r="J500" s="35">
        <v>6.0</v>
      </c>
      <c r="K500" s="35">
        <v>38.0</v>
      </c>
      <c r="L500" s="13"/>
      <c r="M500" s="13"/>
      <c r="N500" s="13">
        <v>10.0</v>
      </c>
      <c r="O500" s="13">
        <v>4.0</v>
      </c>
      <c r="P500" s="13"/>
      <c r="Q500" s="13">
        <v>7.0</v>
      </c>
      <c r="R500" s="13"/>
      <c r="S500" s="13">
        <v>1.0</v>
      </c>
      <c r="T500" s="13">
        <v>1.0</v>
      </c>
      <c r="U500" s="13">
        <v>1.0</v>
      </c>
      <c r="V500" s="13">
        <v>4.0</v>
      </c>
      <c r="W500" s="13">
        <v>2.0</v>
      </c>
      <c r="X500" s="13">
        <v>3.0</v>
      </c>
      <c r="Y500" s="13">
        <v>2.0</v>
      </c>
      <c r="Z500" s="13"/>
      <c r="AA500" s="13">
        <v>1.0</v>
      </c>
      <c r="AB500" s="13">
        <v>1.0</v>
      </c>
      <c r="AC500" s="13"/>
      <c r="AD500" s="13">
        <v>1.0</v>
      </c>
      <c r="AE500" s="13">
        <v>4.0</v>
      </c>
      <c r="AF500" s="13"/>
    </row>
    <row r="501" ht="15.75" customHeight="1">
      <c r="A501" s="11">
        <v>498.0</v>
      </c>
      <c r="B501" s="11">
        <v>27.0</v>
      </c>
      <c r="C501" s="11" t="s">
        <v>101</v>
      </c>
      <c r="D501" s="11" t="s">
        <v>1287</v>
      </c>
      <c r="E501" s="11"/>
      <c r="F501" s="11" t="s">
        <v>1288</v>
      </c>
      <c r="G501" s="11" t="s">
        <v>175</v>
      </c>
      <c r="H501" s="11">
        <v>3.0</v>
      </c>
      <c r="I501" s="11">
        <v>4.0</v>
      </c>
      <c r="J501" s="33">
        <v>5.0</v>
      </c>
      <c r="K501" s="33">
        <v>38.0</v>
      </c>
      <c r="L501" s="11"/>
      <c r="M501" s="11"/>
      <c r="N501" s="11">
        <v>10.0</v>
      </c>
      <c r="O501" s="11">
        <v>4.0</v>
      </c>
      <c r="P501" s="11"/>
      <c r="Q501" s="11">
        <v>7.0</v>
      </c>
      <c r="R501" s="11"/>
      <c r="S501" s="11">
        <v>1.0</v>
      </c>
      <c r="T501" s="11">
        <v>1.0</v>
      </c>
      <c r="U501" s="11">
        <v>1.0</v>
      </c>
      <c r="V501" s="11">
        <v>4.0</v>
      </c>
      <c r="W501" s="11">
        <v>2.0</v>
      </c>
      <c r="X501" s="11">
        <v>3.0</v>
      </c>
      <c r="Y501" s="11">
        <v>2.0</v>
      </c>
      <c r="Z501" s="11"/>
      <c r="AA501" s="11">
        <v>1.0</v>
      </c>
      <c r="AB501" s="11">
        <v>1.0</v>
      </c>
      <c r="AC501" s="11"/>
      <c r="AD501" s="11">
        <v>1.0</v>
      </c>
      <c r="AE501" s="11">
        <v>4.0</v>
      </c>
      <c r="AF501" s="11"/>
    </row>
    <row r="502" ht="15.75" customHeight="1">
      <c r="A502" s="13">
        <v>499.0</v>
      </c>
      <c r="B502" s="13">
        <v>27.0</v>
      </c>
      <c r="C502" s="13" t="s">
        <v>101</v>
      </c>
      <c r="D502" s="13" t="s">
        <v>1289</v>
      </c>
      <c r="E502" s="13" t="s">
        <v>1290</v>
      </c>
      <c r="F502" s="13" t="s">
        <v>1291</v>
      </c>
      <c r="G502" s="13" t="s">
        <v>175</v>
      </c>
      <c r="H502" s="13">
        <v>4.0</v>
      </c>
      <c r="I502" s="13">
        <v>1.0</v>
      </c>
      <c r="J502" s="35">
        <v>8.0</v>
      </c>
      <c r="K502" s="35">
        <v>38.0</v>
      </c>
      <c r="L502" s="13"/>
      <c r="M502" s="13"/>
      <c r="N502" s="13">
        <v>6.0</v>
      </c>
      <c r="O502" s="13">
        <v>3.0</v>
      </c>
      <c r="P502" s="13">
        <v>2.0</v>
      </c>
      <c r="Q502" s="13">
        <v>6.0</v>
      </c>
      <c r="R502" s="13">
        <v>1.0</v>
      </c>
      <c r="S502" s="13">
        <v>1.0</v>
      </c>
      <c r="T502" s="13">
        <v>2.0</v>
      </c>
      <c r="U502" s="13">
        <v>1.0</v>
      </c>
      <c r="V502" s="13">
        <v>2.0</v>
      </c>
      <c r="W502" s="13">
        <v>2.0</v>
      </c>
      <c r="X502" s="13">
        <v>2.0</v>
      </c>
      <c r="Y502" s="13">
        <v>2.0</v>
      </c>
      <c r="Z502" s="13"/>
      <c r="AA502" s="13">
        <v>1.0</v>
      </c>
      <c r="AB502" s="13">
        <v>1.0</v>
      </c>
      <c r="AC502" s="13"/>
      <c r="AD502" s="13"/>
      <c r="AE502" s="13">
        <v>2.0</v>
      </c>
      <c r="AF502" s="13"/>
    </row>
    <row r="503" ht="15.75" customHeight="1">
      <c r="A503" s="11">
        <v>500.0</v>
      </c>
      <c r="B503" s="11">
        <v>27.0</v>
      </c>
      <c r="C503" s="11" t="s">
        <v>101</v>
      </c>
      <c r="D503" s="11" t="s">
        <v>1292</v>
      </c>
      <c r="E503" s="11"/>
      <c r="F503" s="11" t="s">
        <v>1293</v>
      </c>
      <c r="G503" s="11" t="s">
        <v>175</v>
      </c>
      <c r="H503" s="11">
        <v>4.0</v>
      </c>
      <c r="I503" s="11">
        <v>2.0</v>
      </c>
      <c r="J503" s="33">
        <v>7.0</v>
      </c>
      <c r="K503" s="33">
        <v>38.0</v>
      </c>
      <c r="L503" s="11"/>
      <c r="M503" s="11"/>
      <c r="N503" s="11">
        <v>6.0</v>
      </c>
      <c r="O503" s="11">
        <v>3.0</v>
      </c>
      <c r="P503" s="11">
        <v>2.0</v>
      </c>
      <c r="Q503" s="11">
        <v>6.0</v>
      </c>
      <c r="R503" s="11">
        <v>1.0</v>
      </c>
      <c r="S503" s="11">
        <v>1.0</v>
      </c>
      <c r="T503" s="11">
        <v>2.0</v>
      </c>
      <c r="U503" s="11">
        <v>1.0</v>
      </c>
      <c r="V503" s="11">
        <v>2.0</v>
      </c>
      <c r="W503" s="11">
        <v>2.0</v>
      </c>
      <c r="X503" s="11">
        <v>2.0</v>
      </c>
      <c r="Y503" s="11">
        <v>2.0</v>
      </c>
      <c r="Z503" s="11"/>
      <c r="AA503" s="11">
        <v>1.0</v>
      </c>
      <c r="AB503" s="11">
        <v>1.0</v>
      </c>
      <c r="AC503" s="11"/>
      <c r="AD503" s="11"/>
      <c r="AE503" s="11">
        <v>2.0</v>
      </c>
      <c r="AF503" s="11"/>
    </row>
    <row r="504" ht="15.75" customHeight="1">
      <c r="A504" s="13">
        <v>501.0</v>
      </c>
      <c r="B504" s="13">
        <v>27.0</v>
      </c>
      <c r="C504" s="13" t="s">
        <v>101</v>
      </c>
      <c r="D504" s="13" t="s">
        <v>1294</v>
      </c>
      <c r="E504" s="13"/>
      <c r="F504" s="13" t="s">
        <v>1295</v>
      </c>
      <c r="G504" s="13" t="s">
        <v>175</v>
      </c>
      <c r="H504" s="13">
        <v>4.0</v>
      </c>
      <c r="I504" s="13">
        <v>3.0</v>
      </c>
      <c r="J504" s="35">
        <v>6.0</v>
      </c>
      <c r="K504" s="35">
        <v>38.0</v>
      </c>
      <c r="L504" s="13"/>
      <c r="M504" s="13"/>
      <c r="N504" s="13">
        <v>10.0</v>
      </c>
      <c r="O504" s="13">
        <v>4.0</v>
      </c>
      <c r="P504" s="13">
        <v>3.0</v>
      </c>
      <c r="Q504" s="13">
        <v>6.0</v>
      </c>
      <c r="R504" s="13">
        <v>1.0</v>
      </c>
      <c r="S504" s="13">
        <v>1.0</v>
      </c>
      <c r="T504" s="13">
        <v>2.0</v>
      </c>
      <c r="U504" s="13">
        <v>1.0</v>
      </c>
      <c r="V504" s="13">
        <v>3.0</v>
      </c>
      <c r="W504" s="13">
        <v>2.0</v>
      </c>
      <c r="X504" s="13">
        <v>2.0</v>
      </c>
      <c r="Y504" s="13">
        <v>2.0</v>
      </c>
      <c r="Z504" s="13"/>
      <c r="AA504" s="13">
        <v>1.0</v>
      </c>
      <c r="AB504" s="13">
        <v>1.0</v>
      </c>
      <c r="AC504" s="13"/>
      <c r="AD504" s="13">
        <v>1.0</v>
      </c>
      <c r="AE504" s="13">
        <v>3.0</v>
      </c>
      <c r="AF504" s="13"/>
    </row>
    <row r="505" ht="15.75" customHeight="1">
      <c r="A505" s="11">
        <v>502.0</v>
      </c>
      <c r="B505" s="11">
        <v>27.0</v>
      </c>
      <c r="C505" s="11" t="s">
        <v>101</v>
      </c>
      <c r="D505" s="11" t="s">
        <v>1296</v>
      </c>
      <c r="E505" s="11"/>
      <c r="F505" s="11" t="s">
        <v>1297</v>
      </c>
      <c r="G505" s="11" t="s">
        <v>175</v>
      </c>
      <c r="H505" s="11">
        <v>4.0</v>
      </c>
      <c r="I505" s="11">
        <v>4.0</v>
      </c>
      <c r="J505" s="33">
        <v>5.0</v>
      </c>
      <c r="K505" s="33">
        <v>38.0</v>
      </c>
      <c r="L505" s="11"/>
      <c r="M505" s="11"/>
      <c r="N505" s="11">
        <v>10.0</v>
      </c>
      <c r="O505" s="11">
        <v>4.0</v>
      </c>
      <c r="P505" s="11">
        <v>3.0</v>
      </c>
      <c r="Q505" s="11">
        <v>6.0</v>
      </c>
      <c r="R505" s="11">
        <v>1.0</v>
      </c>
      <c r="S505" s="11">
        <v>1.0</v>
      </c>
      <c r="T505" s="11">
        <v>2.0</v>
      </c>
      <c r="U505" s="11">
        <v>1.0</v>
      </c>
      <c r="V505" s="11">
        <v>3.0</v>
      </c>
      <c r="W505" s="11">
        <v>2.0</v>
      </c>
      <c r="X505" s="11">
        <v>2.0</v>
      </c>
      <c r="Y505" s="11">
        <v>2.0</v>
      </c>
      <c r="Z505" s="11"/>
      <c r="AA505" s="11">
        <v>1.0</v>
      </c>
      <c r="AB505" s="11">
        <v>1.0</v>
      </c>
      <c r="AC505" s="11"/>
      <c r="AD505" s="11">
        <v>1.0</v>
      </c>
      <c r="AE505" s="11">
        <v>3.0</v>
      </c>
      <c r="AF505" s="11"/>
    </row>
    <row r="506" ht="15.75" customHeight="1">
      <c r="A506" s="13">
        <v>503.0</v>
      </c>
      <c r="B506" s="13">
        <v>27.0</v>
      </c>
      <c r="C506" s="13" t="s">
        <v>101</v>
      </c>
      <c r="D506" s="13" t="s">
        <v>1298</v>
      </c>
      <c r="E506" s="13"/>
      <c r="F506" s="13" t="s">
        <v>1299</v>
      </c>
      <c r="G506" s="13" t="s">
        <v>74</v>
      </c>
      <c r="H506" s="13">
        <v>5.0</v>
      </c>
      <c r="I506" s="13">
        <v>5.0</v>
      </c>
      <c r="J506" s="35">
        <v>1.0</v>
      </c>
      <c r="K506" s="35">
        <v>192.0</v>
      </c>
      <c r="L506" s="13"/>
      <c r="M506" s="13"/>
      <c r="N506" s="13">
        <v>32.0</v>
      </c>
      <c r="O506" s="13">
        <v>8.0</v>
      </c>
      <c r="P506" s="13">
        <v>4.0</v>
      </c>
      <c r="Q506" s="13">
        <v>30.0</v>
      </c>
      <c r="R506" s="13">
        <v>2.0</v>
      </c>
      <c r="S506" s="13">
        <v>2.0</v>
      </c>
      <c r="T506" s="13">
        <v>3.0</v>
      </c>
      <c r="U506" s="13">
        <v>2.0</v>
      </c>
      <c r="V506" s="13">
        <v>10.0</v>
      </c>
      <c r="W506" s="13">
        <v>6.0</v>
      </c>
      <c r="X506" s="13">
        <v>6.0</v>
      </c>
      <c r="Y506" s="13">
        <v>5.0</v>
      </c>
      <c r="Z506" s="13">
        <v>1.0</v>
      </c>
      <c r="AA506" s="13">
        <v>2.0</v>
      </c>
      <c r="AB506" s="13">
        <v>2.0</v>
      </c>
      <c r="AC506" s="13">
        <v>1.0</v>
      </c>
      <c r="AD506" s="13">
        <v>3.0</v>
      </c>
      <c r="AE506" s="13">
        <v>6.0</v>
      </c>
      <c r="AF506" s="13"/>
    </row>
    <row r="507" ht="15.75" customHeight="1">
      <c r="A507" s="11">
        <v>504.0</v>
      </c>
      <c r="B507" s="11">
        <v>28.0</v>
      </c>
      <c r="C507" s="11" t="s">
        <v>103</v>
      </c>
      <c r="D507" s="11" t="s">
        <v>1300</v>
      </c>
      <c r="E507" s="11"/>
      <c r="F507" s="11" t="s">
        <v>1301</v>
      </c>
      <c r="G507" s="11" t="s">
        <v>170</v>
      </c>
      <c r="H507" s="11">
        <v>0.0</v>
      </c>
      <c r="I507" s="11">
        <v>0.0</v>
      </c>
      <c r="J507" s="33">
        <v>15.0</v>
      </c>
      <c r="K507" s="33">
        <v>200.0</v>
      </c>
      <c r="L507" s="11"/>
      <c r="M507" s="34" t="s">
        <v>1302</v>
      </c>
      <c r="N507" s="11">
        <v>26.0</v>
      </c>
      <c r="O507" s="11">
        <v>6.0</v>
      </c>
      <c r="P507" s="11">
        <v>4.0</v>
      </c>
      <c r="Q507" s="11">
        <v>24.0</v>
      </c>
      <c r="R507" s="11">
        <v>1.0</v>
      </c>
      <c r="S507" s="11">
        <v>2.0</v>
      </c>
      <c r="T507" s="11">
        <v>2.0</v>
      </c>
      <c r="U507" s="11">
        <v>2.0</v>
      </c>
      <c r="V507" s="11">
        <v>7.0</v>
      </c>
      <c r="W507" s="11">
        <v>6.0</v>
      </c>
      <c r="X507" s="11">
        <v>5.0</v>
      </c>
      <c r="Y507" s="11">
        <v>4.0</v>
      </c>
      <c r="Z507" s="11"/>
      <c r="AA507" s="11">
        <v>4.0</v>
      </c>
      <c r="AB507" s="11">
        <v>4.0</v>
      </c>
      <c r="AC507" s="11">
        <v>3.0</v>
      </c>
      <c r="AD507" s="11">
        <v>2.0</v>
      </c>
      <c r="AE507" s="11">
        <v>1.0</v>
      </c>
      <c r="AF507" s="11"/>
    </row>
    <row r="508" ht="15.75" customHeight="1">
      <c r="A508" s="13">
        <v>505.0</v>
      </c>
      <c r="B508" s="13">
        <v>28.0</v>
      </c>
      <c r="C508" s="13" t="s">
        <v>103</v>
      </c>
      <c r="D508" s="13" t="s">
        <v>1303</v>
      </c>
      <c r="E508" s="13" t="s">
        <v>1304</v>
      </c>
      <c r="F508" s="13" t="s">
        <v>1305</v>
      </c>
      <c r="G508" s="13" t="s">
        <v>175</v>
      </c>
      <c r="H508" s="13">
        <v>1.0</v>
      </c>
      <c r="I508" s="13">
        <v>1.0</v>
      </c>
      <c r="J508" s="35">
        <v>8.0</v>
      </c>
      <c r="K508" s="35">
        <v>38.0</v>
      </c>
      <c r="L508" s="13"/>
      <c r="M508" s="13"/>
      <c r="N508" s="13">
        <v>6.0</v>
      </c>
      <c r="O508" s="13">
        <v>2.0</v>
      </c>
      <c r="P508" s="13"/>
      <c r="Q508" s="13">
        <v>6.0</v>
      </c>
      <c r="R508" s="13"/>
      <c r="S508" s="13">
        <v>1.0</v>
      </c>
      <c r="T508" s="13">
        <v>1.0</v>
      </c>
      <c r="U508" s="13">
        <v>1.0</v>
      </c>
      <c r="V508" s="13">
        <v>3.0</v>
      </c>
      <c r="W508" s="13">
        <v>2.0</v>
      </c>
      <c r="X508" s="13">
        <v>3.0</v>
      </c>
      <c r="Y508" s="13">
        <v>2.0</v>
      </c>
      <c r="Z508" s="13"/>
      <c r="AA508" s="13">
        <v>2.0</v>
      </c>
      <c r="AB508" s="13">
        <v>3.0</v>
      </c>
      <c r="AC508" s="13">
        <v>1.0</v>
      </c>
      <c r="AD508" s="13">
        <v>1.0</v>
      </c>
      <c r="AE508" s="13"/>
      <c r="AF508" s="13"/>
    </row>
    <row r="509" ht="15.75" customHeight="1">
      <c r="A509" s="11">
        <v>506.0</v>
      </c>
      <c r="B509" s="11">
        <v>28.0</v>
      </c>
      <c r="C509" s="11" t="s">
        <v>103</v>
      </c>
      <c r="D509" s="11" t="s">
        <v>1306</v>
      </c>
      <c r="E509" s="11"/>
      <c r="F509" s="11" t="s">
        <v>1307</v>
      </c>
      <c r="G509" s="11" t="s">
        <v>175</v>
      </c>
      <c r="H509" s="11">
        <v>1.0</v>
      </c>
      <c r="I509" s="11">
        <v>2.0</v>
      </c>
      <c r="J509" s="33">
        <v>7.0</v>
      </c>
      <c r="K509" s="33">
        <v>38.0</v>
      </c>
      <c r="L509" s="11"/>
      <c r="M509" s="11"/>
      <c r="N509" s="11">
        <v>6.0</v>
      </c>
      <c r="O509" s="11">
        <v>2.0</v>
      </c>
      <c r="P509" s="11"/>
      <c r="Q509" s="11">
        <v>6.0</v>
      </c>
      <c r="R509" s="11"/>
      <c r="S509" s="11">
        <v>1.0</v>
      </c>
      <c r="T509" s="11">
        <v>1.0</v>
      </c>
      <c r="U509" s="11">
        <v>1.0</v>
      </c>
      <c r="V509" s="11">
        <v>3.0</v>
      </c>
      <c r="W509" s="11">
        <v>2.0</v>
      </c>
      <c r="X509" s="11">
        <v>3.0</v>
      </c>
      <c r="Y509" s="11">
        <v>2.0</v>
      </c>
      <c r="Z509" s="11"/>
      <c r="AA509" s="11">
        <v>2.0</v>
      </c>
      <c r="AB509" s="11">
        <v>3.0</v>
      </c>
      <c r="AC509" s="11">
        <v>1.0</v>
      </c>
      <c r="AD509" s="11">
        <v>1.0</v>
      </c>
      <c r="AE509" s="11"/>
      <c r="AF509" s="11"/>
    </row>
    <row r="510" ht="15.75" customHeight="1">
      <c r="A510" s="13">
        <v>507.0</v>
      </c>
      <c r="B510" s="13">
        <v>28.0</v>
      </c>
      <c r="C510" s="13" t="s">
        <v>103</v>
      </c>
      <c r="D510" s="13" t="s">
        <v>1308</v>
      </c>
      <c r="E510" s="13"/>
      <c r="F510" s="13" t="s">
        <v>1309</v>
      </c>
      <c r="G510" s="13" t="s">
        <v>175</v>
      </c>
      <c r="H510" s="13">
        <v>1.0</v>
      </c>
      <c r="I510" s="13">
        <v>3.0</v>
      </c>
      <c r="J510" s="35">
        <v>6.0</v>
      </c>
      <c r="K510" s="35">
        <v>38.0</v>
      </c>
      <c r="L510" s="13"/>
      <c r="M510" s="13"/>
      <c r="N510" s="13">
        <v>10.0</v>
      </c>
      <c r="O510" s="13">
        <v>3.0</v>
      </c>
      <c r="P510" s="13"/>
      <c r="Q510" s="13">
        <v>7.0</v>
      </c>
      <c r="R510" s="13"/>
      <c r="S510" s="13">
        <v>1.0</v>
      </c>
      <c r="T510" s="13">
        <v>1.0</v>
      </c>
      <c r="U510" s="13">
        <v>1.0</v>
      </c>
      <c r="V510" s="13">
        <v>4.0</v>
      </c>
      <c r="W510" s="13">
        <v>2.0</v>
      </c>
      <c r="X510" s="13">
        <v>4.0</v>
      </c>
      <c r="Y510" s="13">
        <v>2.0</v>
      </c>
      <c r="Z510" s="13"/>
      <c r="AA510" s="13">
        <v>3.0</v>
      </c>
      <c r="AB510" s="13">
        <v>4.0</v>
      </c>
      <c r="AC510" s="13">
        <v>1.0</v>
      </c>
      <c r="AD510" s="13">
        <v>1.0</v>
      </c>
      <c r="AE510" s="13"/>
      <c r="AF510" s="13"/>
    </row>
    <row r="511" ht="15.75" customHeight="1">
      <c r="A511" s="11">
        <v>508.0</v>
      </c>
      <c r="B511" s="11">
        <v>28.0</v>
      </c>
      <c r="C511" s="11" t="s">
        <v>103</v>
      </c>
      <c r="D511" s="11" t="s">
        <v>1310</v>
      </c>
      <c r="E511" s="11"/>
      <c r="F511" s="11" t="s">
        <v>1311</v>
      </c>
      <c r="G511" s="11" t="s">
        <v>175</v>
      </c>
      <c r="H511" s="11">
        <v>1.0</v>
      </c>
      <c r="I511" s="11">
        <v>4.0</v>
      </c>
      <c r="J511" s="33">
        <v>5.0</v>
      </c>
      <c r="K511" s="33">
        <v>38.0</v>
      </c>
      <c r="L511" s="11"/>
      <c r="M511" s="11"/>
      <c r="N511" s="11">
        <v>10.0</v>
      </c>
      <c r="O511" s="11">
        <v>3.0</v>
      </c>
      <c r="P511" s="11"/>
      <c r="Q511" s="11">
        <v>7.0</v>
      </c>
      <c r="R511" s="11"/>
      <c r="S511" s="11">
        <v>1.0</v>
      </c>
      <c r="T511" s="11">
        <v>1.0</v>
      </c>
      <c r="U511" s="11">
        <v>1.0</v>
      </c>
      <c r="V511" s="11">
        <v>4.0</v>
      </c>
      <c r="W511" s="11">
        <v>2.0</v>
      </c>
      <c r="X511" s="11">
        <v>4.0</v>
      </c>
      <c r="Y511" s="11">
        <v>2.0</v>
      </c>
      <c r="Z511" s="11"/>
      <c r="AA511" s="11">
        <v>3.0</v>
      </c>
      <c r="AB511" s="11">
        <v>4.0</v>
      </c>
      <c r="AC511" s="11">
        <v>1.0</v>
      </c>
      <c r="AD511" s="11">
        <v>1.0</v>
      </c>
      <c r="AE511" s="11"/>
      <c r="AF511" s="11"/>
    </row>
    <row r="512" ht="15.75" customHeight="1">
      <c r="A512" s="13">
        <v>509.0</v>
      </c>
      <c r="B512" s="13">
        <v>28.0</v>
      </c>
      <c r="C512" s="13" t="s">
        <v>103</v>
      </c>
      <c r="D512" s="13" t="s">
        <v>1312</v>
      </c>
      <c r="E512" s="13" t="s">
        <v>1313</v>
      </c>
      <c r="F512" s="13" t="s">
        <v>1314</v>
      </c>
      <c r="G512" s="13" t="s">
        <v>175</v>
      </c>
      <c r="H512" s="13">
        <v>2.0</v>
      </c>
      <c r="I512" s="13">
        <v>1.0</v>
      </c>
      <c r="J512" s="35">
        <v>8.0</v>
      </c>
      <c r="K512" s="35">
        <v>38.0</v>
      </c>
      <c r="L512" s="13"/>
      <c r="M512" s="13"/>
      <c r="N512" s="13">
        <v>6.0</v>
      </c>
      <c r="O512" s="13">
        <v>2.0</v>
      </c>
      <c r="P512" s="13"/>
      <c r="Q512" s="13">
        <v>6.0</v>
      </c>
      <c r="R512" s="13"/>
      <c r="S512" s="13">
        <v>1.0</v>
      </c>
      <c r="T512" s="13">
        <v>1.0</v>
      </c>
      <c r="U512" s="13">
        <v>1.0</v>
      </c>
      <c r="V512" s="13">
        <v>3.0</v>
      </c>
      <c r="W512" s="13">
        <v>2.0</v>
      </c>
      <c r="X512" s="13">
        <v>2.0</v>
      </c>
      <c r="Y512" s="13">
        <v>2.0</v>
      </c>
      <c r="Z512" s="13"/>
      <c r="AA512" s="13">
        <v>3.0</v>
      </c>
      <c r="AB512" s="13">
        <v>3.0</v>
      </c>
      <c r="AC512" s="13">
        <v>4.0</v>
      </c>
      <c r="AD512" s="13">
        <v>1.0</v>
      </c>
      <c r="AE512" s="13"/>
      <c r="AF512" s="13"/>
    </row>
    <row r="513" ht="15.75" customHeight="1">
      <c r="A513" s="11">
        <v>510.0</v>
      </c>
      <c r="B513" s="11">
        <v>28.0</v>
      </c>
      <c r="C513" s="11" t="s">
        <v>103</v>
      </c>
      <c r="D513" s="11" t="s">
        <v>1315</v>
      </c>
      <c r="E513" s="11"/>
      <c r="F513" s="11" t="s">
        <v>1316</v>
      </c>
      <c r="G513" s="11" t="s">
        <v>175</v>
      </c>
      <c r="H513" s="11">
        <v>2.0</v>
      </c>
      <c r="I513" s="11">
        <v>2.0</v>
      </c>
      <c r="J513" s="33">
        <v>7.0</v>
      </c>
      <c r="K513" s="33">
        <v>38.0</v>
      </c>
      <c r="L513" s="11"/>
      <c r="M513" s="11"/>
      <c r="N513" s="11">
        <v>6.0</v>
      </c>
      <c r="O513" s="11">
        <v>2.0</v>
      </c>
      <c r="P513" s="11"/>
      <c r="Q513" s="11">
        <v>6.0</v>
      </c>
      <c r="R513" s="11"/>
      <c r="S513" s="11">
        <v>1.0</v>
      </c>
      <c r="T513" s="11">
        <v>1.0</v>
      </c>
      <c r="U513" s="11">
        <v>1.0</v>
      </c>
      <c r="V513" s="11">
        <v>3.0</v>
      </c>
      <c r="W513" s="11">
        <v>2.0</v>
      </c>
      <c r="X513" s="11">
        <v>2.0</v>
      </c>
      <c r="Y513" s="11">
        <v>2.0</v>
      </c>
      <c r="Z513" s="11"/>
      <c r="AA513" s="11">
        <v>3.0</v>
      </c>
      <c r="AB513" s="11">
        <v>3.0</v>
      </c>
      <c r="AC513" s="11">
        <v>4.0</v>
      </c>
      <c r="AD513" s="11">
        <v>1.0</v>
      </c>
      <c r="AE513" s="11"/>
      <c r="AF513" s="11"/>
    </row>
    <row r="514" ht="15.75" customHeight="1">
      <c r="A514" s="13">
        <v>511.0</v>
      </c>
      <c r="B514" s="13">
        <v>28.0</v>
      </c>
      <c r="C514" s="13" t="s">
        <v>103</v>
      </c>
      <c r="D514" s="13" t="s">
        <v>1317</v>
      </c>
      <c r="E514" s="13"/>
      <c r="F514" s="13" t="s">
        <v>1318</v>
      </c>
      <c r="G514" s="13" t="s">
        <v>175</v>
      </c>
      <c r="H514" s="13">
        <v>2.0</v>
      </c>
      <c r="I514" s="13">
        <v>3.0</v>
      </c>
      <c r="J514" s="35">
        <v>6.0</v>
      </c>
      <c r="K514" s="35">
        <v>38.0</v>
      </c>
      <c r="L514" s="13"/>
      <c r="M514" s="13"/>
      <c r="N514" s="13">
        <v>10.0</v>
      </c>
      <c r="O514" s="13">
        <v>3.0</v>
      </c>
      <c r="P514" s="13"/>
      <c r="Q514" s="13">
        <v>7.0</v>
      </c>
      <c r="R514" s="13"/>
      <c r="S514" s="13">
        <v>1.0</v>
      </c>
      <c r="T514" s="13">
        <v>1.0</v>
      </c>
      <c r="U514" s="13">
        <v>1.0</v>
      </c>
      <c r="V514" s="13">
        <v>4.0</v>
      </c>
      <c r="W514" s="13">
        <v>2.0</v>
      </c>
      <c r="X514" s="13">
        <v>3.0</v>
      </c>
      <c r="Y514" s="13">
        <v>2.0</v>
      </c>
      <c r="Z514" s="13"/>
      <c r="AA514" s="13">
        <v>4.0</v>
      </c>
      <c r="AB514" s="13">
        <v>4.0</v>
      </c>
      <c r="AC514" s="13">
        <v>5.0</v>
      </c>
      <c r="AD514" s="13">
        <v>1.0</v>
      </c>
      <c r="AE514" s="13"/>
      <c r="AF514" s="13"/>
    </row>
    <row r="515" ht="15.75" customHeight="1">
      <c r="A515" s="11">
        <v>512.0</v>
      </c>
      <c r="B515" s="11">
        <v>28.0</v>
      </c>
      <c r="C515" s="11" t="s">
        <v>103</v>
      </c>
      <c r="D515" s="11" t="s">
        <v>1319</v>
      </c>
      <c r="E515" s="11"/>
      <c r="F515" s="11" t="s">
        <v>1320</v>
      </c>
      <c r="G515" s="11" t="s">
        <v>175</v>
      </c>
      <c r="H515" s="11">
        <v>2.0</v>
      </c>
      <c r="I515" s="11">
        <v>4.0</v>
      </c>
      <c r="J515" s="33">
        <v>5.0</v>
      </c>
      <c r="K515" s="33">
        <v>38.0</v>
      </c>
      <c r="L515" s="11"/>
      <c r="M515" s="11"/>
      <c r="N515" s="11">
        <v>10.0</v>
      </c>
      <c r="O515" s="11">
        <v>3.0</v>
      </c>
      <c r="P515" s="11"/>
      <c r="Q515" s="11">
        <v>7.0</v>
      </c>
      <c r="R515" s="11"/>
      <c r="S515" s="11">
        <v>1.0</v>
      </c>
      <c r="T515" s="11">
        <v>1.0</v>
      </c>
      <c r="U515" s="11">
        <v>1.0</v>
      </c>
      <c r="V515" s="11">
        <v>4.0</v>
      </c>
      <c r="W515" s="11">
        <v>2.0</v>
      </c>
      <c r="X515" s="11">
        <v>3.0</v>
      </c>
      <c r="Y515" s="11">
        <v>2.0</v>
      </c>
      <c r="Z515" s="11"/>
      <c r="AA515" s="11">
        <v>4.0</v>
      </c>
      <c r="AB515" s="11">
        <v>4.0</v>
      </c>
      <c r="AC515" s="11">
        <v>5.0</v>
      </c>
      <c r="AD515" s="11">
        <v>1.0</v>
      </c>
      <c r="AE515" s="11"/>
      <c r="AF515" s="11"/>
    </row>
    <row r="516" ht="15.75" customHeight="1">
      <c r="A516" s="13">
        <v>513.0</v>
      </c>
      <c r="B516" s="13">
        <v>28.0</v>
      </c>
      <c r="C516" s="13" t="s">
        <v>103</v>
      </c>
      <c r="D516" s="13" t="s">
        <v>1321</v>
      </c>
      <c r="E516" s="13" t="s">
        <v>1322</v>
      </c>
      <c r="F516" s="13" t="s">
        <v>1323</v>
      </c>
      <c r="G516" s="13" t="s">
        <v>175</v>
      </c>
      <c r="H516" s="13">
        <v>3.0</v>
      </c>
      <c r="I516" s="13">
        <v>1.0</v>
      </c>
      <c r="J516" s="35">
        <v>8.0</v>
      </c>
      <c r="K516" s="35">
        <v>38.0</v>
      </c>
      <c r="L516" s="13"/>
      <c r="M516" s="13"/>
      <c r="N516" s="13">
        <v>6.0</v>
      </c>
      <c r="O516" s="13">
        <v>3.0</v>
      </c>
      <c r="P516" s="13"/>
      <c r="Q516" s="13">
        <v>6.0</v>
      </c>
      <c r="R516" s="13">
        <v>1.0</v>
      </c>
      <c r="S516" s="13">
        <v>1.0</v>
      </c>
      <c r="T516" s="13">
        <v>1.0</v>
      </c>
      <c r="U516" s="13">
        <v>1.0</v>
      </c>
      <c r="V516" s="13">
        <v>2.0</v>
      </c>
      <c r="W516" s="13">
        <v>2.0</v>
      </c>
      <c r="X516" s="13">
        <v>3.0</v>
      </c>
      <c r="Y516" s="13">
        <v>2.0</v>
      </c>
      <c r="Z516" s="13"/>
      <c r="AA516" s="13">
        <v>1.0</v>
      </c>
      <c r="AB516" s="13">
        <v>2.0</v>
      </c>
      <c r="AC516" s="13">
        <v>1.0</v>
      </c>
      <c r="AD516" s="13">
        <v>1.0</v>
      </c>
      <c r="AE516" s="13">
        <v>1.0</v>
      </c>
      <c r="AF516" s="13"/>
    </row>
    <row r="517" ht="15.75" customHeight="1">
      <c r="A517" s="11">
        <v>514.0</v>
      </c>
      <c r="B517" s="11">
        <v>28.0</v>
      </c>
      <c r="C517" s="11" t="s">
        <v>103</v>
      </c>
      <c r="D517" s="11" t="s">
        <v>1324</v>
      </c>
      <c r="E517" s="11"/>
      <c r="F517" s="11" t="s">
        <v>1325</v>
      </c>
      <c r="G517" s="11" t="s">
        <v>175</v>
      </c>
      <c r="H517" s="11">
        <v>3.0</v>
      </c>
      <c r="I517" s="11">
        <v>2.0</v>
      </c>
      <c r="J517" s="33">
        <v>7.0</v>
      </c>
      <c r="K517" s="33">
        <v>38.0</v>
      </c>
      <c r="L517" s="11"/>
      <c r="M517" s="11"/>
      <c r="N517" s="11">
        <v>6.0</v>
      </c>
      <c r="O517" s="11">
        <v>3.0</v>
      </c>
      <c r="P517" s="11"/>
      <c r="Q517" s="11">
        <v>6.0</v>
      </c>
      <c r="R517" s="11">
        <v>1.0</v>
      </c>
      <c r="S517" s="11">
        <v>1.0</v>
      </c>
      <c r="T517" s="11">
        <v>1.0</v>
      </c>
      <c r="U517" s="11">
        <v>1.0</v>
      </c>
      <c r="V517" s="11">
        <v>2.0</v>
      </c>
      <c r="W517" s="11">
        <v>2.0</v>
      </c>
      <c r="X517" s="11">
        <v>3.0</v>
      </c>
      <c r="Y517" s="11">
        <v>2.0</v>
      </c>
      <c r="Z517" s="11"/>
      <c r="AA517" s="11">
        <v>1.0</v>
      </c>
      <c r="AB517" s="11">
        <v>2.0</v>
      </c>
      <c r="AC517" s="11">
        <v>1.0</v>
      </c>
      <c r="AD517" s="11">
        <v>1.0</v>
      </c>
      <c r="AE517" s="11">
        <v>1.0</v>
      </c>
      <c r="AF517" s="11"/>
    </row>
    <row r="518" ht="15.75" customHeight="1">
      <c r="A518" s="13">
        <v>515.0</v>
      </c>
      <c r="B518" s="13">
        <v>28.0</v>
      </c>
      <c r="C518" s="13" t="s">
        <v>103</v>
      </c>
      <c r="D518" s="13" t="s">
        <v>1326</v>
      </c>
      <c r="E518" s="13"/>
      <c r="F518" s="13" t="s">
        <v>1327</v>
      </c>
      <c r="G518" s="13" t="s">
        <v>175</v>
      </c>
      <c r="H518" s="13">
        <v>3.0</v>
      </c>
      <c r="I518" s="13">
        <v>3.0</v>
      </c>
      <c r="J518" s="35">
        <v>6.0</v>
      </c>
      <c r="K518" s="35">
        <v>38.0</v>
      </c>
      <c r="L518" s="13"/>
      <c r="M518" s="13"/>
      <c r="N518" s="13">
        <v>10.0</v>
      </c>
      <c r="O518" s="13">
        <v>4.0</v>
      </c>
      <c r="P518" s="13"/>
      <c r="Q518" s="13">
        <v>7.0</v>
      </c>
      <c r="R518" s="13">
        <v>1.0</v>
      </c>
      <c r="S518" s="13">
        <v>1.0</v>
      </c>
      <c r="T518" s="13">
        <v>1.0</v>
      </c>
      <c r="U518" s="13">
        <v>1.0</v>
      </c>
      <c r="V518" s="13">
        <v>3.0</v>
      </c>
      <c r="W518" s="13">
        <v>2.0</v>
      </c>
      <c r="X518" s="13">
        <v>3.0</v>
      </c>
      <c r="Y518" s="13">
        <v>2.0</v>
      </c>
      <c r="Z518" s="13"/>
      <c r="AA518" s="13">
        <v>1.0</v>
      </c>
      <c r="AB518" s="13">
        <v>3.0</v>
      </c>
      <c r="AC518" s="13">
        <v>1.0</v>
      </c>
      <c r="AD518" s="13">
        <v>2.0</v>
      </c>
      <c r="AE518" s="13">
        <v>1.0</v>
      </c>
      <c r="AF518" s="13"/>
    </row>
    <row r="519" ht="15.75" customHeight="1">
      <c r="A519" s="11">
        <v>516.0</v>
      </c>
      <c r="B519" s="11">
        <v>28.0</v>
      </c>
      <c r="C519" s="11" t="s">
        <v>103</v>
      </c>
      <c r="D519" s="11" t="s">
        <v>1328</v>
      </c>
      <c r="E519" s="11"/>
      <c r="F519" s="11" t="s">
        <v>1329</v>
      </c>
      <c r="G519" s="11" t="s">
        <v>175</v>
      </c>
      <c r="H519" s="11">
        <v>3.0</v>
      </c>
      <c r="I519" s="11">
        <v>4.0</v>
      </c>
      <c r="J519" s="33">
        <v>5.0</v>
      </c>
      <c r="K519" s="33">
        <v>38.0</v>
      </c>
      <c r="L519" s="11"/>
      <c r="M519" s="11"/>
      <c r="N519" s="11">
        <v>10.0</v>
      </c>
      <c r="O519" s="11">
        <v>4.0</v>
      </c>
      <c r="P519" s="11"/>
      <c r="Q519" s="11">
        <v>7.0</v>
      </c>
      <c r="R519" s="11">
        <v>1.0</v>
      </c>
      <c r="S519" s="11">
        <v>1.0</v>
      </c>
      <c r="T519" s="11">
        <v>1.0</v>
      </c>
      <c r="U519" s="11">
        <v>1.0</v>
      </c>
      <c r="V519" s="11">
        <v>3.0</v>
      </c>
      <c r="W519" s="11">
        <v>2.0</v>
      </c>
      <c r="X519" s="11">
        <v>3.0</v>
      </c>
      <c r="Y519" s="11">
        <v>2.0</v>
      </c>
      <c r="Z519" s="11"/>
      <c r="AA519" s="11">
        <v>1.0</v>
      </c>
      <c r="AB519" s="11">
        <v>3.0</v>
      </c>
      <c r="AC519" s="11">
        <v>1.0</v>
      </c>
      <c r="AD519" s="11">
        <v>2.0</v>
      </c>
      <c r="AE519" s="11">
        <v>1.0</v>
      </c>
      <c r="AF519" s="11"/>
    </row>
    <row r="520" ht="15.75" customHeight="1">
      <c r="A520" s="13">
        <v>517.0</v>
      </c>
      <c r="B520" s="13">
        <v>28.0</v>
      </c>
      <c r="C520" s="13" t="s">
        <v>103</v>
      </c>
      <c r="D520" s="13" t="s">
        <v>1330</v>
      </c>
      <c r="E520" s="13" t="s">
        <v>1331</v>
      </c>
      <c r="F520" s="13" t="s">
        <v>1332</v>
      </c>
      <c r="G520" s="13" t="s">
        <v>175</v>
      </c>
      <c r="H520" s="13">
        <v>4.0</v>
      </c>
      <c r="I520" s="13">
        <v>1.0</v>
      </c>
      <c r="J520" s="35">
        <v>8.0</v>
      </c>
      <c r="K520" s="35">
        <v>38.0</v>
      </c>
      <c r="L520" s="13"/>
      <c r="M520" s="13"/>
      <c r="N520" s="13">
        <v>6.0</v>
      </c>
      <c r="O520" s="13">
        <v>3.0</v>
      </c>
      <c r="P520" s="13"/>
      <c r="Q520" s="13">
        <v>6.0</v>
      </c>
      <c r="R520" s="13"/>
      <c r="S520" s="13">
        <v>1.0</v>
      </c>
      <c r="T520" s="13">
        <v>1.0</v>
      </c>
      <c r="U520" s="13">
        <v>1.0</v>
      </c>
      <c r="V520" s="13">
        <v>3.0</v>
      </c>
      <c r="W520" s="13">
        <v>2.0</v>
      </c>
      <c r="X520" s="13">
        <v>2.0</v>
      </c>
      <c r="Y520" s="13">
        <v>2.0</v>
      </c>
      <c r="Z520" s="13"/>
      <c r="AA520" s="13">
        <v>2.0</v>
      </c>
      <c r="AB520" s="13">
        <v>2.0</v>
      </c>
      <c r="AC520" s="13"/>
      <c r="AD520" s="13">
        <v>3.0</v>
      </c>
      <c r="AE520" s="13"/>
      <c r="AF520" s="13"/>
    </row>
    <row r="521" ht="15.75" customHeight="1">
      <c r="A521" s="11">
        <v>518.0</v>
      </c>
      <c r="B521" s="11">
        <v>28.0</v>
      </c>
      <c r="C521" s="11" t="s">
        <v>103</v>
      </c>
      <c r="D521" s="11" t="s">
        <v>1333</v>
      </c>
      <c r="E521" s="11"/>
      <c r="F521" s="11" t="s">
        <v>1334</v>
      </c>
      <c r="G521" s="11" t="s">
        <v>175</v>
      </c>
      <c r="H521" s="11">
        <v>4.0</v>
      </c>
      <c r="I521" s="11">
        <v>2.0</v>
      </c>
      <c r="J521" s="33">
        <v>7.0</v>
      </c>
      <c r="K521" s="33">
        <v>38.0</v>
      </c>
      <c r="L521" s="11"/>
      <c r="M521" s="11"/>
      <c r="N521" s="11">
        <v>6.0</v>
      </c>
      <c r="O521" s="11">
        <v>3.0</v>
      </c>
      <c r="P521" s="11"/>
      <c r="Q521" s="11">
        <v>6.0</v>
      </c>
      <c r="R521" s="11"/>
      <c r="S521" s="11">
        <v>1.0</v>
      </c>
      <c r="T521" s="11">
        <v>1.0</v>
      </c>
      <c r="U521" s="11">
        <v>1.0</v>
      </c>
      <c r="V521" s="11">
        <v>3.0</v>
      </c>
      <c r="W521" s="11">
        <v>2.0</v>
      </c>
      <c r="X521" s="11">
        <v>2.0</v>
      </c>
      <c r="Y521" s="11">
        <v>2.0</v>
      </c>
      <c r="Z521" s="11"/>
      <c r="AA521" s="11">
        <v>2.0</v>
      </c>
      <c r="AB521" s="11">
        <v>2.0</v>
      </c>
      <c r="AC521" s="11"/>
      <c r="AD521" s="11">
        <v>3.0</v>
      </c>
      <c r="AE521" s="11"/>
      <c r="AF521" s="11"/>
    </row>
    <row r="522" ht="15.75" customHeight="1">
      <c r="A522" s="13">
        <v>519.0</v>
      </c>
      <c r="B522" s="13">
        <v>28.0</v>
      </c>
      <c r="C522" s="13" t="s">
        <v>103</v>
      </c>
      <c r="D522" s="13" t="s">
        <v>1335</v>
      </c>
      <c r="E522" s="13"/>
      <c r="F522" s="13" t="s">
        <v>1336</v>
      </c>
      <c r="G522" s="13" t="s">
        <v>175</v>
      </c>
      <c r="H522" s="13">
        <v>4.0</v>
      </c>
      <c r="I522" s="13">
        <v>3.0</v>
      </c>
      <c r="J522" s="35">
        <v>6.0</v>
      </c>
      <c r="K522" s="35">
        <v>38.0</v>
      </c>
      <c r="L522" s="13"/>
      <c r="M522" s="13"/>
      <c r="N522" s="13">
        <v>10.0</v>
      </c>
      <c r="O522" s="13">
        <v>4.0</v>
      </c>
      <c r="P522" s="13"/>
      <c r="Q522" s="13">
        <v>7.0</v>
      </c>
      <c r="R522" s="13"/>
      <c r="S522" s="13">
        <v>1.0</v>
      </c>
      <c r="T522" s="13">
        <v>1.0</v>
      </c>
      <c r="U522" s="13">
        <v>1.0</v>
      </c>
      <c r="V522" s="13">
        <v>4.0</v>
      </c>
      <c r="W522" s="13">
        <v>2.0</v>
      </c>
      <c r="X522" s="13">
        <v>2.0</v>
      </c>
      <c r="Y522" s="13">
        <v>2.0</v>
      </c>
      <c r="Z522" s="13"/>
      <c r="AA522" s="13">
        <v>2.0</v>
      </c>
      <c r="AB522" s="13">
        <v>2.0</v>
      </c>
      <c r="AC522" s="13"/>
      <c r="AD522" s="13">
        <v>4.0</v>
      </c>
      <c r="AE522" s="13"/>
      <c r="AF522" s="13"/>
    </row>
    <row r="523" ht="15.75" customHeight="1">
      <c r="A523" s="11">
        <v>520.0</v>
      </c>
      <c r="B523" s="11">
        <v>28.0</v>
      </c>
      <c r="C523" s="11" t="s">
        <v>103</v>
      </c>
      <c r="D523" s="11" t="s">
        <v>1337</v>
      </c>
      <c r="E523" s="11"/>
      <c r="F523" s="11" t="s">
        <v>1338</v>
      </c>
      <c r="G523" s="11" t="s">
        <v>175</v>
      </c>
      <c r="H523" s="11">
        <v>4.0</v>
      </c>
      <c r="I523" s="11">
        <v>4.0</v>
      </c>
      <c r="J523" s="33">
        <v>5.0</v>
      </c>
      <c r="K523" s="33">
        <v>38.0</v>
      </c>
      <c r="L523" s="11"/>
      <c r="M523" s="11"/>
      <c r="N523" s="11">
        <v>10.0</v>
      </c>
      <c r="O523" s="11">
        <v>4.0</v>
      </c>
      <c r="P523" s="11"/>
      <c r="Q523" s="11">
        <v>7.0</v>
      </c>
      <c r="R523" s="11"/>
      <c r="S523" s="11">
        <v>1.0</v>
      </c>
      <c r="T523" s="11">
        <v>1.0</v>
      </c>
      <c r="U523" s="11">
        <v>1.0</v>
      </c>
      <c r="V523" s="11">
        <v>4.0</v>
      </c>
      <c r="W523" s="11">
        <v>2.0</v>
      </c>
      <c r="X523" s="11">
        <v>2.0</v>
      </c>
      <c r="Y523" s="11">
        <v>2.0</v>
      </c>
      <c r="Z523" s="11"/>
      <c r="AA523" s="11">
        <v>2.0</v>
      </c>
      <c r="AB523" s="11">
        <v>2.0</v>
      </c>
      <c r="AC523" s="11"/>
      <c r="AD523" s="11">
        <v>4.0</v>
      </c>
      <c r="AE523" s="11"/>
      <c r="AF523" s="11"/>
    </row>
    <row r="524" ht="15.75" customHeight="1">
      <c r="A524" s="13">
        <v>521.0</v>
      </c>
      <c r="B524" s="13">
        <v>28.0</v>
      </c>
      <c r="C524" s="13" t="s">
        <v>103</v>
      </c>
      <c r="D524" s="13" t="s">
        <v>1339</v>
      </c>
      <c r="E524" s="13"/>
      <c r="F524" s="13" t="s">
        <v>1340</v>
      </c>
      <c r="G524" s="13" t="s">
        <v>74</v>
      </c>
      <c r="H524" s="13">
        <v>5.0</v>
      </c>
      <c r="I524" s="13">
        <v>5.0</v>
      </c>
      <c r="J524" s="35">
        <v>1.0</v>
      </c>
      <c r="K524" s="35">
        <v>192.0</v>
      </c>
      <c r="L524" s="13"/>
      <c r="M524" s="13"/>
      <c r="N524" s="13">
        <v>34.0</v>
      </c>
      <c r="O524" s="13">
        <v>8.0</v>
      </c>
      <c r="P524" s="13">
        <v>4.0</v>
      </c>
      <c r="Q524" s="13">
        <v>30.0</v>
      </c>
      <c r="R524" s="13">
        <v>1.0</v>
      </c>
      <c r="S524" s="13">
        <v>3.0</v>
      </c>
      <c r="T524" s="13">
        <v>3.0</v>
      </c>
      <c r="U524" s="13">
        <v>3.0</v>
      </c>
      <c r="V524" s="13">
        <v>10.0</v>
      </c>
      <c r="W524" s="13">
        <v>7.0</v>
      </c>
      <c r="X524" s="13">
        <v>6.0</v>
      </c>
      <c r="Y524" s="13">
        <v>5.0</v>
      </c>
      <c r="Z524" s="13"/>
      <c r="AA524" s="13">
        <v>5.0</v>
      </c>
      <c r="AB524" s="13">
        <v>6.0</v>
      </c>
      <c r="AC524" s="13">
        <v>5.0</v>
      </c>
      <c r="AD524" s="13">
        <v>3.0</v>
      </c>
      <c r="AE524" s="13">
        <v>2.0</v>
      </c>
      <c r="AF524" s="13"/>
    </row>
    <row r="525" ht="15.75" customHeight="1">
      <c r="A525" s="11">
        <v>522.0</v>
      </c>
      <c r="B525" s="11">
        <v>29.0</v>
      </c>
      <c r="C525" s="11" t="s">
        <v>105</v>
      </c>
      <c r="D525" s="11" t="s">
        <v>1341</v>
      </c>
      <c r="E525" s="11"/>
      <c r="F525" s="11" t="s">
        <v>1342</v>
      </c>
      <c r="G525" s="11" t="s">
        <v>170</v>
      </c>
      <c r="H525" s="11">
        <v>0.0</v>
      </c>
      <c r="I525" s="11">
        <v>0.0</v>
      </c>
      <c r="J525" s="33">
        <v>15.0</v>
      </c>
      <c r="K525" s="33">
        <v>200.0</v>
      </c>
      <c r="L525" s="11"/>
      <c r="M525" s="34" t="s">
        <v>1343</v>
      </c>
      <c r="N525" s="11">
        <v>24.0</v>
      </c>
      <c r="O525" s="11">
        <v>6.0</v>
      </c>
      <c r="P525" s="11">
        <v>4.0</v>
      </c>
      <c r="Q525" s="11">
        <v>26.0</v>
      </c>
      <c r="R525" s="11">
        <v>1.0</v>
      </c>
      <c r="S525" s="11">
        <v>2.0</v>
      </c>
      <c r="T525" s="11">
        <v>2.0</v>
      </c>
      <c r="U525" s="11">
        <v>2.0</v>
      </c>
      <c r="V525" s="11">
        <v>7.0</v>
      </c>
      <c r="W525" s="11">
        <v>6.0</v>
      </c>
      <c r="X525" s="11">
        <v>5.0</v>
      </c>
      <c r="Y525" s="11">
        <v>4.0</v>
      </c>
      <c r="Z525" s="11"/>
      <c r="AA525" s="11">
        <v>2.0</v>
      </c>
      <c r="AB525" s="11">
        <v>2.0</v>
      </c>
      <c r="AC525" s="11">
        <v>1.0</v>
      </c>
      <c r="AD525" s="11">
        <v>5.0</v>
      </c>
      <c r="AE525" s="11">
        <v>1.0</v>
      </c>
      <c r="AF525" s="11"/>
    </row>
    <row r="526" ht="15.75" customHeight="1">
      <c r="A526" s="13">
        <v>523.0</v>
      </c>
      <c r="B526" s="13">
        <v>29.0</v>
      </c>
      <c r="C526" s="13" t="s">
        <v>105</v>
      </c>
      <c r="D526" s="13" t="s">
        <v>1344</v>
      </c>
      <c r="E526" s="13" t="s">
        <v>1345</v>
      </c>
      <c r="F526" s="13" t="s">
        <v>1346</v>
      </c>
      <c r="G526" s="13" t="s">
        <v>175</v>
      </c>
      <c r="H526" s="13">
        <v>1.0</v>
      </c>
      <c r="I526" s="13">
        <v>1.0</v>
      </c>
      <c r="J526" s="35">
        <v>8.0</v>
      </c>
      <c r="K526" s="35">
        <v>38.0</v>
      </c>
      <c r="L526" s="13"/>
      <c r="M526" s="13"/>
      <c r="N526" s="13">
        <v>6.0</v>
      </c>
      <c r="O526" s="13">
        <v>2.0</v>
      </c>
      <c r="P526" s="13"/>
      <c r="Q526" s="13">
        <v>8.0</v>
      </c>
      <c r="R526" s="13">
        <v>1.0</v>
      </c>
      <c r="S526" s="13">
        <v>1.0</v>
      </c>
      <c r="T526" s="13">
        <v>1.0</v>
      </c>
      <c r="U526" s="13">
        <v>1.0</v>
      </c>
      <c r="V526" s="13">
        <v>3.0</v>
      </c>
      <c r="W526" s="13">
        <v>2.0</v>
      </c>
      <c r="X526" s="13">
        <v>3.0</v>
      </c>
      <c r="Y526" s="13">
        <v>2.0</v>
      </c>
      <c r="Z526" s="13"/>
      <c r="AA526" s="13">
        <v>1.0</v>
      </c>
      <c r="AB526" s="13">
        <v>2.0</v>
      </c>
      <c r="AC526" s="13">
        <v>1.0</v>
      </c>
      <c r="AD526" s="13">
        <v>2.0</v>
      </c>
      <c r="AE526" s="13"/>
      <c r="AF526" s="13"/>
    </row>
    <row r="527" ht="15.75" customHeight="1">
      <c r="A527" s="11">
        <v>524.0</v>
      </c>
      <c r="B527" s="11">
        <v>29.0</v>
      </c>
      <c r="C527" s="11" t="s">
        <v>105</v>
      </c>
      <c r="D527" s="11" t="s">
        <v>1347</v>
      </c>
      <c r="E527" s="11"/>
      <c r="F527" s="11" t="s">
        <v>1348</v>
      </c>
      <c r="G527" s="11" t="s">
        <v>175</v>
      </c>
      <c r="H527" s="11">
        <v>1.0</v>
      </c>
      <c r="I527" s="11">
        <v>2.0</v>
      </c>
      <c r="J527" s="33">
        <v>7.0</v>
      </c>
      <c r="K527" s="33">
        <v>38.0</v>
      </c>
      <c r="L527" s="11"/>
      <c r="M527" s="11"/>
      <c r="N527" s="11">
        <v>6.0</v>
      </c>
      <c r="O527" s="11">
        <v>2.0</v>
      </c>
      <c r="P527" s="11"/>
      <c r="Q527" s="11">
        <v>8.0</v>
      </c>
      <c r="R527" s="11">
        <v>1.0</v>
      </c>
      <c r="S527" s="11">
        <v>1.0</v>
      </c>
      <c r="T527" s="11">
        <v>1.0</v>
      </c>
      <c r="U527" s="11">
        <v>1.0</v>
      </c>
      <c r="V527" s="11">
        <v>3.0</v>
      </c>
      <c r="W527" s="11">
        <v>2.0</v>
      </c>
      <c r="X527" s="11">
        <v>3.0</v>
      </c>
      <c r="Y527" s="11">
        <v>2.0</v>
      </c>
      <c r="Z527" s="11"/>
      <c r="AA527" s="11">
        <v>1.0</v>
      </c>
      <c r="AB527" s="11">
        <v>2.0</v>
      </c>
      <c r="AC527" s="11">
        <v>1.0</v>
      </c>
      <c r="AD527" s="11">
        <v>2.0</v>
      </c>
      <c r="AE527" s="11"/>
      <c r="AF527" s="11"/>
    </row>
    <row r="528" ht="15.75" customHeight="1">
      <c r="A528" s="13">
        <v>525.0</v>
      </c>
      <c r="B528" s="13">
        <v>29.0</v>
      </c>
      <c r="C528" s="13" t="s">
        <v>105</v>
      </c>
      <c r="D528" s="13" t="s">
        <v>1349</v>
      </c>
      <c r="E528" s="13"/>
      <c r="F528" s="13" t="s">
        <v>1350</v>
      </c>
      <c r="G528" s="13" t="s">
        <v>175</v>
      </c>
      <c r="H528" s="13">
        <v>1.0</v>
      </c>
      <c r="I528" s="13">
        <v>3.0</v>
      </c>
      <c r="J528" s="35">
        <v>6.0</v>
      </c>
      <c r="K528" s="35">
        <v>38.0</v>
      </c>
      <c r="L528" s="13"/>
      <c r="M528" s="13"/>
      <c r="N528" s="13">
        <v>10.0</v>
      </c>
      <c r="O528" s="13">
        <v>3.0</v>
      </c>
      <c r="P528" s="13"/>
      <c r="Q528" s="13">
        <v>9.0</v>
      </c>
      <c r="R528" s="13">
        <v>1.0</v>
      </c>
      <c r="S528" s="13">
        <v>1.0</v>
      </c>
      <c r="T528" s="13">
        <v>1.0</v>
      </c>
      <c r="U528" s="13">
        <v>1.0</v>
      </c>
      <c r="V528" s="13">
        <v>4.0</v>
      </c>
      <c r="W528" s="13">
        <v>2.0</v>
      </c>
      <c r="X528" s="13">
        <v>4.0</v>
      </c>
      <c r="Y528" s="13">
        <v>2.0</v>
      </c>
      <c r="Z528" s="13"/>
      <c r="AA528" s="13">
        <v>2.0</v>
      </c>
      <c r="AB528" s="13">
        <v>3.0</v>
      </c>
      <c r="AC528" s="13">
        <v>1.0</v>
      </c>
      <c r="AD528" s="13">
        <v>3.0</v>
      </c>
      <c r="AE528" s="13"/>
      <c r="AF528" s="13"/>
    </row>
    <row r="529" ht="15.75" customHeight="1">
      <c r="A529" s="11">
        <v>526.0</v>
      </c>
      <c r="B529" s="11">
        <v>29.0</v>
      </c>
      <c r="C529" s="11" t="s">
        <v>105</v>
      </c>
      <c r="D529" s="11" t="s">
        <v>1351</v>
      </c>
      <c r="E529" s="11"/>
      <c r="F529" s="11" t="s">
        <v>1352</v>
      </c>
      <c r="G529" s="11" t="s">
        <v>175</v>
      </c>
      <c r="H529" s="11">
        <v>1.0</v>
      </c>
      <c r="I529" s="11">
        <v>4.0</v>
      </c>
      <c r="J529" s="33">
        <v>5.0</v>
      </c>
      <c r="K529" s="33">
        <v>38.0</v>
      </c>
      <c r="L529" s="11"/>
      <c r="M529" s="11"/>
      <c r="N529" s="11">
        <v>10.0</v>
      </c>
      <c r="O529" s="11">
        <v>3.0</v>
      </c>
      <c r="P529" s="11"/>
      <c r="Q529" s="11">
        <v>9.0</v>
      </c>
      <c r="R529" s="11">
        <v>1.0</v>
      </c>
      <c r="S529" s="11">
        <v>1.0</v>
      </c>
      <c r="T529" s="11">
        <v>1.0</v>
      </c>
      <c r="U529" s="11">
        <v>1.0</v>
      </c>
      <c r="V529" s="11">
        <v>4.0</v>
      </c>
      <c r="W529" s="11">
        <v>2.0</v>
      </c>
      <c r="X529" s="11">
        <v>4.0</v>
      </c>
      <c r="Y529" s="11">
        <v>2.0</v>
      </c>
      <c r="Z529" s="11"/>
      <c r="AA529" s="11">
        <v>2.0</v>
      </c>
      <c r="AB529" s="11">
        <v>3.0</v>
      </c>
      <c r="AC529" s="11">
        <v>1.0</v>
      </c>
      <c r="AD529" s="11">
        <v>3.0</v>
      </c>
      <c r="AE529" s="11"/>
      <c r="AF529" s="11"/>
    </row>
    <row r="530" ht="15.75" customHeight="1">
      <c r="A530" s="13">
        <v>527.0</v>
      </c>
      <c r="B530" s="13">
        <v>29.0</v>
      </c>
      <c r="C530" s="13" t="s">
        <v>105</v>
      </c>
      <c r="D530" s="13" t="s">
        <v>1353</v>
      </c>
      <c r="E530" s="13" t="s">
        <v>1354</v>
      </c>
      <c r="F530" s="13" t="s">
        <v>1355</v>
      </c>
      <c r="G530" s="13" t="s">
        <v>175</v>
      </c>
      <c r="H530" s="13">
        <v>2.0</v>
      </c>
      <c r="I530" s="13">
        <v>1.0</v>
      </c>
      <c r="J530" s="35">
        <v>8.0</v>
      </c>
      <c r="K530" s="35">
        <v>38.0</v>
      </c>
      <c r="L530" s="13"/>
      <c r="M530" s="13"/>
      <c r="N530" s="13">
        <v>6.0</v>
      </c>
      <c r="O530" s="13">
        <v>2.0</v>
      </c>
      <c r="P530" s="13"/>
      <c r="Q530" s="13">
        <v>8.0</v>
      </c>
      <c r="R530" s="13"/>
      <c r="S530" s="13">
        <v>1.0</v>
      </c>
      <c r="T530" s="13">
        <v>1.0</v>
      </c>
      <c r="U530" s="13">
        <v>1.0</v>
      </c>
      <c r="V530" s="13">
        <v>3.0</v>
      </c>
      <c r="W530" s="13">
        <v>3.0</v>
      </c>
      <c r="X530" s="13">
        <v>2.0</v>
      </c>
      <c r="Y530" s="13">
        <v>2.0</v>
      </c>
      <c r="Z530" s="13"/>
      <c r="AA530" s="13">
        <v>2.0</v>
      </c>
      <c r="AB530" s="13">
        <v>2.0</v>
      </c>
      <c r="AC530" s="13">
        <v>1.0</v>
      </c>
      <c r="AD530" s="13">
        <v>2.0</v>
      </c>
      <c r="AE530" s="13"/>
      <c r="AF530" s="13"/>
    </row>
    <row r="531" ht="15.75" customHeight="1">
      <c r="A531" s="11">
        <v>528.0</v>
      </c>
      <c r="B531" s="11">
        <v>29.0</v>
      </c>
      <c r="C531" s="11" t="s">
        <v>105</v>
      </c>
      <c r="D531" s="11" t="s">
        <v>1356</v>
      </c>
      <c r="E531" s="11"/>
      <c r="F531" s="11" t="s">
        <v>1357</v>
      </c>
      <c r="G531" s="11" t="s">
        <v>175</v>
      </c>
      <c r="H531" s="11">
        <v>2.0</v>
      </c>
      <c r="I531" s="11">
        <v>2.0</v>
      </c>
      <c r="J531" s="33">
        <v>7.0</v>
      </c>
      <c r="K531" s="33">
        <v>38.0</v>
      </c>
      <c r="L531" s="11"/>
      <c r="M531" s="11"/>
      <c r="N531" s="11">
        <v>6.0</v>
      </c>
      <c r="O531" s="11">
        <v>2.0</v>
      </c>
      <c r="P531" s="11"/>
      <c r="Q531" s="11">
        <v>8.0</v>
      </c>
      <c r="R531" s="11"/>
      <c r="S531" s="11">
        <v>1.0</v>
      </c>
      <c r="T531" s="11">
        <v>1.0</v>
      </c>
      <c r="U531" s="11">
        <v>1.0</v>
      </c>
      <c r="V531" s="11">
        <v>3.0</v>
      </c>
      <c r="W531" s="11">
        <v>3.0</v>
      </c>
      <c r="X531" s="11">
        <v>2.0</v>
      </c>
      <c r="Y531" s="11">
        <v>2.0</v>
      </c>
      <c r="Z531" s="11"/>
      <c r="AA531" s="11">
        <v>2.0</v>
      </c>
      <c r="AB531" s="11">
        <v>2.0</v>
      </c>
      <c r="AC531" s="11">
        <v>1.0</v>
      </c>
      <c r="AD531" s="11">
        <v>2.0</v>
      </c>
      <c r="AE531" s="11"/>
      <c r="AF531" s="11"/>
    </row>
    <row r="532" ht="15.75" customHeight="1">
      <c r="A532" s="13">
        <v>529.0</v>
      </c>
      <c r="B532" s="13">
        <v>29.0</v>
      </c>
      <c r="C532" s="13" t="s">
        <v>105</v>
      </c>
      <c r="D532" s="13" t="s">
        <v>1358</v>
      </c>
      <c r="E532" s="13"/>
      <c r="F532" s="13" t="s">
        <v>1359</v>
      </c>
      <c r="G532" s="13" t="s">
        <v>175</v>
      </c>
      <c r="H532" s="13">
        <v>2.0</v>
      </c>
      <c r="I532" s="13">
        <v>3.0</v>
      </c>
      <c r="J532" s="35">
        <v>6.0</v>
      </c>
      <c r="K532" s="35">
        <v>38.0</v>
      </c>
      <c r="L532" s="13"/>
      <c r="M532" s="13"/>
      <c r="N532" s="13">
        <v>10.0</v>
      </c>
      <c r="O532" s="13">
        <v>3.0</v>
      </c>
      <c r="P532" s="13"/>
      <c r="Q532" s="13">
        <v>9.0</v>
      </c>
      <c r="R532" s="13"/>
      <c r="S532" s="13">
        <v>1.0</v>
      </c>
      <c r="T532" s="13">
        <v>1.0</v>
      </c>
      <c r="U532" s="13">
        <v>1.0</v>
      </c>
      <c r="V532" s="13">
        <v>4.0</v>
      </c>
      <c r="W532" s="13">
        <v>3.0</v>
      </c>
      <c r="X532" s="13">
        <v>3.0</v>
      </c>
      <c r="Y532" s="13">
        <v>2.0</v>
      </c>
      <c r="Z532" s="13"/>
      <c r="AA532" s="13">
        <v>3.0</v>
      </c>
      <c r="AB532" s="13">
        <v>3.0</v>
      </c>
      <c r="AC532" s="13">
        <v>1.0</v>
      </c>
      <c r="AD532" s="13">
        <v>3.0</v>
      </c>
      <c r="AE532" s="13"/>
      <c r="AF532" s="13"/>
    </row>
    <row r="533" ht="15.75" customHeight="1">
      <c r="A533" s="11">
        <v>530.0</v>
      </c>
      <c r="B533" s="11">
        <v>29.0</v>
      </c>
      <c r="C533" s="11" t="s">
        <v>105</v>
      </c>
      <c r="D533" s="11" t="s">
        <v>1360</v>
      </c>
      <c r="E533" s="11"/>
      <c r="F533" s="11" t="s">
        <v>1361</v>
      </c>
      <c r="G533" s="11" t="s">
        <v>175</v>
      </c>
      <c r="H533" s="11">
        <v>2.0</v>
      </c>
      <c r="I533" s="11">
        <v>4.0</v>
      </c>
      <c r="J533" s="33">
        <v>5.0</v>
      </c>
      <c r="K533" s="33">
        <v>38.0</v>
      </c>
      <c r="L533" s="11"/>
      <c r="M533" s="11"/>
      <c r="N533" s="11">
        <v>10.0</v>
      </c>
      <c r="O533" s="11">
        <v>3.0</v>
      </c>
      <c r="P533" s="11"/>
      <c r="Q533" s="11">
        <v>9.0</v>
      </c>
      <c r="R533" s="11"/>
      <c r="S533" s="11">
        <v>1.0</v>
      </c>
      <c r="T533" s="11">
        <v>1.0</v>
      </c>
      <c r="U533" s="11">
        <v>1.0</v>
      </c>
      <c r="V533" s="11">
        <v>4.0</v>
      </c>
      <c r="W533" s="11">
        <v>3.0</v>
      </c>
      <c r="X533" s="11">
        <v>3.0</v>
      </c>
      <c r="Y533" s="11">
        <v>2.0</v>
      </c>
      <c r="Z533" s="11"/>
      <c r="AA533" s="11">
        <v>3.0</v>
      </c>
      <c r="AB533" s="11">
        <v>3.0</v>
      </c>
      <c r="AC533" s="11">
        <v>1.0</v>
      </c>
      <c r="AD533" s="11">
        <v>3.0</v>
      </c>
      <c r="AE533" s="11"/>
      <c r="AF533" s="11"/>
    </row>
    <row r="534" ht="15.75" customHeight="1">
      <c r="A534" s="13">
        <v>531.0</v>
      </c>
      <c r="B534" s="13">
        <v>29.0</v>
      </c>
      <c r="C534" s="13" t="s">
        <v>105</v>
      </c>
      <c r="D534" s="13" t="s">
        <v>1362</v>
      </c>
      <c r="E534" s="13" t="s">
        <v>1363</v>
      </c>
      <c r="F534" s="13" t="s">
        <v>1364</v>
      </c>
      <c r="G534" s="13" t="s">
        <v>175</v>
      </c>
      <c r="H534" s="13">
        <v>3.0</v>
      </c>
      <c r="I534" s="13">
        <v>1.0</v>
      </c>
      <c r="J534" s="35">
        <v>8.0</v>
      </c>
      <c r="K534" s="35">
        <v>38.0</v>
      </c>
      <c r="L534" s="13"/>
      <c r="M534" s="13"/>
      <c r="N534" s="13">
        <v>6.0</v>
      </c>
      <c r="O534" s="13">
        <v>3.0</v>
      </c>
      <c r="P534" s="13"/>
      <c r="Q534" s="13">
        <v>6.0</v>
      </c>
      <c r="R534" s="13"/>
      <c r="S534" s="13">
        <v>1.0</v>
      </c>
      <c r="T534" s="13">
        <v>1.0</v>
      </c>
      <c r="U534" s="13">
        <v>1.0</v>
      </c>
      <c r="V534" s="13">
        <v>3.0</v>
      </c>
      <c r="W534" s="13">
        <v>2.0</v>
      </c>
      <c r="X534" s="13">
        <v>2.0</v>
      </c>
      <c r="Y534" s="13">
        <v>2.0</v>
      </c>
      <c r="Z534" s="13"/>
      <c r="AA534" s="13">
        <v>1.0</v>
      </c>
      <c r="AB534" s="13">
        <v>1.0</v>
      </c>
      <c r="AC534" s="13"/>
      <c r="AD534" s="13">
        <v>2.0</v>
      </c>
      <c r="AE534" s="13">
        <v>1.0</v>
      </c>
      <c r="AF534" s="13"/>
    </row>
    <row r="535" ht="15.75" customHeight="1">
      <c r="A535" s="11">
        <v>532.0</v>
      </c>
      <c r="B535" s="11">
        <v>29.0</v>
      </c>
      <c r="C535" s="11" t="s">
        <v>105</v>
      </c>
      <c r="D535" s="11" t="s">
        <v>1365</v>
      </c>
      <c r="E535" s="11"/>
      <c r="F535" s="11" t="s">
        <v>1366</v>
      </c>
      <c r="G535" s="11" t="s">
        <v>175</v>
      </c>
      <c r="H535" s="11">
        <v>3.0</v>
      </c>
      <c r="I535" s="11">
        <v>2.0</v>
      </c>
      <c r="J535" s="33">
        <v>7.0</v>
      </c>
      <c r="K535" s="33">
        <v>38.0</v>
      </c>
      <c r="L535" s="11"/>
      <c r="M535" s="11"/>
      <c r="N535" s="11">
        <v>6.0</v>
      </c>
      <c r="O535" s="11">
        <v>3.0</v>
      </c>
      <c r="P535" s="11"/>
      <c r="Q535" s="11">
        <v>6.0</v>
      </c>
      <c r="R535" s="11"/>
      <c r="S535" s="11">
        <v>1.0</v>
      </c>
      <c r="T535" s="11">
        <v>1.0</v>
      </c>
      <c r="U535" s="11">
        <v>1.0</v>
      </c>
      <c r="V535" s="11">
        <v>3.0</v>
      </c>
      <c r="W535" s="11">
        <v>2.0</v>
      </c>
      <c r="X535" s="11">
        <v>2.0</v>
      </c>
      <c r="Y535" s="11">
        <v>2.0</v>
      </c>
      <c r="Z535" s="11"/>
      <c r="AA535" s="11">
        <v>1.0</v>
      </c>
      <c r="AB535" s="11">
        <v>1.0</v>
      </c>
      <c r="AC535" s="11"/>
      <c r="AD535" s="11">
        <v>2.0</v>
      </c>
      <c r="AE535" s="11">
        <v>1.0</v>
      </c>
      <c r="AF535" s="11"/>
    </row>
    <row r="536" ht="15.75" customHeight="1">
      <c r="A536" s="13">
        <v>533.0</v>
      </c>
      <c r="B536" s="13">
        <v>29.0</v>
      </c>
      <c r="C536" s="13" t="s">
        <v>105</v>
      </c>
      <c r="D536" s="13" t="s">
        <v>1367</v>
      </c>
      <c r="E536" s="13"/>
      <c r="F536" s="13" t="s">
        <v>1368</v>
      </c>
      <c r="G536" s="13" t="s">
        <v>175</v>
      </c>
      <c r="H536" s="13">
        <v>3.0</v>
      </c>
      <c r="I536" s="13">
        <v>3.0</v>
      </c>
      <c r="J536" s="35">
        <v>6.0</v>
      </c>
      <c r="K536" s="35">
        <v>38.0</v>
      </c>
      <c r="L536" s="13"/>
      <c r="M536" s="13"/>
      <c r="N536" s="13">
        <v>10.0</v>
      </c>
      <c r="O536" s="13">
        <v>4.0</v>
      </c>
      <c r="P536" s="13"/>
      <c r="Q536" s="13">
        <v>7.0</v>
      </c>
      <c r="R536" s="13"/>
      <c r="S536" s="13">
        <v>1.0</v>
      </c>
      <c r="T536" s="13">
        <v>1.0</v>
      </c>
      <c r="U536" s="13">
        <v>1.0</v>
      </c>
      <c r="V536" s="13">
        <v>4.0</v>
      </c>
      <c r="W536" s="13">
        <v>2.0</v>
      </c>
      <c r="X536" s="13">
        <v>3.0</v>
      </c>
      <c r="Y536" s="13">
        <v>2.0</v>
      </c>
      <c r="Z536" s="13"/>
      <c r="AA536" s="13">
        <v>1.0</v>
      </c>
      <c r="AB536" s="13">
        <v>2.0</v>
      </c>
      <c r="AC536" s="13"/>
      <c r="AD536" s="13">
        <v>3.0</v>
      </c>
      <c r="AE536" s="13">
        <v>1.0</v>
      </c>
      <c r="AF536" s="13"/>
    </row>
    <row r="537" ht="15.75" customHeight="1">
      <c r="A537" s="11">
        <v>534.0</v>
      </c>
      <c r="B537" s="11">
        <v>29.0</v>
      </c>
      <c r="C537" s="11" t="s">
        <v>105</v>
      </c>
      <c r="D537" s="11" t="s">
        <v>1369</v>
      </c>
      <c r="E537" s="11"/>
      <c r="F537" s="11" t="s">
        <v>1370</v>
      </c>
      <c r="G537" s="11" t="s">
        <v>175</v>
      </c>
      <c r="H537" s="11">
        <v>3.0</v>
      </c>
      <c r="I537" s="11">
        <v>4.0</v>
      </c>
      <c r="J537" s="33">
        <v>5.0</v>
      </c>
      <c r="K537" s="33">
        <v>38.0</v>
      </c>
      <c r="L537" s="11"/>
      <c r="M537" s="11"/>
      <c r="N537" s="11">
        <v>10.0</v>
      </c>
      <c r="O537" s="11">
        <v>4.0</v>
      </c>
      <c r="P537" s="11"/>
      <c r="Q537" s="11">
        <v>7.0</v>
      </c>
      <c r="R537" s="11"/>
      <c r="S537" s="11">
        <v>1.0</v>
      </c>
      <c r="T537" s="11">
        <v>1.0</v>
      </c>
      <c r="U537" s="11">
        <v>1.0</v>
      </c>
      <c r="V537" s="11">
        <v>4.0</v>
      </c>
      <c r="W537" s="11">
        <v>2.0</v>
      </c>
      <c r="X537" s="11">
        <v>3.0</v>
      </c>
      <c r="Y537" s="11">
        <v>2.0</v>
      </c>
      <c r="Z537" s="11"/>
      <c r="AA537" s="11">
        <v>1.0</v>
      </c>
      <c r="AB537" s="11">
        <v>2.0</v>
      </c>
      <c r="AC537" s="11"/>
      <c r="AD537" s="11">
        <v>3.0</v>
      </c>
      <c r="AE537" s="11">
        <v>1.0</v>
      </c>
      <c r="AF537" s="11"/>
    </row>
    <row r="538" ht="15.75" customHeight="1">
      <c r="A538" s="13">
        <v>535.0</v>
      </c>
      <c r="B538" s="13">
        <v>29.0</v>
      </c>
      <c r="C538" s="13" t="s">
        <v>105</v>
      </c>
      <c r="D538" s="13" t="s">
        <v>1371</v>
      </c>
      <c r="E538" s="13" t="s">
        <v>1372</v>
      </c>
      <c r="F538" s="13" t="s">
        <v>1373</v>
      </c>
      <c r="G538" s="13" t="s">
        <v>175</v>
      </c>
      <c r="H538" s="13">
        <v>4.0</v>
      </c>
      <c r="I538" s="13">
        <v>1.0</v>
      </c>
      <c r="J538" s="35">
        <v>8.0</v>
      </c>
      <c r="K538" s="35">
        <v>38.0</v>
      </c>
      <c r="L538" s="13"/>
      <c r="M538" s="13"/>
      <c r="N538" s="13">
        <v>6.0</v>
      </c>
      <c r="O538" s="13">
        <v>3.0</v>
      </c>
      <c r="P538" s="13"/>
      <c r="Q538" s="13">
        <v>6.0</v>
      </c>
      <c r="R538" s="13">
        <v>1.0</v>
      </c>
      <c r="S538" s="13">
        <v>1.0</v>
      </c>
      <c r="T538" s="13">
        <v>1.0</v>
      </c>
      <c r="U538" s="13">
        <v>1.0</v>
      </c>
      <c r="V538" s="13">
        <v>3.0</v>
      </c>
      <c r="W538" s="13">
        <v>2.0</v>
      </c>
      <c r="X538" s="13">
        <v>2.0</v>
      </c>
      <c r="Y538" s="13">
        <v>2.0</v>
      </c>
      <c r="Z538" s="13"/>
      <c r="AA538" s="13">
        <v>1.0</v>
      </c>
      <c r="AB538" s="13">
        <v>1.0</v>
      </c>
      <c r="AC538" s="13"/>
      <c r="AD538" s="13">
        <v>3.0</v>
      </c>
      <c r="AE538" s="13">
        <v>1.0</v>
      </c>
      <c r="AF538" s="13"/>
    </row>
    <row r="539" ht="15.75" customHeight="1">
      <c r="A539" s="11">
        <v>536.0</v>
      </c>
      <c r="B539" s="11">
        <v>29.0</v>
      </c>
      <c r="C539" s="11" t="s">
        <v>105</v>
      </c>
      <c r="D539" s="11" t="s">
        <v>1374</v>
      </c>
      <c r="E539" s="11"/>
      <c r="F539" s="11" t="s">
        <v>1375</v>
      </c>
      <c r="G539" s="11" t="s">
        <v>175</v>
      </c>
      <c r="H539" s="11">
        <v>4.0</v>
      </c>
      <c r="I539" s="11">
        <v>2.0</v>
      </c>
      <c r="J539" s="33">
        <v>7.0</v>
      </c>
      <c r="K539" s="33">
        <v>38.0</v>
      </c>
      <c r="L539" s="11"/>
      <c r="M539" s="11"/>
      <c r="N539" s="11">
        <v>6.0</v>
      </c>
      <c r="O539" s="11">
        <v>3.0</v>
      </c>
      <c r="P539" s="11"/>
      <c r="Q539" s="11">
        <v>6.0</v>
      </c>
      <c r="R539" s="11">
        <v>1.0</v>
      </c>
      <c r="S539" s="11">
        <v>1.0</v>
      </c>
      <c r="T539" s="11">
        <v>1.0</v>
      </c>
      <c r="U539" s="11">
        <v>1.0</v>
      </c>
      <c r="V539" s="11">
        <v>3.0</v>
      </c>
      <c r="W539" s="11">
        <v>2.0</v>
      </c>
      <c r="X539" s="11">
        <v>2.0</v>
      </c>
      <c r="Y539" s="11">
        <v>2.0</v>
      </c>
      <c r="Z539" s="11"/>
      <c r="AA539" s="11">
        <v>1.0</v>
      </c>
      <c r="AB539" s="11">
        <v>1.0</v>
      </c>
      <c r="AC539" s="11"/>
      <c r="AD539" s="11">
        <v>3.0</v>
      </c>
      <c r="AE539" s="11">
        <v>1.0</v>
      </c>
      <c r="AF539" s="11"/>
    </row>
    <row r="540" ht="15.75" customHeight="1">
      <c r="A540" s="13">
        <v>537.0</v>
      </c>
      <c r="B540" s="13">
        <v>29.0</v>
      </c>
      <c r="C540" s="13" t="s">
        <v>105</v>
      </c>
      <c r="D540" s="13" t="s">
        <v>1376</v>
      </c>
      <c r="E540" s="13"/>
      <c r="F540" s="13" t="s">
        <v>1377</v>
      </c>
      <c r="G540" s="13" t="s">
        <v>175</v>
      </c>
      <c r="H540" s="13">
        <v>4.0</v>
      </c>
      <c r="I540" s="13">
        <v>3.0</v>
      </c>
      <c r="J540" s="35">
        <v>6.0</v>
      </c>
      <c r="K540" s="35">
        <v>38.0</v>
      </c>
      <c r="L540" s="13"/>
      <c r="M540" s="13"/>
      <c r="N540" s="13">
        <v>10.0</v>
      </c>
      <c r="O540" s="13">
        <v>4.0</v>
      </c>
      <c r="P540" s="13"/>
      <c r="Q540" s="13">
        <v>7.0</v>
      </c>
      <c r="R540" s="13">
        <v>1.0</v>
      </c>
      <c r="S540" s="13">
        <v>1.0</v>
      </c>
      <c r="T540" s="13">
        <v>1.0</v>
      </c>
      <c r="U540" s="13">
        <v>1.0</v>
      </c>
      <c r="V540" s="13">
        <v>4.0</v>
      </c>
      <c r="W540" s="13">
        <v>2.0</v>
      </c>
      <c r="X540" s="13">
        <v>3.0</v>
      </c>
      <c r="Y540" s="13">
        <v>2.0</v>
      </c>
      <c r="Z540" s="13"/>
      <c r="AA540" s="13">
        <v>1.0</v>
      </c>
      <c r="AB540" s="13">
        <v>1.0</v>
      </c>
      <c r="AC540" s="13"/>
      <c r="AD540" s="13">
        <v>4.0</v>
      </c>
      <c r="AE540" s="13">
        <v>1.0</v>
      </c>
      <c r="AF540" s="13"/>
    </row>
    <row r="541" ht="15.75" customHeight="1">
      <c r="A541" s="11">
        <v>538.0</v>
      </c>
      <c r="B541" s="11">
        <v>29.0</v>
      </c>
      <c r="C541" s="11" t="s">
        <v>105</v>
      </c>
      <c r="D541" s="11" t="s">
        <v>1378</v>
      </c>
      <c r="E541" s="11"/>
      <c r="F541" s="11" t="s">
        <v>1379</v>
      </c>
      <c r="G541" s="11" t="s">
        <v>175</v>
      </c>
      <c r="H541" s="11">
        <v>4.0</v>
      </c>
      <c r="I541" s="11">
        <v>4.0</v>
      </c>
      <c r="J541" s="33">
        <v>5.0</v>
      </c>
      <c r="K541" s="33">
        <v>38.0</v>
      </c>
      <c r="L541" s="11"/>
      <c r="M541" s="11"/>
      <c r="N541" s="11">
        <v>10.0</v>
      </c>
      <c r="O541" s="11">
        <v>4.0</v>
      </c>
      <c r="P541" s="11"/>
      <c r="Q541" s="11">
        <v>7.0</v>
      </c>
      <c r="R541" s="11">
        <v>1.0</v>
      </c>
      <c r="S541" s="11">
        <v>1.0</v>
      </c>
      <c r="T541" s="11">
        <v>1.0</v>
      </c>
      <c r="U541" s="11">
        <v>1.0</v>
      </c>
      <c r="V541" s="11">
        <v>4.0</v>
      </c>
      <c r="W541" s="11">
        <v>2.0</v>
      </c>
      <c r="X541" s="11">
        <v>3.0</v>
      </c>
      <c r="Y541" s="11">
        <v>2.0</v>
      </c>
      <c r="Z541" s="11"/>
      <c r="AA541" s="11">
        <v>1.0</v>
      </c>
      <c r="AB541" s="11">
        <v>1.0</v>
      </c>
      <c r="AC541" s="11"/>
      <c r="AD541" s="11">
        <v>4.0</v>
      </c>
      <c r="AE541" s="11">
        <v>1.0</v>
      </c>
      <c r="AF541" s="11"/>
    </row>
    <row r="542" ht="15.75" customHeight="1">
      <c r="A542" s="13">
        <v>539.0</v>
      </c>
      <c r="B542" s="13">
        <v>29.0</v>
      </c>
      <c r="C542" s="13" t="s">
        <v>105</v>
      </c>
      <c r="D542" s="13" t="s">
        <v>1380</v>
      </c>
      <c r="E542" s="13"/>
      <c r="F542" s="13" t="s">
        <v>1381</v>
      </c>
      <c r="G542" s="13" t="s">
        <v>74</v>
      </c>
      <c r="H542" s="13">
        <v>5.0</v>
      </c>
      <c r="I542" s="13">
        <v>5.0</v>
      </c>
      <c r="J542" s="35">
        <v>1.0</v>
      </c>
      <c r="K542" s="35">
        <v>192.0</v>
      </c>
      <c r="L542" s="13"/>
      <c r="M542" s="13"/>
      <c r="N542" s="13">
        <v>32.0</v>
      </c>
      <c r="O542" s="13">
        <v>8.0</v>
      </c>
      <c r="P542" s="13">
        <v>4.0</v>
      </c>
      <c r="Q542" s="13">
        <v>32.0</v>
      </c>
      <c r="R542" s="13">
        <v>1.0</v>
      </c>
      <c r="S542" s="13">
        <v>3.0</v>
      </c>
      <c r="T542" s="13">
        <v>3.0</v>
      </c>
      <c r="U542" s="13">
        <v>3.0</v>
      </c>
      <c r="V542" s="13">
        <v>10.0</v>
      </c>
      <c r="W542" s="13">
        <v>7.0</v>
      </c>
      <c r="X542" s="13">
        <v>6.0</v>
      </c>
      <c r="Y542" s="13">
        <v>5.0</v>
      </c>
      <c r="Z542" s="13"/>
      <c r="AA542" s="13">
        <v>3.0</v>
      </c>
      <c r="AB542" s="13">
        <v>3.0</v>
      </c>
      <c r="AC542" s="13">
        <v>1.0</v>
      </c>
      <c r="AD542" s="13">
        <v>8.0</v>
      </c>
      <c r="AE542" s="13">
        <v>2.0</v>
      </c>
      <c r="AF542" s="13"/>
    </row>
    <row r="543" ht="15.75" customHeight="1">
      <c r="A543" s="11">
        <v>540.0</v>
      </c>
      <c r="B543" s="11">
        <v>30.0</v>
      </c>
      <c r="C543" s="11" t="s">
        <v>107</v>
      </c>
      <c r="D543" s="11" t="s">
        <v>1382</v>
      </c>
      <c r="E543" s="11"/>
      <c r="F543" s="11" t="s">
        <v>1383</v>
      </c>
      <c r="G543" s="11" t="s">
        <v>170</v>
      </c>
      <c r="H543" s="11">
        <v>0.0</v>
      </c>
      <c r="I543" s="11">
        <v>0.0</v>
      </c>
      <c r="J543" s="33">
        <v>15.0</v>
      </c>
      <c r="K543" s="33">
        <v>200.0</v>
      </c>
      <c r="L543" s="11"/>
      <c r="M543" s="34" t="s">
        <v>1384</v>
      </c>
      <c r="N543" s="11">
        <v>30.0</v>
      </c>
      <c r="O543" s="11">
        <v>10.0</v>
      </c>
      <c r="P543" s="11">
        <v>10.0</v>
      </c>
      <c r="Q543" s="11">
        <v>20.0</v>
      </c>
      <c r="R543" s="11">
        <v>5.0</v>
      </c>
      <c r="S543" s="11">
        <v>3.0</v>
      </c>
      <c r="T543" s="11">
        <v>4.0</v>
      </c>
      <c r="U543" s="11">
        <v>5.0</v>
      </c>
      <c r="V543" s="11">
        <v>7.0</v>
      </c>
      <c r="W543" s="11">
        <v>5.0</v>
      </c>
      <c r="X543" s="11">
        <v>5.0</v>
      </c>
      <c r="Y543" s="11">
        <v>4.0</v>
      </c>
      <c r="Z543" s="11">
        <v>1.0</v>
      </c>
      <c r="AA543" s="11">
        <v>3.0</v>
      </c>
      <c r="AB543" s="11">
        <v>3.0</v>
      </c>
      <c r="AC543" s="11">
        <v>2.0</v>
      </c>
      <c r="AD543" s="11">
        <v>3.0</v>
      </c>
      <c r="AE543" s="11">
        <v>2.0</v>
      </c>
      <c r="AF543" s="11"/>
    </row>
    <row r="544" ht="15.75" customHeight="1">
      <c r="A544" s="13">
        <v>541.0</v>
      </c>
      <c r="B544" s="13">
        <v>30.0</v>
      </c>
      <c r="C544" s="13" t="s">
        <v>107</v>
      </c>
      <c r="D544" s="13" t="s">
        <v>1385</v>
      </c>
      <c r="E544" s="13" t="s">
        <v>1386</v>
      </c>
      <c r="F544" s="13" t="s">
        <v>1387</v>
      </c>
      <c r="G544" s="13" t="s">
        <v>175</v>
      </c>
      <c r="H544" s="13">
        <v>1.0</v>
      </c>
      <c r="I544" s="13">
        <v>1.0</v>
      </c>
      <c r="J544" s="35">
        <v>8.0</v>
      </c>
      <c r="K544" s="35">
        <v>38.0</v>
      </c>
      <c r="L544" s="13"/>
      <c r="M544" s="13"/>
      <c r="N544" s="13">
        <v>6.0</v>
      </c>
      <c r="O544" s="13">
        <v>3.0</v>
      </c>
      <c r="P544" s="13">
        <v>2.0</v>
      </c>
      <c r="Q544" s="13">
        <v>6.0</v>
      </c>
      <c r="R544" s="13">
        <v>2.0</v>
      </c>
      <c r="S544" s="13">
        <v>1.0</v>
      </c>
      <c r="T544" s="13">
        <v>1.0</v>
      </c>
      <c r="U544" s="13">
        <v>2.0</v>
      </c>
      <c r="V544" s="13">
        <v>4.0</v>
      </c>
      <c r="W544" s="13">
        <v>2.0</v>
      </c>
      <c r="X544" s="13">
        <v>3.0</v>
      </c>
      <c r="Y544" s="13">
        <v>2.0</v>
      </c>
      <c r="Z544" s="13"/>
      <c r="AA544" s="13">
        <v>2.0</v>
      </c>
      <c r="AB544" s="13">
        <v>2.0</v>
      </c>
      <c r="AC544" s="13">
        <v>1.0</v>
      </c>
      <c r="AD544" s="13">
        <v>1.0</v>
      </c>
      <c r="AE544" s="13">
        <v>1.0</v>
      </c>
      <c r="AF544" s="13"/>
    </row>
    <row r="545" ht="15.75" customHeight="1">
      <c r="A545" s="11">
        <v>542.0</v>
      </c>
      <c r="B545" s="11">
        <v>30.0</v>
      </c>
      <c r="C545" s="11" t="s">
        <v>107</v>
      </c>
      <c r="D545" s="11" t="s">
        <v>1388</v>
      </c>
      <c r="E545" s="11"/>
      <c r="F545" s="11" t="s">
        <v>1389</v>
      </c>
      <c r="G545" s="11" t="s">
        <v>175</v>
      </c>
      <c r="H545" s="11">
        <v>1.0</v>
      </c>
      <c r="I545" s="11">
        <v>2.0</v>
      </c>
      <c r="J545" s="33">
        <v>7.0</v>
      </c>
      <c r="K545" s="33">
        <v>38.0</v>
      </c>
      <c r="L545" s="11"/>
      <c r="M545" s="11"/>
      <c r="N545" s="11">
        <v>6.0</v>
      </c>
      <c r="O545" s="11">
        <v>3.0</v>
      </c>
      <c r="P545" s="11">
        <v>2.0</v>
      </c>
      <c r="Q545" s="11">
        <v>6.0</v>
      </c>
      <c r="R545" s="11">
        <v>2.0</v>
      </c>
      <c r="S545" s="11">
        <v>1.0</v>
      </c>
      <c r="T545" s="11">
        <v>1.0</v>
      </c>
      <c r="U545" s="11">
        <v>2.0</v>
      </c>
      <c r="V545" s="11">
        <v>4.0</v>
      </c>
      <c r="W545" s="11">
        <v>2.0</v>
      </c>
      <c r="X545" s="11">
        <v>3.0</v>
      </c>
      <c r="Y545" s="11">
        <v>2.0</v>
      </c>
      <c r="Z545" s="11"/>
      <c r="AA545" s="11">
        <v>2.0</v>
      </c>
      <c r="AB545" s="11">
        <v>2.0</v>
      </c>
      <c r="AC545" s="11">
        <v>1.0</v>
      </c>
      <c r="AD545" s="11">
        <v>1.0</v>
      </c>
      <c r="AE545" s="11">
        <v>1.0</v>
      </c>
      <c r="AF545" s="11"/>
    </row>
    <row r="546" ht="15.75" customHeight="1">
      <c r="A546" s="13">
        <v>543.0</v>
      </c>
      <c r="B546" s="13">
        <v>30.0</v>
      </c>
      <c r="C546" s="13" t="s">
        <v>107</v>
      </c>
      <c r="D546" s="13" t="s">
        <v>1390</v>
      </c>
      <c r="E546" s="13"/>
      <c r="F546" s="13" t="s">
        <v>1391</v>
      </c>
      <c r="G546" s="13" t="s">
        <v>175</v>
      </c>
      <c r="H546" s="13">
        <v>1.0</v>
      </c>
      <c r="I546" s="13">
        <v>3.0</v>
      </c>
      <c r="J546" s="35">
        <v>6.0</v>
      </c>
      <c r="K546" s="35">
        <v>38.0</v>
      </c>
      <c r="L546" s="13"/>
      <c r="M546" s="13"/>
      <c r="N546" s="13">
        <v>10.0</v>
      </c>
      <c r="O546" s="13">
        <v>4.0</v>
      </c>
      <c r="P546" s="13">
        <v>3.0</v>
      </c>
      <c r="Q546" s="13">
        <v>7.0</v>
      </c>
      <c r="R546" s="13">
        <v>2.0</v>
      </c>
      <c r="S546" s="13">
        <v>1.0</v>
      </c>
      <c r="T546" s="13">
        <v>1.0</v>
      </c>
      <c r="U546" s="13">
        <v>2.0</v>
      </c>
      <c r="V546" s="13">
        <v>5.0</v>
      </c>
      <c r="W546" s="13">
        <v>2.0</v>
      </c>
      <c r="X546" s="13">
        <v>3.0</v>
      </c>
      <c r="Y546" s="13">
        <v>2.0</v>
      </c>
      <c r="Z546" s="13"/>
      <c r="AA546" s="13">
        <v>3.0</v>
      </c>
      <c r="AB546" s="13">
        <v>3.0</v>
      </c>
      <c r="AC546" s="13">
        <v>1.0</v>
      </c>
      <c r="AD546" s="13">
        <v>1.0</v>
      </c>
      <c r="AE546" s="13">
        <v>1.0</v>
      </c>
      <c r="AF546" s="13"/>
    </row>
    <row r="547" ht="15.75" customHeight="1">
      <c r="A547" s="11">
        <v>544.0</v>
      </c>
      <c r="B547" s="11">
        <v>30.0</v>
      </c>
      <c r="C547" s="11" t="s">
        <v>107</v>
      </c>
      <c r="D547" s="11" t="s">
        <v>1392</v>
      </c>
      <c r="E547" s="11"/>
      <c r="F547" s="11" t="s">
        <v>1393</v>
      </c>
      <c r="G547" s="11" t="s">
        <v>175</v>
      </c>
      <c r="H547" s="11">
        <v>1.0</v>
      </c>
      <c r="I547" s="11">
        <v>4.0</v>
      </c>
      <c r="J547" s="33">
        <v>5.0</v>
      </c>
      <c r="K547" s="33">
        <v>38.0</v>
      </c>
      <c r="L547" s="11"/>
      <c r="M547" s="11"/>
      <c r="N547" s="11">
        <v>10.0</v>
      </c>
      <c r="O547" s="11">
        <v>4.0</v>
      </c>
      <c r="P547" s="11">
        <v>3.0</v>
      </c>
      <c r="Q547" s="11">
        <v>7.0</v>
      </c>
      <c r="R547" s="11">
        <v>2.0</v>
      </c>
      <c r="S547" s="11">
        <v>1.0</v>
      </c>
      <c r="T547" s="11">
        <v>1.0</v>
      </c>
      <c r="U547" s="11">
        <v>2.0</v>
      </c>
      <c r="V547" s="11">
        <v>5.0</v>
      </c>
      <c r="W547" s="11">
        <v>2.0</v>
      </c>
      <c r="X547" s="11">
        <v>3.0</v>
      </c>
      <c r="Y547" s="11">
        <v>2.0</v>
      </c>
      <c r="Z547" s="11"/>
      <c r="AA547" s="11">
        <v>3.0</v>
      </c>
      <c r="AB547" s="11">
        <v>3.0</v>
      </c>
      <c r="AC547" s="11">
        <v>1.0</v>
      </c>
      <c r="AD547" s="11">
        <v>1.0</v>
      </c>
      <c r="AE547" s="11">
        <v>1.0</v>
      </c>
      <c r="AF547" s="11"/>
    </row>
    <row r="548" ht="15.75" customHeight="1">
      <c r="A548" s="13">
        <v>545.0</v>
      </c>
      <c r="B548" s="13">
        <v>30.0</v>
      </c>
      <c r="C548" s="13" t="s">
        <v>107</v>
      </c>
      <c r="D548" s="13" t="s">
        <v>1394</v>
      </c>
      <c r="E548" s="13" t="s">
        <v>1395</v>
      </c>
      <c r="F548" s="13" t="s">
        <v>1396</v>
      </c>
      <c r="G548" s="13" t="s">
        <v>175</v>
      </c>
      <c r="H548" s="13">
        <v>2.0</v>
      </c>
      <c r="I548" s="13">
        <v>1.0</v>
      </c>
      <c r="J548" s="35">
        <v>8.0</v>
      </c>
      <c r="K548" s="35">
        <v>38.0</v>
      </c>
      <c r="L548" s="13"/>
      <c r="M548" s="13"/>
      <c r="N548" s="13">
        <v>6.0</v>
      </c>
      <c r="O548" s="13">
        <v>3.0</v>
      </c>
      <c r="P548" s="13">
        <v>2.0</v>
      </c>
      <c r="Q548" s="13">
        <v>6.0</v>
      </c>
      <c r="R548" s="13">
        <v>1.0</v>
      </c>
      <c r="S548" s="13">
        <v>1.0</v>
      </c>
      <c r="T548" s="13">
        <v>2.0</v>
      </c>
      <c r="U548" s="13">
        <v>2.0</v>
      </c>
      <c r="V548" s="13">
        <v>3.0</v>
      </c>
      <c r="W548" s="13">
        <v>2.0</v>
      </c>
      <c r="X548" s="13">
        <v>2.0</v>
      </c>
      <c r="Y548" s="13">
        <v>2.0</v>
      </c>
      <c r="Z548" s="13"/>
      <c r="AA548" s="13">
        <v>2.0</v>
      </c>
      <c r="AB548" s="13">
        <v>2.0</v>
      </c>
      <c r="AC548" s="13">
        <v>1.0</v>
      </c>
      <c r="AD548" s="13">
        <v>2.0</v>
      </c>
      <c r="AE548" s="13">
        <v>1.0</v>
      </c>
      <c r="AF548" s="13"/>
    </row>
    <row r="549" ht="15.75" customHeight="1">
      <c r="A549" s="11">
        <v>546.0</v>
      </c>
      <c r="B549" s="11">
        <v>30.0</v>
      </c>
      <c r="C549" s="11" t="s">
        <v>107</v>
      </c>
      <c r="D549" s="11" t="s">
        <v>1397</v>
      </c>
      <c r="E549" s="11"/>
      <c r="F549" s="11" t="s">
        <v>1398</v>
      </c>
      <c r="G549" s="11" t="s">
        <v>175</v>
      </c>
      <c r="H549" s="11">
        <v>2.0</v>
      </c>
      <c r="I549" s="11">
        <v>2.0</v>
      </c>
      <c r="J549" s="33">
        <v>7.0</v>
      </c>
      <c r="K549" s="33">
        <v>38.0</v>
      </c>
      <c r="L549" s="11"/>
      <c r="M549" s="11"/>
      <c r="N549" s="11">
        <v>6.0</v>
      </c>
      <c r="O549" s="11">
        <v>3.0</v>
      </c>
      <c r="P549" s="11">
        <v>2.0</v>
      </c>
      <c r="Q549" s="11">
        <v>6.0</v>
      </c>
      <c r="R549" s="11">
        <v>1.0</v>
      </c>
      <c r="S549" s="11">
        <v>1.0</v>
      </c>
      <c r="T549" s="11">
        <v>2.0</v>
      </c>
      <c r="U549" s="11">
        <v>2.0</v>
      </c>
      <c r="V549" s="11">
        <v>3.0</v>
      </c>
      <c r="W549" s="11">
        <v>2.0</v>
      </c>
      <c r="X549" s="11">
        <v>2.0</v>
      </c>
      <c r="Y549" s="11">
        <v>2.0</v>
      </c>
      <c r="Z549" s="11"/>
      <c r="AA549" s="11">
        <v>2.0</v>
      </c>
      <c r="AB549" s="11">
        <v>2.0</v>
      </c>
      <c r="AC549" s="11">
        <v>1.0</v>
      </c>
      <c r="AD549" s="11">
        <v>2.0</v>
      </c>
      <c r="AE549" s="11">
        <v>1.0</v>
      </c>
      <c r="AF549" s="11"/>
    </row>
    <row r="550" ht="15.75" customHeight="1">
      <c r="A550" s="13">
        <v>547.0</v>
      </c>
      <c r="B550" s="13">
        <v>30.0</v>
      </c>
      <c r="C550" s="13" t="s">
        <v>107</v>
      </c>
      <c r="D550" s="13" t="s">
        <v>1399</v>
      </c>
      <c r="E550" s="13"/>
      <c r="F550" s="13" t="s">
        <v>1400</v>
      </c>
      <c r="G550" s="13" t="s">
        <v>175</v>
      </c>
      <c r="H550" s="13">
        <v>2.0</v>
      </c>
      <c r="I550" s="13">
        <v>3.0</v>
      </c>
      <c r="J550" s="35">
        <v>6.0</v>
      </c>
      <c r="K550" s="35">
        <v>38.0</v>
      </c>
      <c r="L550" s="13"/>
      <c r="M550" s="13"/>
      <c r="N550" s="13">
        <v>10.0</v>
      </c>
      <c r="O550" s="13">
        <v>4.0</v>
      </c>
      <c r="P550" s="13">
        <v>3.0</v>
      </c>
      <c r="Q550" s="13">
        <v>7.0</v>
      </c>
      <c r="R550" s="13">
        <v>1.0</v>
      </c>
      <c r="S550" s="13">
        <v>1.0</v>
      </c>
      <c r="T550" s="13">
        <v>2.0</v>
      </c>
      <c r="U550" s="13">
        <v>2.0</v>
      </c>
      <c r="V550" s="13">
        <v>4.0</v>
      </c>
      <c r="W550" s="13">
        <v>2.0</v>
      </c>
      <c r="X550" s="13">
        <v>3.0</v>
      </c>
      <c r="Y550" s="13">
        <v>2.0</v>
      </c>
      <c r="Z550" s="13"/>
      <c r="AA550" s="13">
        <v>2.0</v>
      </c>
      <c r="AB550" s="13">
        <v>3.0</v>
      </c>
      <c r="AC550" s="13">
        <v>1.0</v>
      </c>
      <c r="AD550" s="13">
        <v>2.0</v>
      </c>
      <c r="AE550" s="13">
        <v>1.0</v>
      </c>
      <c r="AF550" s="13"/>
    </row>
    <row r="551" ht="15.75" customHeight="1">
      <c r="A551" s="11">
        <v>548.0</v>
      </c>
      <c r="B551" s="11">
        <v>30.0</v>
      </c>
      <c r="C551" s="11" t="s">
        <v>107</v>
      </c>
      <c r="D551" s="11" t="s">
        <v>1401</v>
      </c>
      <c r="E551" s="11"/>
      <c r="F551" s="11" t="s">
        <v>1402</v>
      </c>
      <c r="G551" s="11" t="s">
        <v>175</v>
      </c>
      <c r="H551" s="11">
        <v>2.0</v>
      </c>
      <c r="I551" s="11">
        <v>4.0</v>
      </c>
      <c r="J551" s="33">
        <v>5.0</v>
      </c>
      <c r="K551" s="33">
        <v>38.0</v>
      </c>
      <c r="L551" s="11"/>
      <c r="M551" s="11"/>
      <c r="N551" s="11">
        <v>10.0</v>
      </c>
      <c r="O551" s="11">
        <v>4.0</v>
      </c>
      <c r="P551" s="11">
        <v>3.0</v>
      </c>
      <c r="Q551" s="11">
        <v>7.0</v>
      </c>
      <c r="R551" s="11">
        <v>1.0</v>
      </c>
      <c r="S551" s="11">
        <v>1.0</v>
      </c>
      <c r="T551" s="11">
        <v>2.0</v>
      </c>
      <c r="U551" s="11">
        <v>2.0</v>
      </c>
      <c r="V551" s="11">
        <v>4.0</v>
      </c>
      <c r="W551" s="11">
        <v>2.0</v>
      </c>
      <c r="X551" s="11">
        <v>3.0</v>
      </c>
      <c r="Y551" s="11">
        <v>2.0</v>
      </c>
      <c r="Z551" s="11"/>
      <c r="AA551" s="11">
        <v>2.0</v>
      </c>
      <c r="AB551" s="11">
        <v>3.0</v>
      </c>
      <c r="AC551" s="11">
        <v>1.0</v>
      </c>
      <c r="AD551" s="11">
        <v>2.0</v>
      </c>
      <c r="AE551" s="11">
        <v>1.0</v>
      </c>
      <c r="AF551" s="11"/>
    </row>
    <row r="552" ht="15.75" customHeight="1">
      <c r="A552" s="13">
        <v>549.0</v>
      </c>
      <c r="B552" s="13">
        <v>30.0</v>
      </c>
      <c r="C552" s="13" t="s">
        <v>107</v>
      </c>
      <c r="D552" s="13" t="s">
        <v>1403</v>
      </c>
      <c r="E552" s="13" t="s">
        <v>1404</v>
      </c>
      <c r="F552" s="13" t="s">
        <v>1405</v>
      </c>
      <c r="G552" s="13" t="s">
        <v>175</v>
      </c>
      <c r="H552" s="13">
        <v>3.0</v>
      </c>
      <c r="I552" s="13">
        <v>1.0</v>
      </c>
      <c r="J552" s="35">
        <v>8.0</v>
      </c>
      <c r="K552" s="35">
        <v>38.0</v>
      </c>
      <c r="L552" s="13"/>
      <c r="M552" s="13"/>
      <c r="N552" s="13">
        <v>6.0</v>
      </c>
      <c r="O552" s="13">
        <v>3.0</v>
      </c>
      <c r="P552" s="13">
        <v>3.0</v>
      </c>
      <c r="Q552" s="13">
        <v>5.0</v>
      </c>
      <c r="R552" s="13">
        <v>2.0</v>
      </c>
      <c r="S552" s="13">
        <v>1.0</v>
      </c>
      <c r="T552" s="13">
        <v>2.0</v>
      </c>
      <c r="U552" s="13">
        <v>3.0</v>
      </c>
      <c r="V552" s="13">
        <v>3.0</v>
      </c>
      <c r="W552" s="13">
        <v>2.0</v>
      </c>
      <c r="X552" s="13">
        <v>2.0</v>
      </c>
      <c r="Y552" s="13">
        <v>2.0</v>
      </c>
      <c r="Z552" s="13"/>
      <c r="AA552" s="13">
        <v>1.0</v>
      </c>
      <c r="AB552" s="13">
        <v>2.0</v>
      </c>
      <c r="AC552" s="13">
        <v>1.0</v>
      </c>
      <c r="AD552" s="13">
        <v>1.0</v>
      </c>
      <c r="AE552" s="13">
        <v>2.0</v>
      </c>
      <c r="AF552" s="13"/>
    </row>
    <row r="553" ht="15.75" customHeight="1">
      <c r="A553" s="11">
        <v>550.0</v>
      </c>
      <c r="B553" s="11">
        <v>30.0</v>
      </c>
      <c r="C553" s="11" t="s">
        <v>107</v>
      </c>
      <c r="D553" s="11" t="s">
        <v>1406</v>
      </c>
      <c r="E553" s="11"/>
      <c r="F553" s="11" t="s">
        <v>1407</v>
      </c>
      <c r="G553" s="11" t="s">
        <v>175</v>
      </c>
      <c r="H553" s="11">
        <v>3.0</v>
      </c>
      <c r="I553" s="11">
        <v>2.0</v>
      </c>
      <c r="J553" s="33">
        <v>7.0</v>
      </c>
      <c r="K553" s="33">
        <v>38.0</v>
      </c>
      <c r="L553" s="11"/>
      <c r="M553" s="11"/>
      <c r="N553" s="11">
        <v>6.0</v>
      </c>
      <c r="O553" s="11">
        <v>3.0</v>
      </c>
      <c r="P553" s="11">
        <v>3.0</v>
      </c>
      <c r="Q553" s="11">
        <v>5.0</v>
      </c>
      <c r="R553" s="11">
        <v>2.0</v>
      </c>
      <c r="S553" s="11">
        <v>1.0</v>
      </c>
      <c r="T553" s="11">
        <v>2.0</v>
      </c>
      <c r="U553" s="11">
        <v>3.0</v>
      </c>
      <c r="V553" s="11">
        <v>3.0</v>
      </c>
      <c r="W553" s="11">
        <v>2.0</v>
      </c>
      <c r="X553" s="11">
        <v>2.0</v>
      </c>
      <c r="Y553" s="11">
        <v>2.0</v>
      </c>
      <c r="Z553" s="11"/>
      <c r="AA553" s="11">
        <v>1.0</v>
      </c>
      <c r="AB553" s="11">
        <v>2.0</v>
      </c>
      <c r="AC553" s="11">
        <v>1.0</v>
      </c>
      <c r="AD553" s="11">
        <v>1.0</v>
      </c>
      <c r="AE553" s="11">
        <v>2.0</v>
      </c>
      <c r="AF553" s="11"/>
    </row>
    <row r="554" ht="15.75" customHeight="1">
      <c r="A554" s="13">
        <v>551.0</v>
      </c>
      <c r="B554" s="13">
        <v>30.0</v>
      </c>
      <c r="C554" s="13" t="s">
        <v>107</v>
      </c>
      <c r="D554" s="13" t="s">
        <v>1408</v>
      </c>
      <c r="E554" s="13"/>
      <c r="F554" s="13" t="s">
        <v>1409</v>
      </c>
      <c r="G554" s="13" t="s">
        <v>175</v>
      </c>
      <c r="H554" s="13">
        <v>3.0</v>
      </c>
      <c r="I554" s="13">
        <v>3.0</v>
      </c>
      <c r="J554" s="35">
        <v>6.0</v>
      </c>
      <c r="K554" s="35">
        <v>38.0</v>
      </c>
      <c r="L554" s="13"/>
      <c r="M554" s="13"/>
      <c r="N554" s="13">
        <v>10.0</v>
      </c>
      <c r="O554" s="13">
        <v>4.0</v>
      </c>
      <c r="P554" s="13">
        <v>4.0</v>
      </c>
      <c r="Q554" s="13">
        <v>6.0</v>
      </c>
      <c r="R554" s="13">
        <v>3.0</v>
      </c>
      <c r="S554" s="13">
        <v>1.0</v>
      </c>
      <c r="T554" s="13">
        <v>2.0</v>
      </c>
      <c r="U554" s="13">
        <v>3.0</v>
      </c>
      <c r="V554" s="13">
        <v>4.0</v>
      </c>
      <c r="W554" s="13">
        <v>2.0</v>
      </c>
      <c r="X554" s="13">
        <v>3.0</v>
      </c>
      <c r="Y554" s="13">
        <v>2.0</v>
      </c>
      <c r="Z554" s="13"/>
      <c r="AA554" s="13">
        <v>1.0</v>
      </c>
      <c r="AB554" s="13">
        <v>3.0</v>
      </c>
      <c r="AC554" s="13">
        <v>1.0</v>
      </c>
      <c r="AD554" s="13">
        <v>1.0</v>
      </c>
      <c r="AE554" s="13">
        <v>2.0</v>
      </c>
      <c r="AF554" s="13"/>
    </row>
    <row r="555" ht="15.75" customHeight="1">
      <c r="A555" s="11">
        <v>552.0</v>
      </c>
      <c r="B555" s="11">
        <v>30.0</v>
      </c>
      <c r="C555" s="11" t="s">
        <v>107</v>
      </c>
      <c r="D555" s="11" t="s">
        <v>1410</v>
      </c>
      <c r="E555" s="11"/>
      <c r="F555" s="11" t="s">
        <v>1411</v>
      </c>
      <c r="G555" s="11" t="s">
        <v>175</v>
      </c>
      <c r="H555" s="11">
        <v>3.0</v>
      </c>
      <c r="I555" s="11">
        <v>4.0</v>
      </c>
      <c r="J555" s="33">
        <v>5.0</v>
      </c>
      <c r="K555" s="33">
        <v>38.0</v>
      </c>
      <c r="L555" s="11"/>
      <c r="M555" s="11"/>
      <c r="N555" s="11">
        <v>10.0</v>
      </c>
      <c r="O555" s="11">
        <v>4.0</v>
      </c>
      <c r="P555" s="11">
        <v>4.0</v>
      </c>
      <c r="Q555" s="11">
        <v>6.0</v>
      </c>
      <c r="R555" s="11">
        <v>3.0</v>
      </c>
      <c r="S555" s="11">
        <v>1.0</v>
      </c>
      <c r="T555" s="11">
        <v>2.0</v>
      </c>
      <c r="U555" s="11">
        <v>3.0</v>
      </c>
      <c r="V555" s="11">
        <v>4.0</v>
      </c>
      <c r="W555" s="11">
        <v>2.0</v>
      </c>
      <c r="X555" s="11">
        <v>3.0</v>
      </c>
      <c r="Y555" s="11">
        <v>2.0</v>
      </c>
      <c r="Z555" s="11"/>
      <c r="AA555" s="11">
        <v>1.0</v>
      </c>
      <c r="AB555" s="11">
        <v>3.0</v>
      </c>
      <c r="AC555" s="11">
        <v>1.0</v>
      </c>
      <c r="AD555" s="11">
        <v>1.0</v>
      </c>
      <c r="AE555" s="11">
        <v>2.0</v>
      </c>
      <c r="AF555" s="11"/>
    </row>
    <row r="556" ht="15.75" customHeight="1">
      <c r="A556" s="13">
        <v>553.0</v>
      </c>
      <c r="B556" s="13">
        <v>30.0</v>
      </c>
      <c r="C556" s="13" t="s">
        <v>107</v>
      </c>
      <c r="D556" s="13" t="s">
        <v>1412</v>
      </c>
      <c r="E556" s="13" t="s">
        <v>1413</v>
      </c>
      <c r="F556" s="13" t="s">
        <v>1414</v>
      </c>
      <c r="G556" s="13" t="s">
        <v>175</v>
      </c>
      <c r="H556" s="13">
        <v>4.0</v>
      </c>
      <c r="I556" s="13">
        <v>1.0</v>
      </c>
      <c r="J556" s="35">
        <v>8.0</v>
      </c>
      <c r="K556" s="35">
        <v>38.0</v>
      </c>
      <c r="L556" s="13"/>
      <c r="M556" s="13"/>
      <c r="N556" s="13">
        <v>6.0</v>
      </c>
      <c r="O556" s="13">
        <v>3.0</v>
      </c>
      <c r="P556" s="13">
        <v>2.0</v>
      </c>
      <c r="Q556" s="13">
        <v>5.0</v>
      </c>
      <c r="R556" s="13">
        <v>1.0</v>
      </c>
      <c r="S556" s="13">
        <v>1.0</v>
      </c>
      <c r="T556" s="13">
        <v>2.0</v>
      </c>
      <c r="U556" s="13">
        <v>2.0</v>
      </c>
      <c r="V556" s="13">
        <v>3.0</v>
      </c>
      <c r="W556" s="13">
        <v>2.0</v>
      </c>
      <c r="X556" s="13">
        <v>2.0</v>
      </c>
      <c r="Y556" s="13">
        <v>2.0</v>
      </c>
      <c r="Z556" s="13"/>
      <c r="AA556" s="13">
        <v>1.0</v>
      </c>
      <c r="AB556" s="13">
        <v>2.0</v>
      </c>
      <c r="AC556" s="13">
        <v>1.0</v>
      </c>
      <c r="AD556" s="13">
        <v>2.0</v>
      </c>
      <c r="AE556" s="13">
        <v>1.0</v>
      </c>
      <c r="AF556" s="13"/>
    </row>
    <row r="557" ht="15.75" customHeight="1">
      <c r="A557" s="11">
        <v>554.0</v>
      </c>
      <c r="B557" s="11">
        <v>30.0</v>
      </c>
      <c r="C557" s="11" t="s">
        <v>107</v>
      </c>
      <c r="D557" s="11" t="s">
        <v>1415</v>
      </c>
      <c r="E557" s="11"/>
      <c r="F557" s="11" t="s">
        <v>1416</v>
      </c>
      <c r="G557" s="11" t="s">
        <v>175</v>
      </c>
      <c r="H557" s="11">
        <v>4.0</v>
      </c>
      <c r="I557" s="11">
        <v>2.0</v>
      </c>
      <c r="J557" s="33">
        <v>7.0</v>
      </c>
      <c r="K557" s="33">
        <v>38.0</v>
      </c>
      <c r="L557" s="11"/>
      <c r="M557" s="11"/>
      <c r="N557" s="11">
        <v>6.0</v>
      </c>
      <c r="O557" s="11">
        <v>3.0</v>
      </c>
      <c r="P557" s="11">
        <v>2.0</v>
      </c>
      <c r="Q557" s="11">
        <v>5.0</v>
      </c>
      <c r="R557" s="11">
        <v>1.0</v>
      </c>
      <c r="S557" s="11">
        <v>1.0</v>
      </c>
      <c r="T557" s="11">
        <v>2.0</v>
      </c>
      <c r="U557" s="11">
        <v>2.0</v>
      </c>
      <c r="V557" s="11">
        <v>3.0</v>
      </c>
      <c r="W557" s="11">
        <v>2.0</v>
      </c>
      <c r="X557" s="11">
        <v>2.0</v>
      </c>
      <c r="Y557" s="11">
        <v>2.0</v>
      </c>
      <c r="Z557" s="11"/>
      <c r="AA557" s="11">
        <v>1.0</v>
      </c>
      <c r="AB557" s="11">
        <v>2.0</v>
      </c>
      <c r="AC557" s="11">
        <v>1.0</v>
      </c>
      <c r="AD557" s="11">
        <v>2.0</v>
      </c>
      <c r="AE557" s="11">
        <v>1.0</v>
      </c>
      <c r="AF557" s="11"/>
    </row>
    <row r="558" ht="15.75" customHeight="1">
      <c r="A558" s="13">
        <v>555.0</v>
      </c>
      <c r="B558" s="13">
        <v>30.0</v>
      </c>
      <c r="C558" s="13" t="s">
        <v>107</v>
      </c>
      <c r="D558" s="13" t="s">
        <v>1417</v>
      </c>
      <c r="E558" s="13"/>
      <c r="F558" s="13" t="s">
        <v>1418</v>
      </c>
      <c r="G558" s="13" t="s">
        <v>175</v>
      </c>
      <c r="H558" s="13">
        <v>4.0</v>
      </c>
      <c r="I558" s="13">
        <v>3.0</v>
      </c>
      <c r="J558" s="35">
        <v>6.0</v>
      </c>
      <c r="K558" s="35">
        <v>38.0</v>
      </c>
      <c r="L558" s="13"/>
      <c r="M558" s="13"/>
      <c r="N558" s="13">
        <v>10.0</v>
      </c>
      <c r="O558" s="13">
        <v>4.0</v>
      </c>
      <c r="P558" s="13">
        <v>3.0</v>
      </c>
      <c r="Q558" s="13">
        <v>6.0</v>
      </c>
      <c r="R558" s="13">
        <v>1.0</v>
      </c>
      <c r="S558" s="13">
        <v>1.0</v>
      </c>
      <c r="T558" s="13">
        <v>2.0</v>
      </c>
      <c r="U558" s="13">
        <v>2.0</v>
      </c>
      <c r="V558" s="13">
        <v>4.0</v>
      </c>
      <c r="W558" s="13">
        <v>2.0</v>
      </c>
      <c r="X558" s="13">
        <v>3.0</v>
      </c>
      <c r="Y558" s="13">
        <v>2.0</v>
      </c>
      <c r="Z558" s="13"/>
      <c r="AA558" s="13">
        <v>1.0</v>
      </c>
      <c r="AB558" s="13">
        <v>3.0</v>
      </c>
      <c r="AC558" s="13">
        <v>1.0</v>
      </c>
      <c r="AD558" s="13">
        <v>2.0</v>
      </c>
      <c r="AE558" s="13">
        <v>2.0</v>
      </c>
      <c r="AF558" s="13"/>
    </row>
    <row r="559" ht="15.75" customHeight="1">
      <c r="A559" s="11">
        <v>556.0</v>
      </c>
      <c r="B559" s="11">
        <v>30.0</v>
      </c>
      <c r="C559" s="11" t="s">
        <v>107</v>
      </c>
      <c r="D559" s="11" t="s">
        <v>1419</v>
      </c>
      <c r="E559" s="11"/>
      <c r="F559" s="11" t="s">
        <v>1420</v>
      </c>
      <c r="G559" s="11" t="s">
        <v>175</v>
      </c>
      <c r="H559" s="11">
        <v>4.0</v>
      </c>
      <c r="I559" s="11">
        <v>4.0</v>
      </c>
      <c r="J559" s="33">
        <v>5.0</v>
      </c>
      <c r="K559" s="33">
        <v>38.0</v>
      </c>
      <c r="L559" s="11"/>
      <c r="M559" s="11"/>
      <c r="N559" s="11">
        <v>10.0</v>
      </c>
      <c r="O559" s="11">
        <v>4.0</v>
      </c>
      <c r="P559" s="11">
        <v>3.0</v>
      </c>
      <c r="Q559" s="11">
        <v>6.0</v>
      </c>
      <c r="R559" s="11">
        <v>1.0</v>
      </c>
      <c r="S559" s="11">
        <v>1.0</v>
      </c>
      <c r="T559" s="11">
        <v>2.0</v>
      </c>
      <c r="U559" s="11">
        <v>2.0</v>
      </c>
      <c r="V559" s="11">
        <v>4.0</v>
      </c>
      <c r="W559" s="11">
        <v>2.0</v>
      </c>
      <c r="X559" s="11">
        <v>3.0</v>
      </c>
      <c r="Y559" s="11">
        <v>2.0</v>
      </c>
      <c r="Z559" s="11"/>
      <c r="AA559" s="11">
        <v>1.0</v>
      </c>
      <c r="AB559" s="11">
        <v>3.0</v>
      </c>
      <c r="AC559" s="11">
        <v>1.0</v>
      </c>
      <c r="AD559" s="11">
        <v>2.0</v>
      </c>
      <c r="AE559" s="11">
        <v>2.0</v>
      </c>
      <c r="AF559" s="11"/>
    </row>
    <row r="560" ht="15.75" customHeight="1">
      <c r="A560" s="13">
        <v>557.0</v>
      </c>
      <c r="B560" s="13">
        <v>30.0</v>
      </c>
      <c r="C560" s="13" t="s">
        <v>107</v>
      </c>
      <c r="D560" s="13" t="s">
        <v>1421</v>
      </c>
      <c r="E560" s="13"/>
      <c r="F560" s="13" t="s">
        <v>1422</v>
      </c>
      <c r="G560" s="13" t="s">
        <v>74</v>
      </c>
      <c r="H560" s="13">
        <v>5.0</v>
      </c>
      <c r="I560" s="13">
        <v>5.0</v>
      </c>
      <c r="J560" s="35">
        <v>1.0</v>
      </c>
      <c r="K560" s="35">
        <v>192.0</v>
      </c>
      <c r="L560" s="13"/>
      <c r="M560" s="13"/>
      <c r="N560" s="13">
        <v>40.0</v>
      </c>
      <c r="O560" s="13">
        <v>12.0</v>
      </c>
      <c r="P560" s="13">
        <v>12.0</v>
      </c>
      <c r="Q560" s="13">
        <v>26.0</v>
      </c>
      <c r="R560" s="13">
        <v>7.0</v>
      </c>
      <c r="S560" s="13">
        <v>4.0</v>
      </c>
      <c r="T560" s="13">
        <v>5.0</v>
      </c>
      <c r="U560" s="13">
        <v>6.0</v>
      </c>
      <c r="V560" s="13">
        <v>10.0</v>
      </c>
      <c r="W560" s="13">
        <v>7.0</v>
      </c>
      <c r="X560" s="13">
        <v>7.0</v>
      </c>
      <c r="Y560" s="13">
        <v>5.0</v>
      </c>
      <c r="Z560" s="13">
        <v>1.0</v>
      </c>
      <c r="AA560" s="13">
        <v>4.0</v>
      </c>
      <c r="AB560" s="13">
        <v>4.0</v>
      </c>
      <c r="AC560" s="13">
        <v>2.0</v>
      </c>
      <c r="AD560" s="13">
        <v>4.0</v>
      </c>
      <c r="AE560" s="13">
        <v>3.0</v>
      </c>
      <c r="AF560" s="13"/>
    </row>
    <row r="561" ht="15.75" customHeight="1">
      <c r="A561" s="11">
        <v>558.0</v>
      </c>
      <c r="B561" s="11">
        <v>31.0</v>
      </c>
      <c r="C561" s="12" t="s">
        <v>109</v>
      </c>
      <c r="D561" s="12" t="s">
        <v>1423</v>
      </c>
      <c r="E561" s="11"/>
      <c r="F561" s="11" t="s">
        <v>1424</v>
      </c>
      <c r="G561" s="11" t="s">
        <v>170</v>
      </c>
      <c r="H561" s="11">
        <v>0.0</v>
      </c>
      <c r="I561" s="11">
        <v>0.0</v>
      </c>
      <c r="J561" s="33">
        <v>15.0</v>
      </c>
      <c r="K561" s="33">
        <v>200.0</v>
      </c>
      <c r="L561" s="11"/>
      <c r="M561" s="34" t="s">
        <v>1425</v>
      </c>
      <c r="N561" s="11">
        <v>26.0</v>
      </c>
      <c r="O561" s="11">
        <v>10.0</v>
      </c>
      <c r="P561" s="11">
        <v>10.0</v>
      </c>
      <c r="Q561" s="11">
        <v>18.0</v>
      </c>
      <c r="R561" s="11">
        <v>4.0</v>
      </c>
      <c r="S561" s="11">
        <v>2.0</v>
      </c>
      <c r="T561" s="11">
        <v>5.0</v>
      </c>
      <c r="U561" s="11">
        <v>7.0</v>
      </c>
      <c r="V561" s="11">
        <v>6.0</v>
      </c>
      <c r="W561" s="11">
        <v>4.0</v>
      </c>
      <c r="X561" s="11">
        <v>5.0</v>
      </c>
      <c r="Y561" s="11">
        <v>5.0</v>
      </c>
      <c r="Z561" s="11"/>
      <c r="AA561" s="11">
        <v>2.0</v>
      </c>
      <c r="AB561" s="11">
        <v>3.0</v>
      </c>
      <c r="AC561" s="11">
        <v>1.0</v>
      </c>
      <c r="AD561" s="11">
        <v>2.0</v>
      </c>
      <c r="AE561" s="11">
        <v>3.0</v>
      </c>
      <c r="AF561" s="11"/>
    </row>
    <row r="562" ht="15.75" customHeight="1">
      <c r="A562" s="13">
        <v>559.0</v>
      </c>
      <c r="B562" s="13">
        <v>31.0</v>
      </c>
      <c r="C562" s="14" t="s">
        <v>109</v>
      </c>
      <c r="D562" s="14" t="s">
        <v>1426</v>
      </c>
      <c r="E562" s="14" t="s">
        <v>1427</v>
      </c>
      <c r="F562" s="13" t="s">
        <v>1428</v>
      </c>
      <c r="G562" s="13" t="s">
        <v>175</v>
      </c>
      <c r="H562" s="13">
        <v>1.0</v>
      </c>
      <c r="I562" s="13">
        <v>1.0</v>
      </c>
      <c r="J562" s="35">
        <v>8.0</v>
      </c>
      <c r="K562" s="35">
        <v>38.0</v>
      </c>
      <c r="L562" s="13"/>
      <c r="M562" s="13"/>
      <c r="N562" s="13">
        <v>6.0</v>
      </c>
      <c r="O562" s="13">
        <v>3.0</v>
      </c>
      <c r="P562" s="13">
        <v>2.0</v>
      </c>
      <c r="Q562" s="13">
        <v>5.0</v>
      </c>
      <c r="R562" s="13">
        <v>2.0</v>
      </c>
      <c r="S562" s="13">
        <v>1.0</v>
      </c>
      <c r="T562" s="13">
        <v>3.0</v>
      </c>
      <c r="U562" s="13">
        <v>4.0</v>
      </c>
      <c r="V562" s="13">
        <v>3.0</v>
      </c>
      <c r="W562" s="13">
        <v>2.0</v>
      </c>
      <c r="X562" s="13">
        <v>2.0</v>
      </c>
      <c r="Y562" s="13">
        <v>2.0</v>
      </c>
      <c r="Z562" s="13"/>
      <c r="AA562" s="13">
        <v>1.0</v>
      </c>
      <c r="AB562" s="13">
        <v>2.0</v>
      </c>
      <c r="AC562" s="13">
        <v>1.0</v>
      </c>
      <c r="AD562" s="13">
        <v>1.0</v>
      </c>
      <c r="AE562" s="13">
        <v>1.0</v>
      </c>
      <c r="AF562" s="13"/>
    </row>
    <row r="563" ht="15.75" customHeight="1">
      <c r="A563" s="11">
        <v>560.0</v>
      </c>
      <c r="B563" s="11">
        <v>31.0</v>
      </c>
      <c r="C563" s="12" t="s">
        <v>109</v>
      </c>
      <c r="D563" s="12" t="s">
        <v>1429</v>
      </c>
      <c r="E563" s="11"/>
      <c r="F563" s="11" t="s">
        <v>1430</v>
      </c>
      <c r="G563" s="11" t="s">
        <v>175</v>
      </c>
      <c r="H563" s="11">
        <v>1.0</v>
      </c>
      <c r="I563" s="11">
        <v>2.0</v>
      </c>
      <c r="J563" s="33">
        <v>7.0</v>
      </c>
      <c r="K563" s="33">
        <v>38.0</v>
      </c>
      <c r="L563" s="11"/>
      <c r="M563" s="11"/>
      <c r="N563" s="11">
        <v>6.0</v>
      </c>
      <c r="O563" s="11">
        <v>3.0</v>
      </c>
      <c r="P563" s="11">
        <v>2.0</v>
      </c>
      <c r="Q563" s="11">
        <v>5.0</v>
      </c>
      <c r="R563" s="11">
        <v>2.0</v>
      </c>
      <c r="S563" s="11">
        <v>1.0</v>
      </c>
      <c r="T563" s="11">
        <v>3.0</v>
      </c>
      <c r="U563" s="11">
        <v>4.0</v>
      </c>
      <c r="V563" s="11">
        <v>3.0</v>
      </c>
      <c r="W563" s="11">
        <v>2.0</v>
      </c>
      <c r="X563" s="11">
        <v>2.0</v>
      </c>
      <c r="Y563" s="11">
        <v>2.0</v>
      </c>
      <c r="Z563" s="11"/>
      <c r="AA563" s="11">
        <v>1.0</v>
      </c>
      <c r="AB563" s="11">
        <v>2.0</v>
      </c>
      <c r="AC563" s="11">
        <v>1.0</v>
      </c>
      <c r="AD563" s="11">
        <v>1.0</v>
      </c>
      <c r="AE563" s="11">
        <v>1.0</v>
      </c>
      <c r="AF563" s="11"/>
    </row>
    <row r="564" ht="15.75" customHeight="1">
      <c r="A564" s="13">
        <v>561.0</v>
      </c>
      <c r="B564" s="13">
        <v>31.0</v>
      </c>
      <c r="C564" s="14" t="s">
        <v>109</v>
      </c>
      <c r="D564" s="14" t="s">
        <v>1431</v>
      </c>
      <c r="E564" s="13"/>
      <c r="F564" s="13" t="s">
        <v>1432</v>
      </c>
      <c r="G564" s="13" t="s">
        <v>175</v>
      </c>
      <c r="H564" s="13">
        <v>1.0</v>
      </c>
      <c r="I564" s="13">
        <v>3.0</v>
      </c>
      <c r="J564" s="35">
        <v>6.0</v>
      </c>
      <c r="K564" s="35">
        <v>38.0</v>
      </c>
      <c r="L564" s="13"/>
      <c r="M564" s="13"/>
      <c r="N564" s="13">
        <v>10.0</v>
      </c>
      <c r="O564" s="13">
        <v>4.0</v>
      </c>
      <c r="P564" s="13">
        <v>3.0</v>
      </c>
      <c r="Q564" s="13">
        <v>6.0</v>
      </c>
      <c r="R564" s="13">
        <v>2.0</v>
      </c>
      <c r="S564" s="13">
        <v>1.0</v>
      </c>
      <c r="T564" s="13">
        <v>3.0</v>
      </c>
      <c r="U564" s="13">
        <v>4.0</v>
      </c>
      <c r="V564" s="13">
        <v>4.0</v>
      </c>
      <c r="W564" s="13">
        <v>2.0</v>
      </c>
      <c r="X564" s="13">
        <v>3.0</v>
      </c>
      <c r="Y564" s="13">
        <v>2.0</v>
      </c>
      <c r="Z564" s="13"/>
      <c r="AA564" s="13">
        <v>1.0</v>
      </c>
      <c r="AB564" s="13">
        <v>3.0</v>
      </c>
      <c r="AC564" s="13">
        <v>1.0</v>
      </c>
      <c r="AD564" s="13">
        <v>1.0</v>
      </c>
      <c r="AE564" s="13">
        <v>1.0</v>
      </c>
      <c r="AF564" s="13"/>
    </row>
    <row r="565" ht="15.75" customHeight="1">
      <c r="A565" s="11">
        <v>562.0</v>
      </c>
      <c r="B565" s="11">
        <v>31.0</v>
      </c>
      <c r="C565" s="12" t="s">
        <v>109</v>
      </c>
      <c r="D565" s="12" t="s">
        <v>1433</v>
      </c>
      <c r="E565" s="11"/>
      <c r="F565" s="11" t="s">
        <v>1434</v>
      </c>
      <c r="G565" s="11" t="s">
        <v>175</v>
      </c>
      <c r="H565" s="11">
        <v>1.0</v>
      </c>
      <c r="I565" s="11">
        <v>4.0</v>
      </c>
      <c r="J565" s="33">
        <v>5.0</v>
      </c>
      <c r="K565" s="33">
        <v>38.0</v>
      </c>
      <c r="L565" s="11"/>
      <c r="M565" s="11"/>
      <c r="N565" s="11">
        <v>10.0</v>
      </c>
      <c r="O565" s="11">
        <v>4.0</v>
      </c>
      <c r="P565" s="11">
        <v>3.0</v>
      </c>
      <c r="Q565" s="11">
        <v>6.0</v>
      </c>
      <c r="R565" s="11">
        <v>2.0</v>
      </c>
      <c r="S565" s="11">
        <v>1.0</v>
      </c>
      <c r="T565" s="11">
        <v>3.0</v>
      </c>
      <c r="U565" s="11">
        <v>4.0</v>
      </c>
      <c r="V565" s="11">
        <v>4.0</v>
      </c>
      <c r="W565" s="11">
        <v>2.0</v>
      </c>
      <c r="X565" s="11">
        <v>3.0</v>
      </c>
      <c r="Y565" s="11">
        <v>2.0</v>
      </c>
      <c r="Z565" s="11"/>
      <c r="AA565" s="11">
        <v>1.0</v>
      </c>
      <c r="AB565" s="11">
        <v>3.0</v>
      </c>
      <c r="AC565" s="11">
        <v>1.0</v>
      </c>
      <c r="AD565" s="11">
        <v>1.0</v>
      </c>
      <c r="AE565" s="11">
        <v>1.0</v>
      </c>
      <c r="AF565" s="11"/>
    </row>
    <row r="566" ht="15.75" customHeight="1">
      <c r="A566" s="13">
        <v>563.0</v>
      </c>
      <c r="B566" s="13">
        <v>31.0</v>
      </c>
      <c r="C566" s="14" t="s">
        <v>109</v>
      </c>
      <c r="D566" s="13" t="s">
        <v>1435</v>
      </c>
      <c r="E566" s="13" t="s">
        <v>1436</v>
      </c>
      <c r="F566" s="13" t="s">
        <v>1437</v>
      </c>
      <c r="G566" s="13" t="s">
        <v>175</v>
      </c>
      <c r="H566" s="13">
        <v>2.0</v>
      </c>
      <c r="I566" s="13">
        <v>1.0</v>
      </c>
      <c r="J566" s="35">
        <v>8.0</v>
      </c>
      <c r="K566" s="35">
        <v>38.0</v>
      </c>
      <c r="L566" s="13"/>
      <c r="M566" s="13"/>
      <c r="N566" s="13">
        <v>6.0</v>
      </c>
      <c r="O566" s="13">
        <v>3.0</v>
      </c>
      <c r="P566" s="13">
        <v>2.0</v>
      </c>
      <c r="Q566" s="13">
        <v>4.0</v>
      </c>
      <c r="R566" s="13">
        <v>2.0</v>
      </c>
      <c r="S566" s="13">
        <v>1.0</v>
      </c>
      <c r="T566" s="13">
        <v>2.0</v>
      </c>
      <c r="U566" s="13">
        <v>4.0</v>
      </c>
      <c r="V566" s="13">
        <v>2.0</v>
      </c>
      <c r="W566" s="13">
        <v>2.0</v>
      </c>
      <c r="X566" s="13">
        <v>2.0</v>
      </c>
      <c r="Y566" s="13">
        <v>2.0</v>
      </c>
      <c r="Z566" s="13"/>
      <c r="AA566" s="13">
        <v>1.0</v>
      </c>
      <c r="AB566" s="13">
        <v>2.0</v>
      </c>
      <c r="AC566" s="13"/>
      <c r="AD566" s="13">
        <v>1.0</v>
      </c>
      <c r="AE566" s="13">
        <v>1.0</v>
      </c>
      <c r="AF566" s="13"/>
    </row>
    <row r="567" ht="15.75" customHeight="1">
      <c r="A567" s="11">
        <v>564.0</v>
      </c>
      <c r="B567" s="11">
        <v>31.0</v>
      </c>
      <c r="C567" s="12" t="s">
        <v>109</v>
      </c>
      <c r="D567" s="11" t="s">
        <v>1438</v>
      </c>
      <c r="E567" s="11"/>
      <c r="F567" s="11" t="s">
        <v>1439</v>
      </c>
      <c r="G567" s="11" t="s">
        <v>175</v>
      </c>
      <c r="H567" s="11">
        <v>2.0</v>
      </c>
      <c r="I567" s="11">
        <v>2.0</v>
      </c>
      <c r="J567" s="33">
        <v>7.0</v>
      </c>
      <c r="K567" s="33">
        <v>38.0</v>
      </c>
      <c r="L567" s="11"/>
      <c r="M567" s="11"/>
      <c r="N567" s="11">
        <v>6.0</v>
      </c>
      <c r="O567" s="11">
        <v>3.0</v>
      </c>
      <c r="P567" s="11">
        <v>2.0</v>
      </c>
      <c r="Q567" s="11">
        <v>4.0</v>
      </c>
      <c r="R567" s="11">
        <v>2.0</v>
      </c>
      <c r="S567" s="11">
        <v>1.0</v>
      </c>
      <c r="T567" s="11">
        <v>2.0</v>
      </c>
      <c r="U567" s="11">
        <v>4.0</v>
      </c>
      <c r="V567" s="11">
        <v>2.0</v>
      </c>
      <c r="W567" s="11">
        <v>2.0</v>
      </c>
      <c r="X567" s="11">
        <v>2.0</v>
      </c>
      <c r="Y567" s="11">
        <v>2.0</v>
      </c>
      <c r="Z567" s="11"/>
      <c r="AA567" s="11">
        <v>1.0</v>
      </c>
      <c r="AB567" s="11">
        <v>2.0</v>
      </c>
      <c r="AC567" s="11"/>
      <c r="AD567" s="11">
        <v>1.0</v>
      </c>
      <c r="AE567" s="11">
        <v>1.0</v>
      </c>
      <c r="AF567" s="11"/>
    </row>
    <row r="568" ht="15.75" customHeight="1">
      <c r="A568" s="13">
        <v>565.0</v>
      </c>
      <c r="B568" s="13">
        <v>31.0</v>
      </c>
      <c r="C568" s="14" t="s">
        <v>109</v>
      </c>
      <c r="D568" s="13" t="s">
        <v>1440</v>
      </c>
      <c r="E568" s="13"/>
      <c r="F568" s="13" t="s">
        <v>1441</v>
      </c>
      <c r="G568" s="13" t="s">
        <v>175</v>
      </c>
      <c r="H568" s="13">
        <v>2.0</v>
      </c>
      <c r="I568" s="13">
        <v>3.0</v>
      </c>
      <c r="J568" s="35">
        <v>6.0</v>
      </c>
      <c r="K568" s="35">
        <v>38.0</v>
      </c>
      <c r="L568" s="13"/>
      <c r="M568" s="13"/>
      <c r="N568" s="13">
        <v>10.0</v>
      </c>
      <c r="O568" s="13">
        <v>4.0</v>
      </c>
      <c r="P568" s="13">
        <v>3.0</v>
      </c>
      <c r="Q568" s="13">
        <v>5.0</v>
      </c>
      <c r="R568" s="13">
        <v>2.0</v>
      </c>
      <c r="S568" s="13">
        <v>1.0</v>
      </c>
      <c r="T568" s="13">
        <v>2.0</v>
      </c>
      <c r="U568" s="13">
        <v>5.0</v>
      </c>
      <c r="V568" s="13">
        <v>3.0</v>
      </c>
      <c r="W568" s="13">
        <v>2.0</v>
      </c>
      <c r="X568" s="13">
        <v>2.0</v>
      </c>
      <c r="Y568" s="13">
        <v>2.0</v>
      </c>
      <c r="Z568" s="13"/>
      <c r="AA568" s="13">
        <v>1.0</v>
      </c>
      <c r="AB568" s="13">
        <v>3.0</v>
      </c>
      <c r="AC568" s="13"/>
      <c r="AD568" s="13">
        <v>1.0</v>
      </c>
      <c r="AE568" s="13">
        <v>1.0</v>
      </c>
      <c r="AF568" s="13"/>
    </row>
    <row r="569" ht="15.75" customHeight="1">
      <c r="A569" s="11">
        <v>566.0</v>
      </c>
      <c r="B569" s="11">
        <v>31.0</v>
      </c>
      <c r="C569" s="12" t="s">
        <v>109</v>
      </c>
      <c r="D569" s="11" t="s">
        <v>1442</v>
      </c>
      <c r="E569" s="11"/>
      <c r="F569" s="11" t="s">
        <v>1443</v>
      </c>
      <c r="G569" s="11" t="s">
        <v>175</v>
      </c>
      <c r="H569" s="11">
        <v>2.0</v>
      </c>
      <c r="I569" s="11">
        <v>4.0</v>
      </c>
      <c r="J569" s="33">
        <v>5.0</v>
      </c>
      <c r="K569" s="33">
        <v>38.0</v>
      </c>
      <c r="L569" s="11"/>
      <c r="M569" s="11"/>
      <c r="N569" s="11">
        <v>10.0</v>
      </c>
      <c r="O569" s="11">
        <v>4.0</v>
      </c>
      <c r="P569" s="11">
        <v>3.0</v>
      </c>
      <c r="Q569" s="11">
        <v>5.0</v>
      </c>
      <c r="R569" s="11">
        <v>2.0</v>
      </c>
      <c r="S569" s="11">
        <v>1.0</v>
      </c>
      <c r="T569" s="11">
        <v>2.0</v>
      </c>
      <c r="U569" s="11">
        <v>5.0</v>
      </c>
      <c r="V569" s="11">
        <v>3.0</v>
      </c>
      <c r="W569" s="11">
        <v>2.0</v>
      </c>
      <c r="X569" s="11">
        <v>2.0</v>
      </c>
      <c r="Y569" s="11">
        <v>2.0</v>
      </c>
      <c r="Z569" s="11"/>
      <c r="AA569" s="11">
        <v>1.0</v>
      </c>
      <c r="AB569" s="11">
        <v>3.0</v>
      </c>
      <c r="AC569" s="11"/>
      <c r="AD569" s="11">
        <v>1.0</v>
      </c>
      <c r="AE569" s="11">
        <v>1.0</v>
      </c>
      <c r="AF569" s="11"/>
    </row>
    <row r="570" ht="15.75" customHeight="1">
      <c r="A570" s="13">
        <v>567.0</v>
      </c>
      <c r="B570" s="13">
        <v>31.0</v>
      </c>
      <c r="C570" s="14" t="s">
        <v>109</v>
      </c>
      <c r="D570" s="13" t="s">
        <v>1444</v>
      </c>
      <c r="E570" s="13" t="s">
        <v>1445</v>
      </c>
      <c r="F570" s="13" t="s">
        <v>1446</v>
      </c>
      <c r="G570" s="13" t="s">
        <v>175</v>
      </c>
      <c r="H570" s="13">
        <v>3.0</v>
      </c>
      <c r="I570" s="13">
        <v>1.0</v>
      </c>
      <c r="J570" s="35">
        <v>8.0</v>
      </c>
      <c r="K570" s="35">
        <v>38.0</v>
      </c>
      <c r="L570" s="13"/>
      <c r="M570" s="13"/>
      <c r="N570" s="13">
        <v>6.0</v>
      </c>
      <c r="O570" s="13">
        <v>3.0</v>
      </c>
      <c r="P570" s="13">
        <v>2.0</v>
      </c>
      <c r="Q570" s="13">
        <v>5.0</v>
      </c>
      <c r="R570" s="13">
        <v>1.0</v>
      </c>
      <c r="S570" s="13">
        <v>1.0</v>
      </c>
      <c r="T570" s="13">
        <v>2.0</v>
      </c>
      <c r="U570" s="13">
        <v>3.0</v>
      </c>
      <c r="V570" s="13">
        <v>3.0</v>
      </c>
      <c r="W570" s="13">
        <v>2.0</v>
      </c>
      <c r="X570" s="13">
        <v>2.0</v>
      </c>
      <c r="Y570" s="13">
        <v>2.0</v>
      </c>
      <c r="Z570" s="13"/>
      <c r="AA570" s="13">
        <v>1.0</v>
      </c>
      <c r="AB570" s="13">
        <v>2.0</v>
      </c>
      <c r="AC570" s="13"/>
      <c r="AD570" s="13">
        <v>1.0</v>
      </c>
      <c r="AE570" s="13">
        <v>2.0</v>
      </c>
      <c r="AF570" s="13"/>
    </row>
    <row r="571" ht="15.75" customHeight="1">
      <c r="A571" s="11">
        <v>568.0</v>
      </c>
      <c r="B571" s="11">
        <v>31.0</v>
      </c>
      <c r="C571" s="12" t="s">
        <v>109</v>
      </c>
      <c r="D571" s="11" t="s">
        <v>1447</v>
      </c>
      <c r="E571" s="11"/>
      <c r="F571" s="11" t="s">
        <v>1448</v>
      </c>
      <c r="G571" s="11" t="s">
        <v>175</v>
      </c>
      <c r="H571" s="11">
        <v>3.0</v>
      </c>
      <c r="I571" s="11">
        <v>2.0</v>
      </c>
      <c r="J571" s="33">
        <v>7.0</v>
      </c>
      <c r="K571" s="33">
        <v>38.0</v>
      </c>
      <c r="L571" s="11"/>
      <c r="M571" s="11"/>
      <c r="N571" s="11">
        <v>6.0</v>
      </c>
      <c r="O571" s="11">
        <v>3.0</v>
      </c>
      <c r="P571" s="11">
        <v>2.0</v>
      </c>
      <c r="Q571" s="11">
        <v>5.0</v>
      </c>
      <c r="R571" s="11">
        <v>1.0</v>
      </c>
      <c r="S571" s="11">
        <v>1.0</v>
      </c>
      <c r="T571" s="11">
        <v>2.0</v>
      </c>
      <c r="U571" s="11">
        <v>3.0</v>
      </c>
      <c r="V571" s="11">
        <v>3.0</v>
      </c>
      <c r="W571" s="11">
        <v>2.0</v>
      </c>
      <c r="X571" s="11">
        <v>2.0</v>
      </c>
      <c r="Y571" s="11">
        <v>2.0</v>
      </c>
      <c r="Z571" s="11"/>
      <c r="AA571" s="11">
        <v>1.0</v>
      </c>
      <c r="AB571" s="11">
        <v>2.0</v>
      </c>
      <c r="AC571" s="11"/>
      <c r="AD571" s="11">
        <v>1.0</v>
      </c>
      <c r="AE571" s="11">
        <v>2.0</v>
      </c>
      <c r="AF571" s="11"/>
    </row>
    <row r="572" ht="15.75" customHeight="1">
      <c r="A572" s="13">
        <v>569.0</v>
      </c>
      <c r="B572" s="13">
        <v>31.0</v>
      </c>
      <c r="C572" s="14" t="s">
        <v>109</v>
      </c>
      <c r="D572" s="13" t="s">
        <v>1449</v>
      </c>
      <c r="E572" s="13"/>
      <c r="F572" s="13" t="s">
        <v>1450</v>
      </c>
      <c r="G572" s="13" t="s">
        <v>175</v>
      </c>
      <c r="H572" s="13">
        <v>3.0</v>
      </c>
      <c r="I572" s="13">
        <v>3.0</v>
      </c>
      <c r="J572" s="35">
        <v>6.0</v>
      </c>
      <c r="K572" s="35">
        <v>38.0</v>
      </c>
      <c r="L572" s="13"/>
      <c r="M572" s="13"/>
      <c r="N572" s="13">
        <v>10.0</v>
      </c>
      <c r="O572" s="13">
        <v>4.0</v>
      </c>
      <c r="P572" s="13">
        <v>3.0</v>
      </c>
      <c r="Q572" s="13">
        <v>6.0</v>
      </c>
      <c r="R572" s="13">
        <v>1.0</v>
      </c>
      <c r="S572" s="13">
        <v>1.0</v>
      </c>
      <c r="T572" s="13">
        <v>2.0</v>
      </c>
      <c r="U572" s="13">
        <v>3.0</v>
      </c>
      <c r="V572" s="13">
        <v>4.0</v>
      </c>
      <c r="W572" s="13">
        <v>2.0</v>
      </c>
      <c r="X572" s="13">
        <v>3.0</v>
      </c>
      <c r="Y572" s="13">
        <v>2.0</v>
      </c>
      <c r="Z572" s="13"/>
      <c r="AA572" s="13">
        <v>1.0</v>
      </c>
      <c r="AB572" s="13">
        <v>2.0</v>
      </c>
      <c r="AC572" s="13"/>
      <c r="AD572" s="13">
        <v>1.0</v>
      </c>
      <c r="AE572" s="13">
        <v>3.0</v>
      </c>
      <c r="AF572" s="13"/>
    </row>
    <row r="573" ht="15.75" customHeight="1">
      <c r="A573" s="11">
        <v>570.0</v>
      </c>
      <c r="B573" s="11">
        <v>31.0</v>
      </c>
      <c r="C573" s="12" t="s">
        <v>109</v>
      </c>
      <c r="D573" s="11" t="s">
        <v>1451</v>
      </c>
      <c r="E573" s="11"/>
      <c r="F573" s="11" t="s">
        <v>1452</v>
      </c>
      <c r="G573" s="11" t="s">
        <v>175</v>
      </c>
      <c r="H573" s="11">
        <v>3.0</v>
      </c>
      <c r="I573" s="11">
        <v>4.0</v>
      </c>
      <c r="J573" s="33">
        <v>5.0</v>
      </c>
      <c r="K573" s="33">
        <v>38.0</v>
      </c>
      <c r="L573" s="11"/>
      <c r="M573" s="11"/>
      <c r="N573" s="11">
        <v>10.0</v>
      </c>
      <c r="O573" s="11">
        <v>4.0</v>
      </c>
      <c r="P573" s="11">
        <v>3.0</v>
      </c>
      <c r="Q573" s="11">
        <v>6.0</v>
      </c>
      <c r="R573" s="11">
        <v>1.0</v>
      </c>
      <c r="S573" s="11">
        <v>1.0</v>
      </c>
      <c r="T573" s="11">
        <v>2.0</v>
      </c>
      <c r="U573" s="11">
        <v>3.0</v>
      </c>
      <c r="V573" s="11">
        <v>4.0</v>
      </c>
      <c r="W573" s="11">
        <v>2.0</v>
      </c>
      <c r="X573" s="11">
        <v>3.0</v>
      </c>
      <c r="Y573" s="11">
        <v>2.0</v>
      </c>
      <c r="Z573" s="11"/>
      <c r="AA573" s="11">
        <v>1.0</v>
      </c>
      <c r="AB573" s="11">
        <v>2.0</v>
      </c>
      <c r="AC573" s="11"/>
      <c r="AD573" s="11">
        <v>1.0</v>
      </c>
      <c r="AE573" s="11">
        <v>3.0</v>
      </c>
      <c r="AF573" s="11"/>
    </row>
    <row r="574" ht="15.75" customHeight="1">
      <c r="A574" s="13">
        <v>571.0</v>
      </c>
      <c r="B574" s="13">
        <v>31.0</v>
      </c>
      <c r="C574" s="14" t="s">
        <v>109</v>
      </c>
      <c r="D574" s="13" t="s">
        <v>1453</v>
      </c>
      <c r="E574" s="13" t="s">
        <v>1454</v>
      </c>
      <c r="F574" s="13" t="s">
        <v>1455</v>
      </c>
      <c r="G574" s="13" t="s">
        <v>175</v>
      </c>
      <c r="H574" s="13">
        <v>4.0</v>
      </c>
      <c r="I574" s="13">
        <v>1.0</v>
      </c>
      <c r="J574" s="35">
        <v>8.0</v>
      </c>
      <c r="K574" s="35">
        <v>38.0</v>
      </c>
      <c r="L574" s="13"/>
      <c r="M574" s="13"/>
      <c r="N574" s="13">
        <v>6.0</v>
      </c>
      <c r="O574" s="13">
        <v>3.0</v>
      </c>
      <c r="P574" s="13">
        <v>2.0</v>
      </c>
      <c r="Q574" s="13">
        <v>5.0</v>
      </c>
      <c r="R574" s="13">
        <v>2.0</v>
      </c>
      <c r="S574" s="13">
        <v>1.0</v>
      </c>
      <c r="T574" s="13">
        <v>2.0</v>
      </c>
      <c r="U574" s="13">
        <v>3.0</v>
      </c>
      <c r="V574" s="13">
        <v>2.0</v>
      </c>
      <c r="W574" s="13">
        <v>2.0</v>
      </c>
      <c r="X574" s="13">
        <v>3.0</v>
      </c>
      <c r="Y574" s="13">
        <v>2.0</v>
      </c>
      <c r="Z574" s="13"/>
      <c r="AA574" s="13"/>
      <c r="AB574" s="13">
        <v>2.0</v>
      </c>
      <c r="AC574" s="13"/>
      <c r="AD574" s="13">
        <v>2.0</v>
      </c>
      <c r="AE574" s="13">
        <v>2.0</v>
      </c>
      <c r="AF574" s="13"/>
    </row>
    <row r="575" ht="15.75" customHeight="1">
      <c r="A575" s="11">
        <v>572.0</v>
      </c>
      <c r="B575" s="11">
        <v>31.0</v>
      </c>
      <c r="C575" s="12" t="s">
        <v>109</v>
      </c>
      <c r="D575" s="11" t="s">
        <v>1456</v>
      </c>
      <c r="E575" s="11"/>
      <c r="F575" s="11" t="s">
        <v>1457</v>
      </c>
      <c r="G575" s="11" t="s">
        <v>175</v>
      </c>
      <c r="H575" s="11">
        <v>4.0</v>
      </c>
      <c r="I575" s="11">
        <v>2.0</v>
      </c>
      <c r="J575" s="33">
        <v>7.0</v>
      </c>
      <c r="K575" s="33">
        <v>38.0</v>
      </c>
      <c r="L575" s="11"/>
      <c r="M575" s="11"/>
      <c r="N575" s="11">
        <v>6.0</v>
      </c>
      <c r="O575" s="11">
        <v>3.0</v>
      </c>
      <c r="P575" s="11">
        <v>2.0</v>
      </c>
      <c r="Q575" s="11">
        <v>5.0</v>
      </c>
      <c r="R575" s="11">
        <v>2.0</v>
      </c>
      <c r="S575" s="11">
        <v>1.0</v>
      </c>
      <c r="T575" s="11">
        <v>2.0</v>
      </c>
      <c r="U575" s="11">
        <v>3.0</v>
      </c>
      <c r="V575" s="11">
        <v>2.0</v>
      </c>
      <c r="W575" s="11">
        <v>2.0</v>
      </c>
      <c r="X575" s="11">
        <v>3.0</v>
      </c>
      <c r="Y575" s="11">
        <v>2.0</v>
      </c>
      <c r="Z575" s="11"/>
      <c r="AA575" s="11"/>
      <c r="AB575" s="11">
        <v>2.0</v>
      </c>
      <c r="AC575" s="11"/>
      <c r="AD575" s="11">
        <v>2.0</v>
      </c>
      <c r="AE575" s="11">
        <v>2.0</v>
      </c>
      <c r="AF575" s="11"/>
    </row>
    <row r="576" ht="15.75" customHeight="1">
      <c r="A576" s="13">
        <v>573.0</v>
      </c>
      <c r="B576" s="13">
        <v>31.0</v>
      </c>
      <c r="C576" s="14" t="s">
        <v>109</v>
      </c>
      <c r="D576" s="13" t="s">
        <v>1458</v>
      </c>
      <c r="E576" s="13"/>
      <c r="F576" s="13" t="s">
        <v>1459</v>
      </c>
      <c r="G576" s="13" t="s">
        <v>175</v>
      </c>
      <c r="H576" s="13">
        <v>4.0</v>
      </c>
      <c r="I576" s="13">
        <v>3.0</v>
      </c>
      <c r="J576" s="35">
        <v>6.0</v>
      </c>
      <c r="K576" s="35">
        <v>38.0</v>
      </c>
      <c r="L576" s="13"/>
      <c r="M576" s="13"/>
      <c r="N576" s="13">
        <v>10.0</v>
      </c>
      <c r="O576" s="13">
        <v>4.0</v>
      </c>
      <c r="P576" s="13">
        <v>3.0</v>
      </c>
      <c r="Q576" s="13">
        <v>6.0</v>
      </c>
      <c r="R576" s="13">
        <v>2.0</v>
      </c>
      <c r="S576" s="13">
        <v>1.0</v>
      </c>
      <c r="T576" s="13">
        <v>2.0</v>
      </c>
      <c r="U576" s="13">
        <v>3.0</v>
      </c>
      <c r="V576" s="13">
        <v>3.0</v>
      </c>
      <c r="W576" s="13">
        <v>2.0</v>
      </c>
      <c r="X576" s="13">
        <v>3.0</v>
      </c>
      <c r="Y576" s="13">
        <v>2.0</v>
      </c>
      <c r="Z576" s="13"/>
      <c r="AA576" s="13"/>
      <c r="AB576" s="13">
        <v>3.0</v>
      </c>
      <c r="AC576" s="13"/>
      <c r="AD576" s="13">
        <v>2.0</v>
      </c>
      <c r="AE576" s="13">
        <v>3.0</v>
      </c>
      <c r="AF576" s="13"/>
    </row>
    <row r="577" ht="15.75" customHeight="1">
      <c r="A577" s="11">
        <v>574.0</v>
      </c>
      <c r="B577" s="11">
        <v>31.0</v>
      </c>
      <c r="C577" s="12" t="s">
        <v>109</v>
      </c>
      <c r="D577" s="11" t="s">
        <v>1460</v>
      </c>
      <c r="E577" s="11"/>
      <c r="F577" s="11" t="s">
        <v>1461</v>
      </c>
      <c r="G577" s="11" t="s">
        <v>175</v>
      </c>
      <c r="H577" s="11">
        <v>4.0</v>
      </c>
      <c r="I577" s="11">
        <v>4.0</v>
      </c>
      <c r="J577" s="33">
        <v>5.0</v>
      </c>
      <c r="K577" s="33">
        <v>38.0</v>
      </c>
      <c r="L577" s="11"/>
      <c r="M577" s="11"/>
      <c r="N577" s="11">
        <v>10.0</v>
      </c>
      <c r="O577" s="11">
        <v>4.0</v>
      </c>
      <c r="P577" s="11">
        <v>3.0</v>
      </c>
      <c r="Q577" s="11">
        <v>6.0</v>
      </c>
      <c r="R577" s="11">
        <v>2.0</v>
      </c>
      <c r="S577" s="11">
        <v>1.0</v>
      </c>
      <c r="T577" s="11">
        <v>2.0</v>
      </c>
      <c r="U577" s="11">
        <v>3.0</v>
      </c>
      <c r="V577" s="11">
        <v>3.0</v>
      </c>
      <c r="W577" s="11">
        <v>2.0</v>
      </c>
      <c r="X577" s="11">
        <v>3.0</v>
      </c>
      <c r="Y577" s="11">
        <v>2.0</v>
      </c>
      <c r="Z577" s="11"/>
      <c r="AA577" s="11"/>
      <c r="AB577" s="11">
        <v>3.0</v>
      </c>
      <c r="AC577" s="11"/>
      <c r="AD577" s="11">
        <v>2.0</v>
      </c>
      <c r="AE577" s="11">
        <v>3.0</v>
      </c>
      <c r="AF577" s="11"/>
    </row>
    <row r="578" ht="15.75" customHeight="1">
      <c r="A578" s="13">
        <v>575.0</v>
      </c>
      <c r="B578" s="13">
        <v>31.0</v>
      </c>
      <c r="C578" s="14" t="s">
        <v>109</v>
      </c>
      <c r="D578" s="14" t="s">
        <v>1462</v>
      </c>
      <c r="E578" s="13"/>
      <c r="F578" s="13" t="s">
        <v>1463</v>
      </c>
      <c r="G578" s="13" t="s">
        <v>74</v>
      </c>
      <c r="H578" s="13">
        <v>5.0</v>
      </c>
      <c r="I578" s="13">
        <v>5.0</v>
      </c>
      <c r="J578" s="35">
        <v>1.0</v>
      </c>
      <c r="K578" s="35">
        <v>192.0</v>
      </c>
      <c r="L578" s="13"/>
      <c r="M578" s="13"/>
      <c r="N578" s="13">
        <v>34.0</v>
      </c>
      <c r="O578" s="13">
        <v>12.0</v>
      </c>
      <c r="P578" s="13">
        <v>12.0</v>
      </c>
      <c r="Q578" s="13">
        <v>24.0</v>
      </c>
      <c r="R578" s="13">
        <v>5.0</v>
      </c>
      <c r="S578" s="13">
        <v>3.0</v>
      </c>
      <c r="T578" s="13">
        <v>6.0</v>
      </c>
      <c r="U578" s="13">
        <v>8.0</v>
      </c>
      <c r="V578" s="13">
        <v>9.0</v>
      </c>
      <c r="W578" s="13">
        <v>6.0</v>
      </c>
      <c r="X578" s="13">
        <v>7.0</v>
      </c>
      <c r="Y578" s="13">
        <v>6.0</v>
      </c>
      <c r="Z578" s="13"/>
      <c r="AA578" s="13">
        <v>3.0</v>
      </c>
      <c r="AB578" s="13">
        <v>4.0</v>
      </c>
      <c r="AC578" s="13">
        <v>1.0</v>
      </c>
      <c r="AD578" s="13">
        <v>3.0</v>
      </c>
      <c r="AE578" s="13">
        <v>5.0</v>
      </c>
      <c r="AF578" s="13"/>
    </row>
    <row r="579" ht="15.75" customHeight="1">
      <c r="J579" s="36"/>
      <c r="K579" s="36"/>
    </row>
    <row r="580" ht="15.75" customHeight="1">
      <c r="J580" s="36"/>
      <c r="K580" s="36"/>
    </row>
    <row r="581" ht="15.75" customHeight="1">
      <c r="J581" s="36"/>
      <c r="K581" s="36"/>
    </row>
    <row r="582" ht="15.75" customHeight="1">
      <c r="J582" s="36"/>
      <c r="K582" s="36"/>
    </row>
    <row r="583" ht="15.75" customHeight="1">
      <c r="J583" s="36"/>
      <c r="K583" s="36"/>
    </row>
    <row r="584" ht="15.75" customHeight="1">
      <c r="J584" s="36"/>
      <c r="K584" s="36"/>
    </row>
    <row r="585" ht="15.75" customHeight="1">
      <c r="J585" s="36"/>
      <c r="K585" s="36"/>
    </row>
    <row r="586" ht="15.75" customHeight="1">
      <c r="J586" s="36"/>
      <c r="K586" s="36"/>
    </row>
    <row r="587" ht="15.75" customHeight="1">
      <c r="J587" s="36"/>
      <c r="K587" s="36"/>
    </row>
    <row r="588" ht="15.75" customHeight="1">
      <c r="J588" s="36"/>
      <c r="K588" s="36"/>
    </row>
    <row r="589" ht="15.75" customHeight="1">
      <c r="J589" s="36"/>
      <c r="K589" s="36"/>
    </row>
    <row r="590" ht="15.75" customHeight="1">
      <c r="J590" s="36"/>
      <c r="K590" s="36"/>
    </row>
    <row r="591" ht="15.75" customHeight="1">
      <c r="J591" s="36"/>
      <c r="K591" s="36"/>
    </row>
    <row r="592" ht="15.75" customHeight="1">
      <c r="J592" s="36"/>
      <c r="K592" s="36"/>
    </row>
    <row r="593" ht="15.75" customHeight="1">
      <c r="J593" s="36"/>
      <c r="K593" s="36"/>
    </row>
    <row r="594" ht="15.75" customHeight="1">
      <c r="J594" s="36"/>
      <c r="K594" s="36"/>
    </row>
    <row r="595" ht="15.75" customHeight="1">
      <c r="J595" s="36"/>
      <c r="K595" s="36"/>
    </row>
    <row r="596" ht="15.75" customHeight="1">
      <c r="J596" s="36"/>
      <c r="K596" s="36"/>
    </row>
    <row r="597" ht="15.75" customHeight="1">
      <c r="J597" s="36"/>
      <c r="K597" s="36"/>
    </row>
    <row r="598" ht="15.75" customHeight="1">
      <c r="J598" s="36"/>
      <c r="K598" s="36"/>
    </row>
    <row r="599" ht="15.75" customHeight="1">
      <c r="J599" s="36"/>
      <c r="K599" s="36"/>
    </row>
    <row r="600" ht="15.75" customHeight="1">
      <c r="J600" s="36"/>
      <c r="K600" s="36"/>
    </row>
    <row r="601" ht="15.75" customHeight="1">
      <c r="J601" s="36"/>
      <c r="K601" s="36"/>
    </row>
    <row r="602" ht="15.75" customHeight="1">
      <c r="J602" s="36"/>
      <c r="K602" s="36"/>
    </row>
    <row r="603" ht="15.75" customHeight="1">
      <c r="J603" s="36"/>
      <c r="K603" s="36"/>
    </row>
    <row r="604" ht="15.75" customHeight="1">
      <c r="J604" s="36"/>
      <c r="K604" s="36"/>
    </row>
    <row r="605" ht="15.75" customHeight="1">
      <c r="J605" s="36"/>
      <c r="K605" s="36"/>
    </row>
    <row r="606" ht="15.75" customHeight="1">
      <c r="J606" s="36"/>
      <c r="K606" s="36"/>
    </row>
    <row r="607" ht="15.75" customHeight="1">
      <c r="J607" s="36"/>
      <c r="K607" s="36"/>
    </row>
    <row r="608" ht="15.75" customHeight="1">
      <c r="J608" s="36"/>
      <c r="K608" s="36"/>
    </row>
    <row r="609" ht="15.75" customHeight="1">
      <c r="J609" s="36"/>
      <c r="K609" s="36"/>
    </row>
    <row r="610" ht="15.75" customHeight="1">
      <c r="J610" s="36"/>
      <c r="K610" s="36"/>
    </row>
    <row r="611" ht="15.75" customHeight="1">
      <c r="J611" s="36"/>
      <c r="K611" s="36"/>
    </row>
    <row r="612" ht="15.75" customHeight="1">
      <c r="J612" s="36"/>
      <c r="K612" s="36"/>
    </row>
    <row r="613" ht="15.75" customHeight="1">
      <c r="J613" s="36"/>
      <c r="K613" s="36"/>
    </row>
    <row r="614" ht="15.75" customHeight="1">
      <c r="J614" s="36"/>
      <c r="K614" s="36"/>
    </row>
    <row r="615" ht="15.75" customHeight="1">
      <c r="J615" s="36"/>
      <c r="K615" s="36"/>
    </row>
    <row r="616" ht="15.75" customHeight="1">
      <c r="J616" s="36"/>
      <c r="K616" s="36"/>
    </row>
    <row r="617" ht="15.75" customHeight="1">
      <c r="J617" s="36"/>
      <c r="K617" s="36"/>
    </row>
    <row r="618" ht="15.75" customHeight="1">
      <c r="J618" s="36"/>
      <c r="K618" s="36"/>
    </row>
    <row r="619" ht="15.75" customHeight="1">
      <c r="J619" s="36"/>
      <c r="K619" s="36"/>
    </row>
    <row r="620" ht="15.75" customHeight="1">
      <c r="J620" s="36"/>
      <c r="K620" s="36"/>
    </row>
    <row r="621" ht="15.75" customHeight="1">
      <c r="J621" s="36"/>
      <c r="K621" s="36"/>
    </row>
    <row r="622" ht="15.75" customHeight="1">
      <c r="J622" s="36"/>
      <c r="K622" s="36"/>
    </row>
    <row r="623" ht="15.75" customHeight="1">
      <c r="J623" s="36"/>
      <c r="K623" s="36"/>
    </row>
    <row r="624" ht="15.75" customHeight="1">
      <c r="J624" s="36"/>
      <c r="K624" s="36"/>
    </row>
    <row r="625" ht="15.75" customHeight="1">
      <c r="J625" s="36"/>
      <c r="K625" s="36"/>
    </row>
    <row r="626" ht="15.75" customHeight="1">
      <c r="J626" s="36"/>
      <c r="K626" s="36"/>
    </row>
    <row r="627" ht="15.75" customHeight="1">
      <c r="J627" s="36"/>
      <c r="K627" s="36"/>
    </row>
    <row r="628" ht="15.75" customHeight="1">
      <c r="J628" s="36"/>
      <c r="K628" s="36"/>
    </row>
    <row r="629" ht="15.75" customHeight="1">
      <c r="J629" s="36"/>
      <c r="K629" s="36"/>
    </row>
    <row r="630" ht="15.75" customHeight="1">
      <c r="J630" s="36"/>
      <c r="K630" s="36"/>
    </row>
    <row r="631" ht="15.75" customHeight="1">
      <c r="J631" s="36"/>
      <c r="K631" s="36"/>
    </row>
    <row r="632" ht="15.75" customHeight="1">
      <c r="J632" s="36"/>
      <c r="K632" s="36"/>
    </row>
    <row r="633" ht="15.75" customHeight="1">
      <c r="J633" s="36"/>
      <c r="K633" s="36"/>
    </row>
    <row r="634" ht="15.75" customHeight="1">
      <c r="J634" s="36"/>
      <c r="K634" s="36"/>
    </row>
    <row r="635" ht="15.75" customHeight="1">
      <c r="J635" s="36"/>
      <c r="K635" s="36"/>
    </row>
    <row r="636" ht="15.75" customHeight="1">
      <c r="J636" s="36"/>
      <c r="K636" s="36"/>
    </row>
    <row r="637" ht="15.75" customHeight="1">
      <c r="J637" s="36"/>
      <c r="K637" s="36"/>
    </row>
    <row r="638" ht="15.75" customHeight="1">
      <c r="J638" s="36"/>
      <c r="K638" s="36"/>
    </row>
    <row r="639" ht="15.75" customHeight="1">
      <c r="J639" s="36"/>
      <c r="K639" s="36"/>
    </row>
    <row r="640" ht="15.75" customHeight="1">
      <c r="J640" s="36"/>
      <c r="K640" s="36"/>
    </row>
    <row r="641" ht="15.75" customHeight="1">
      <c r="J641" s="36"/>
      <c r="K641" s="36"/>
    </row>
    <row r="642" ht="15.75" customHeight="1">
      <c r="J642" s="36"/>
      <c r="K642" s="36"/>
    </row>
    <row r="643" ht="15.75" customHeight="1">
      <c r="J643" s="36"/>
      <c r="K643" s="36"/>
    </row>
    <row r="644" ht="15.75" customHeight="1">
      <c r="J644" s="36"/>
      <c r="K644" s="36"/>
    </row>
    <row r="645" ht="15.75" customHeight="1">
      <c r="J645" s="36"/>
      <c r="K645" s="36"/>
    </row>
    <row r="646" ht="15.75" customHeight="1">
      <c r="J646" s="36"/>
      <c r="K646" s="36"/>
    </row>
    <row r="647" ht="15.75" customHeight="1">
      <c r="J647" s="36"/>
      <c r="K647" s="36"/>
    </row>
    <row r="648" ht="15.75" customHeight="1">
      <c r="J648" s="36"/>
      <c r="K648" s="36"/>
    </row>
    <row r="649" ht="15.75" customHeight="1">
      <c r="J649" s="36"/>
      <c r="K649" s="36"/>
    </row>
    <row r="650" ht="15.75" customHeight="1">
      <c r="J650" s="36"/>
      <c r="K650" s="36"/>
    </row>
    <row r="651" ht="15.75" customHeight="1">
      <c r="J651" s="36"/>
      <c r="K651" s="36"/>
    </row>
    <row r="652" ht="15.75" customHeight="1">
      <c r="J652" s="36"/>
      <c r="K652" s="36"/>
    </row>
    <row r="653" ht="15.75" customHeight="1">
      <c r="J653" s="36"/>
      <c r="K653" s="36"/>
    </row>
    <row r="654" ht="15.75" customHeight="1">
      <c r="J654" s="36"/>
      <c r="K654" s="36"/>
    </row>
    <row r="655" ht="15.75" customHeight="1">
      <c r="J655" s="36"/>
      <c r="K655" s="36"/>
    </row>
    <row r="656" ht="15.75" customHeight="1">
      <c r="J656" s="36"/>
      <c r="K656" s="36"/>
    </row>
    <row r="657" ht="15.75" customHeight="1">
      <c r="J657" s="36"/>
      <c r="K657" s="36"/>
    </row>
    <row r="658" ht="15.75" customHeight="1">
      <c r="J658" s="36"/>
      <c r="K658" s="36"/>
    </row>
    <row r="659" ht="15.75" customHeight="1">
      <c r="J659" s="36"/>
      <c r="K659" s="36"/>
    </row>
    <row r="660" ht="15.75" customHeight="1">
      <c r="J660" s="36"/>
      <c r="K660" s="36"/>
    </row>
    <row r="661" ht="15.75" customHeight="1">
      <c r="J661" s="36"/>
      <c r="K661" s="36"/>
    </row>
    <row r="662" ht="15.75" customHeight="1">
      <c r="J662" s="36"/>
      <c r="K662" s="36"/>
    </row>
    <row r="663" ht="15.75" customHeight="1">
      <c r="J663" s="36"/>
      <c r="K663" s="36"/>
    </row>
    <row r="664" ht="15.75" customHeight="1">
      <c r="J664" s="36"/>
      <c r="K664" s="36"/>
    </row>
    <row r="665" ht="15.75" customHeight="1">
      <c r="J665" s="36"/>
      <c r="K665" s="36"/>
    </row>
    <row r="666" ht="15.75" customHeight="1">
      <c r="J666" s="36"/>
      <c r="K666" s="36"/>
    </row>
    <row r="667" ht="15.75" customHeight="1">
      <c r="J667" s="36"/>
      <c r="K667" s="36"/>
    </row>
    <row r="668" ht="15.75" customHeight="1">
      <c r="J668" s="36"/>
      <c r="K668" s="36"/>
    </row>
    <row r="669" ht="15.75" customHeight="1">
      <c r="J669" s="36"/>
      <c r="K669" s="36"/>
    </row>
    <row r="670" ht="15.75" customHeight="1">
      <c r="J670" s="36"/>
      <c r="K670" s="36"/>
    </row>
    <row r="671" ht="15.75" customHeight="1">
      <c r="J671" s="36"/>
      <c r="K671" s="36"/>
    </row>
    <row r="672" ht="15.75" customHeight="1">
      <c r="J672" s="36"/>
      <c r="K672" s="36"/>
    </row>
    <row r="673" ht="15.75" customHeight="1">
      <c r="J673" s="36"/>
      <c r="K673" s="36"/>
    </row>
    <row r="674" ht="15.75" customHeight="1">
      <c r="J674" s="36"/>
      <c r="K674" s="36"/>
    </row>
    <row r="675" ht="15.75" customHeight="1">
      <c r="J675" s="36"/>
      <c r="K675" s="36"/>
    </row>
    <row r="676" ht="15.75" customHeight="1">
      <c r="J676" s="36"/>
      <c r="K676" s="36"/>
    </row>
    <row r="677" ht="15.75" customHeight="1">
      <c r="J677" s="36"/>
      <c r="K677" s="36"/>
    </row>
    <row r="678" ht="15.75" customHeight="1">
      <c r="J678" s="36"/>
      <c r="K678" s="36"/>
    </row>
    <row r="679" ht="15.75" customHeight="1">
      <c r="J679" s="36"/>
      <c r="K679" s="36"/>
    </row>
    <row r="680" ht="15.75" customHeight="1">
      <c r="J680" s="36"/>
      <c r="K680" s="36"/>
    </row>
    <row r="681" ht="15.75" customHeight="1">
      <c r="J681" s="36"/>
      <c r="K681" s="36"/>
    </row>
    <row r="682" ht="15.75" customHeight="1">
      <c r="J682" s="36"/>
      <c r="K682" s="36"/>
    </row>
    <row r="683" ht="15.75" customHeight="1">
      <c r="J683" s="36"/>
      <c r="K683" s="36"/>
    </row>
    <row r="684" ht="15.75" customHeight="1">
      <c r="J684" s="36"/>
      <c r="K684" s="36"/>
    </row>
    <row r="685" ht="15.75" customHeight="1">
      <c r="J685" s="36"/>
      <c r="K685" s="36"/>
    </row>
    <row r="686" ht="15.75" customHeight="1">
      <c r="J686" s="36"/>
      <c r="K686" s="36"/>
    </row>
    <row r="687" ht="15.75" customHeight="1">
      <c r="J687" s="36"/>
      <c r="K687" s="36"/>
    </row>
    <row r="688" ht="15.75" customHeight="1">
      <c r="J688" s="36"/>
      <c r="K688" s="36"/>
    </row>
    <row r="689" ht="15.75" customHeight="1">
      <c r="J689" s="36"/>
      <c r="K689" s="36"/>
    </row>
    <row r="690" ht="15.75" customHeight="1">
      <c r="J690" s="36"/>
      <c r="K690" s="36"/>
    </row>
    <row r="691" ht="15.75" customHeight="1">
      <c r="J691" s="36"/>
      <c r="K691" s="36"/>
    </row>
    <row r="692" ht="15.75" customHeight="1">
      <c r="J692" s="36"/>
      <c r="K692" s="36"/>
    </row>
    <row r="693" ht="15.75" customHeight="1">
      <c r="J693" s="36"/>
      <c r="K693" s="36"/>
    </row>
    <row r="694" ht="15.75" customHeight="1">
      <c r="J694" s="36"/>
      <c r="K694" s="36"/>
    </row>
    <row r="695" ht="15.75" customHeight="1">
      <c r="J695" s="36"/>
      <c r="K695" s="36"/>
    </row>
    <row r="696" ht="15.75" customHeight="1">
      <c r="J696" s="36"/>
      <c r="K696" s="36"/>
    </row>
    <row r="697" ht="15.75" customHeight="1">
      <c r="J697" s="36"/>
      <c r="K697" s="36"/>
    </row>
    <row r="698" ht="15.75" customHeight="1">
      <c r="J698" s="36"/>
      <c r="K698" s="36"/>
    </row>
    <row r="699" ht="15.75" customHeight="1">
      <c r="J699" s="36"/>
      <c r="K699" s="36"/>
    </row>
    <row r="700" ht="15.75" customHeight="1">
      <c r="J700" s="36"/>
      <c r="K700" s="36"/>
    </row>
    <row r="701" ht="15.75" customHeight="1">
      <c r="J701" s="36"/>
      <c r="K701" s="36"/>
    </row>
    <row r="702" ht="15.75" customHeight="1">
      <c r="J702" s="36"/>
      <c r="K702" s="36"/>
    </row>
    <row r="703" ht="15.75" customHeight="1">
      <c r="J703" s="36"/>
      <c r="K703" s="36"/>
    </row>
    <row r="704" ht="15.75" customHeight="1">
      <c r="J704" s="36"/>
      <c r="K704" s="36"/>
    </row>
    <row r="705" ht="15.75" customHeight="1">
      <c r="J705" s="36"/>
      <c r="K705" s="36"/>
    </row>
    <row r="706" ht="15.75" customHeight="1">
      <c r="J706" s="36"/>
      <c r="K706" s="36"/>
    </row>
    <row r="707" ht="15.75" customHeight="1">
      <c r="J707" s="36"/>
      <c r="K707" s="36"/>
    </row>
    <row r="708" ht="15.75" customHeight="1">
      <c r="J708" s="36"/>
      <c r="K708" s="36"/>
    </row>
    <row r="709" ht="15.75" customHeight="1">
      <c r="J709" s="36"/>
      <c r="K709" s="36"/>
    </row>
    <row r="710" ht="15.75" customHeight="1">
      <c r="J710" s="36"/>
      <c r="K710" s="36"/>
    </row>
    <row r="711" ht="15.75" customHeight="1">
      <c r="J711" s="36"/>
      <c r="K711" s="36"/>
    </row>
    <row r="712" ht="15.75" customHeight="1">
      <c r="J712" s="36"/>
      <c r="K712" s="36"/>
    </row>
    <row r="713" ht="15.75" customHeight="1">
      <c r="J713" s="36"/>
      <c r="K713" s="36"/>
    </row>
    <row r="714" ht="15.75" customHeight="1">
      <c r="J714" s="36"/>
      <c r="K714" s="36"/>
    </row>
    <row r="715" ht="15.75" customHeight="1">
      <c r="J715" s="36"/>
      <c r="K715" s="36"/>
    </row>
    <row r="716" ht="15.75" customHeight="1">
      <c r="J716" s="36"/>
      <c r="K716" s="36"/>
    </row>
    <row r="717" ht="15.75" customHeight="1">
      <c r="J717" s="36"/>
      <c r="K717" s="36"/>
    </row>
    <row r="718" ht="15.75" customHeight="1">
      <c r="J718" s="36"/>
      <c r="K718" s="36"/>
    </row>
    <row r="719" ht="15.75" customHeight="1">
      <c r="J719" s="36"/>
      <c r="K719" s="36"/>
    </row>
    <row r="720" ht="15.75" customHeight="1">
      <c r="J720" s="36"/>
      <c r="K720" s="36"/>
    </row>
    <row r="721" ht="15.75" customHeight="1">
      <c r="J721" s="36"/>
      <c r="K721" s="36"/>
    </row>
    <row r="722" ht="15.75" customHeight="1">
      <c r="J722" s="36"/>
      <c r="K722" s="36"/>
    </row>
    <row r="723" ht="15.75" customHeight="1">
      <c r="J723" s="36"/>
      <c r="K723" s="36"/>
    </row>
    <row r="724" ht="15.75" customHeight="1">
      <c r="J724" s="36"/>
      <c r="K724" s="36"/>
    </row>
    <row r="725" ht="15.75" customHeight="1">
      <c r="J725" s="36"/>
      <c r="K725" s="36"/>
    </row>
    <row r="726" ht="15.75" customHeight="1">
      <c r="J726" s="36"/>
      <c r="K726" s="36"/>
    </row>
    <row r="727" ht="15.75" customHeight="1">
      <c r="J727" s="36"/>
      <c r="K727" s="36"/>
    </row>
    <row r="728" ht="15.75" customHeight="1">
      <c r="J728" s="36"/>
      <c r="K728" s="36"/>
    </row>
    <row r="729" ht="15.75" customHeight="1">
      <c r="J729" s="36"/>
      <c r="K729" s="36"/>
    </row>
    <row r="730" ht="15.75" customHeight="1">
      <c r="J730" s="36"/>
      <c r="K730" s="36"/>
    </row>
    <row r="731" ht="15.75" customHeight="1">
      <c r="J731" s="36"/>
      <c r="K731" s="36"/>
    </row>
    <row r="732" ht="15.75" customHeight="1">
      <c r="J732" s="36"/>
      <c r="K732" s="36"/>
    </row>
    <row r="733" ht="15.75" customHeight="1">
      <c r="J733" s="36"/>
      <c r="K733" s="36"/>
    </row>
    <row r="734" ht="15.75" customHeight="1">
      <c r="J734" s="36"/>
      <c r="K734" s="36"/>
    </row>
    <row r="735" ht="15.75" customHeight="1">
      <c r="J735" s="36"/>
      <c r="K735" s="36"/>
    </row>
    <row r="736" ht="15.75" customHeight="1">
      <c r="J736" s="36"/>
      <c r="K736" s="36"/>
    </row>
    <row r="737" ht="15.75" customHeight="1">
      <c r="J737" s="36"/>
      <c r="K737" s="36"/>
    </row>
    <row r="738" ht="15.75" customHeight="1">
      <c r="J738" s="36"/>
      <c r="K738" s="36"/>
    </row>
    <row r="739" ht="15.75" customHeight="1">
      <c r="J739" s="36"/>
      <c r="K739" s="36"/>
    </row>
    <row r="740" ht="15.75" customHeight="1">
      <c r="J740" s="36"/>
      <c r="K740" s="36"/>
    </row>
    <row r="741" ht="15.75" customHeight="1">
      <c r="J741" s="36"/>
      <c r="K741" s="36"/>
    </row>
    <row r="742" ht="15.75" customHeight="1">
      <c r="J742" s="36"/>
      <c r="K742" s="36"/>
    </row>
    <row r="743" ht="15.75" customHeight="1">
      <c r="J743" s="36"/>
      <c r="K743" s="36"/>
    </row>
    <row r="744" ht="15.75" customHeight="1">
      <c r="J744" s="36"/>
      <c r="K744" s="36"/>
    </row>
    <row r="745" ht="15.75" customHeight="1">
      <c r="J745" s="36"/>
      <c r="K745" s="36"/>
    </row>
    <row r="746" ht="15.75" customHeight="1">
      <c r="J746" s="36"/>
      <c r="K746" s="36"/>
    </row>
    <row r="747" ht="15.75" customHeight="1">
      <c r="J747" s="36"/>
      <c r="K747" s="36"/>
    </row>
    <row r="748" ht="15.75" customHeight="1">
      <c r="J748" s="36"/>
      <c r="K748" s="36"/>
    </row>
    <row r="749" ht="15.75" customHeight="1">
      <c r="J749" s="36"/>
      <c r="K749" s="36"/>
    </row>
    <row r="750" ht="15.75" customHeight="1">
      <c r="J750" s="36"/>
      <c r="K750" s="36"/>
    </row>
    <row r="751" ht="15.75" customHeight="1">
      <c r="J751" s="36"/>
      <c r="K751" s="36"/>
    </row>
    <row r="752" ht="15.75" customHeight="1">
      <c r="J752" s="36"/>
      <c r="K752" s="36"/>
    </row>
    <row r="753" ht="15.75" customHeight="1">
      <c r="J753" s="36"/>
      <c r="K753" s="36"/>
    </row>
    <row r="754" ht="15.75" customHeight="1">
      <c r="J754" s="36"/>
      <c r="K754" s="36"/>
    </row>
    <row r="755" ht="15.75" customHeight="1">
      <c r="J755" s="36"/>
      <c r="K755" s="36"/>
    </row>
    <row r="756" ht="15.75" customHeight="1">
      <c r="J756" s="36"/>
      <c r="K756" s="36"/>
    </row>
    <row r="757" ht="15.75" customHeight="1">
      <c r="J757" s="36"/>
      <c r="K757" s="36"/>
    </row>
    <row r="758" ht="15.75" customHeight="1">
      <c r="J758" s="36"/>
      <c r="K758" s="36"/>
    </row>
    <row r="759" ht="15.75" customHeight="1">
      <c r="J759" s="36"/>
      <c r="K759" s="36"/>
    </row>
    <row r="760" ht="15.75" customHeight="1">
      <c r="J760" s="36"/>
      <c r="K760" s="36"/>
    </row>
    <row r="761" ht="15.75" customHeight="1">
      <c r="J761" s="36"/>
      <c r="K761" s="36"/>
    </row>
    <row r="762" ht="15.75" customHeight="1">
      <c r="J762" s="36"/>
      <c r="K762" s="36"/>
    </row>
    <row r="763" ht="15.75" customHeight="1">
      <c r="J763" s="36"/>
      <c r="K763" s="36"/>
    </row>
    <row r="764" ht="15.75" customHeight="1">
      <c r="J764" s="36"/>
      <c r="K764" s="36"/>
    </row>
    <row r="765" ht="15.75" customHeight="1">
      <c r="J765" s="36"/>
      <c r="K765" s="36"/>
    </row>
    <row r="766" ht="15.75" customHeight="1">
      <c r="J766" s="36"/>
      <c r="K766" s="36"/>
    </row>
    <row r="767" ht="15.75" customHeight="1">
      <c r="J767" s="36"/>
      <c r="K767" s="36"/>
    </row>
    <row r="768" ht="15.75" customHeight="1">
      <c r="J768" s="36"/>
      <c r="K768" s="36"/>
    </row>
    <row r="769" ht="15.75" customHeight="1">
      <c r="J769" s="36"/>
      <c r="K769" s="36"/>
    </row>
    <row r="770" ht="15.75" customHeight="1">
      <c r="J770" s="36"/>
      <c r="K770" s="36"/>
    </row>
    <row r="771" ht="15.75" customHeight="1">
      <c r="J771" s="36"/>
      <c r="K771" s="36"/>
    </row>
    <row r="772" ht="15.75" customHeight="1">
      <c r="J772" s="36"/>
      <c r="K772" s="36"/>
    </row>
    <row r="773" ht="15.75" customHeight="1">
      <c r="J773" s="36"/>
      <c r="K773" s="36"/>
    </row>
    <row r="774" ht="15.75" customHeight="1">
      <c r="J774" s="36"/>
      <c r="K774" s="36"/>
    </row>
    <row r="775" ht="15.75" customHeight="1">
      <c r="J775" s="36"/>
      <c r="K775" s="36"/>
    </row>
    <row r="776" ht="15.75" customHeight="1">
      <c r="J776" s="36"/>
      <c r="K776" s="36"/>
    </row>
    <row r="777" ht="15.75" customHeight="1">
      <c r="J777" s="36"/>
      <c r="K777" s="36"/>
    </row>
    <row r="778" ht="15.75" customHeight="1">
      <c r="J778" s="36"/>
      <c r="K778" s="36"/>
    </row>
    <row r="779" ht="15.75" customHeight="1">
      <c r="J779" s="36"/>
      <c r="K779" s="36"/>
    </row>
    <row r="780" ht="15.75" customHeight="1">
      <c r="J780" s="36"/>
      <c r="K780" s="36"/>
    </row>
    <row r="781" ht="15.75" customHeight="1">
      <c r="J781" s="36"/>
      <c r="K781" s="36"/>
    </row>
    <row r="782" ht="15.75" customHeight="1">
      <c r="J782" s="36"/>
      <c r="K782" s="36"/>
    </row>
    <row r="783" ht="15.75" customHeight="1">
      <c r="J783" s="36"/>
      <c r="K783" s="36"/>
    </row>
    <row r="784" ht="15.75" customHeight="1">
      <c r="J784" s="36"/>
      <c r="K784" s="36"/>
    </row>
    <row r="785" ht="15.75" customHeight="1">
      <c r="J785" s="36"/>
      <c r="K785" s="36"/>
    </row>
    <row r="786" ht="15.75" customHeight="1">
      <c r="J786" s="36"/>
      <c r="K786" s="36"/>
    </row>
    <row r="787" ht="15.75" customHeight="1">
      <c r="J787" s="36"/>
      <c r="K787" s="36"/>
    </row>
    <row r="788" ht="15.75" customHeight="1">
      <c r="J788" s="36"/>
      <c r="K788" s="36"/>
    </row>
    <row r="789" ht="15.75" customHeight="1">
      <c r="J789" s="36"/>
      <c r="K789" s="36"/>
    </row>
    <row r="790" ht="15.75" customHeight="1">
      <c r="J790" s="36"/>
      <c r="K790" s="36"/>
    </row>
    <row r="791" ht="15.75" customHeight="1">
      <c r="J791" s="36"/>
      <c r="K791" s="36"/>
    </row>
    <row r="792" ht="15.75" customHeight="1">
      <c r="J792" s="36"/>
      <c r="K792" s="36"/>
    </row>
    <row r="793" ht="15.75" customHeight="1">
      <c r="J793" s="36"/>
      <c r="K793" s="36"/>
    </row>
    <row r="794" ht="15.75" customHeight="1">
      <c r="J794" s="36"/>
      <c r="K794" s="36"/>
    </row>
    <row r="795" ht="15.75" customHeight="1">
      <c r="J795" s="36"/>
      <c r="K795" s="36"/>
    </row>
    <row r="796" ht="15.75" customHeight="1">
      <c r="J796" s="36"/>
      <c r="K796" s="36"/>
    </row>
    <row r="797" ht="15.75" customHeight="1">
      <c r="J797" s="36"/>
      <c r="K797" s="36"/>
    </row>
    <row r="798" ht="15.75" customHeight="1">
      <c r="J798" s="36"/>
      <c r="K798" s="36"/>
    </row>
    <row r="799" ht="15.75" customHeight="1">
      <c r="J799" s="36"/>
      <c r="K799" s="36"/>
    </row>
    <row r="800" ht="15.75" customHeight="1">
      <c r="J800" s="36"/>
      <c r="K800" s="36"/>
    </row>
    <row r="801" ht="15.75" customHeight="1">
      <c r="J801" s="36"/>
      <c r="K801" s="36"/>
    </row>
    <row r="802" ht="15.75" customHeight="1">
      <c r="J802" s="36"/>
      <c r="K802" s="36"/>
    </row>
    <row r="803" ht="15.75" customHeight="1">
      <c r="J803" s="36"/>
      <c r="K803" s="36"/>
    </row>
    <row r="804" ht="15.75" customHeight="1">
      <c r="J804" s="36"/>
      <c r="K804" s="36"/>
    </row>
    <row r="805" ht="15.75" customHeight="1">
      <c r="J805" s="36"/>
      <c r="K805" s="36"/>
    </row>
    <row r="806" ht="15.75" customHeight="1">
      <c r="J806" s="36"/>
      <c r="K806" s="36"/>
    </row>
    <row r="807" ht="15.75" customHeight="1">
      <c r="J807" s="36"/>
      <c r="K807" s="36"/>
    </row>
    <row r="808" ht="15.75" customHeight="1">
      <c r="J808" s="36"/>
      <c r="K808" s="36"/>
    </row>
    <row r="809" ht="15.75" customHeight="1">
      <c r="J809" s="36"/>
      <c r="K809" s="36"/>
    </row>
    <row r="810" ht="15.75" customHeight="1">
      <c r="J810" s="36"/>
      <c r="K810" s="36"/>
    </row>
    <row r="811" ht="15.75" customHeight="1">
      <c r="J811" s="36"/>
      <c r="K811" s="36"/>
    </row>
    <row r="812" ht="15.75" customHeight="1">
      <c r="J812" s="36"/>
      <c r="K812" s="36"/>
    </row>
    <row r="813" ht="15.75" customHeight="1">
      <c r="J813" s="36"/>
      <c r="K813" s="36"/>
    </row>
    <row r="814" ht="15.75" customHeight="1">
      <c r="J814" s="36"/>
      <c r="K814" s="36"/>
    </row>
    <row r="815" ht="15.75" customHeight="1">
      <c r="J815" s="36"/>
      <c r="K815" s="36"/>
    </row>
    <row r="816" ht="15.75" customHeight="1">
      <c r="J816" s="36"/>
      <c r="K816" s="36"/>
    </row>
    <row r="817" ht="15.75" customHeight="1">
      <c r="J817" s="36"/>
      <c r="K817" s="36"/>
    </row>
    <row r="818" ht="15.75" customHeight="1">
      <c r="J818" s="36"/>
      <c r="K818" s="36"/>
    </row>
    <row r="819" ht="15.75" customHeight="1">
      <c r="J819" s="36"/>
      <c r="K819" s="36"/>
    </row>
    <row r="820" ht="15.75" customHeight="1">
      <c r="J820" s="36"/>
      <c r="K820" s="36"/>
    </row>
    <row r="821" ht="15.75" customHeight="1">
      <c r="J821" s="36"/>
      <c r="K821" s="36"/>
    </row>
    <row r="822" ht="15.75" customHeight="1">
      <c r="J822" s="36"/>
      <c r="K822" s="36"/>
    </row>
    <row r="823" ht="15.75" customHeight="1">
      <c r="J823" s="36"/>
      <c r="K823" s="36"/>
    </row>
    <row r="824" ht="15.75" customHeight="1">
      <c r="J824" s="36"/>
      <c r="K824" s="36"/>
    </row>
    <row r="825" ht="15.75" customHeight="1">
      <c r="J825" s="36"/>
      <c r="K825" s="36"/>
    </row>
    <row r="826" ht="15.75" customHeight="1">
      <c r="J826" s="36"/>
      <c r="K826" s="36"/>
    </row>
    <row r="827" ht="15.75" customHeight="1">
      <c r="J827" s="36"/>
      <c r="K827" s="36"/>
    </row>
    <row r="828" ht="15.75" customHeight="1">
      <c r="J828" s="36"/>
      <c r="K828" s="36"/>
    </row>
    <row r="829" ht="15.75" customHeight="1">
      <c r="J829" s="36"/>
      <c r="K829" s="36"/>
    </row>
    <row r="830" ht="15.75" customHeight="1">
      <c r="J830" s="36"/>
      <c r="K830" s="36"/>
    </row>
    <row r="831" ht="15.75" customHeight="1">
      <c r="J831" s="36"/>
      <c r="K831" s="36"/>
    </row>
    <row r="832" ht="15.75" customHeight="1">
      <c r="J832" s="36"/>
      <c r="K832" s="36"/>
    </row>
    <row r="833" ht="15.75" customHeight="1">
      <c r="J833" s="36"/>
      <c r="K833" s="36"/>
    </row>
    <row r="834" ht="15.75" customHeight="1">
      <c r="J834" s="36"/>
      <c r="K834" s="36"/>
    </row>
    <row r="835" ht="15.75" customHeight="1">
      <c r="J835" s="36"/>
      <c r="K835" s="36"/>
    </row>
    <row r="836" ht="15.75" customHeight="1">
      <c r="J836" s="36"/>
      <c r="K836" s="36"/>
    </row>
    <row r="837" ht="15.75" customHeight="1">
      <c r="J837" s="36"/>
      <c r="K837" s="36"/>
    </row>
    <row r="838" ht="15.75" customHeight="1">
      <c r="J838" s="36"/>
      <c r="K838" s="36"/>
    </row>
    <row r="839" ht="15.75" customHeight="1">
      <c r="J839" s="36"/>
      <c r="K839" s="36"/>
    </row>
    <row r="840" ht="15.75" customHeight="1">
      <c r="J840" s="36"/>
      <c r="K840" s="36"/>
    </row>
    <row r="841" ht="15.75" customHeight="1">
      <c r="J841" s="36"/>
      <c r="K841" s="36"/>
    </row>
    <row r="842" ht="15.75" customHeight="1">
      <c r="J842" s="36"/>
      <c r="K842" s="36"/>
    </row>
    <row r="843" ht="15.75" customHeight="1">
      <c r="J843" s="36"/>
      <c r="K843" s="36"/>
    </row>
    <row r="844" ht="15.75" customHeight="1">
      <c r="J844" s="36"/>
      <c r="K844" s="36"/>
    </row>
    <row r="845" ht="15.75" customHeight="1">
      <c r="J845" s="36"/>
      <c r="K845" s="36"/>
    </row>
    <row r="846" ht="15.75" customHeight="1">
      <c r="J846" s="36"/>
      <c r="K846" s="36"/>
    </row>
    <row r="847" ht="15.75" customHeight="1">
      <c r="J847" s="36"/>
      <c r="K847" s="36"/>
    </row>
    <row r="848" ht="15.75" customHeight="1">
      <c r="J848" s="36"/>
      <c r="K848" s="36"/>
    </row>
    <row r="849" ht="15.75" customHeight="1">
      <c r="J849" s="36"/>
      <c r="K849" s="36"/>
    </row>
    <row r="850" ht="15.75" customHeight="1">
      <c r="J850" s="36"/>
      <c r="K850" s="36"/>
    </row>
    <row r="851" ht="15.75" customHeight="1">
      <c r="J851" s="36"/>
      <c r="K851" s="36"/>
    </row>
    <row r="852" ht="15.75" customHeight="1">
      <c r="J852" s="36"/>
      <c r="K852" s="36"/>
    </row>
    <row r="853" ht="15.75" customHeight="1">
      <c r="J853" s="36"/>
      <c r="K853" s="36"/>
    </row>
    <row r="854" ht="15.75" customHeight="1">
      <c r="J854" s="36"/>
      <c r="K854" s="36"/>
    </row>
    <row r="855" ht="15.75" customHeight="1">
      <c r="J855" s="36"/>
      <c r="K855" s="36"/>
    </row>
    <row r="856" ht="15.75" customHeight="1">
      <c r="J856" s="36"/>
      <c r="K856" s="36"/>
    </row>
    <row r="857" ht="15.75" customHeight="1">
      <c r="J857" s="36"/>
      <c r="K857" s="36"/>
    </row>
    <row r="858" ht="15.75" customHeight="1">
      <c r="J858" s="36"/>
      <c r="K858" s="36"/>
    </row>
    <row r="859" ht="15.75" customHeight="1">
      <c r="J859" s="36"/>
      <c r="K859" s="36"/>
    </row>
    <row r="860" ht="15.75" customHeight="1">
      <c r="J860" s="36"/>
      <c r="K860" s="36"/>
    </row>
    <row r="861" ht="15.75" customHeight="1">
      <c r="J861" s="36"/>
      <c r="K861" s="36"/>
    </row>
    <row r="862" ht="15.75" customHeight="1">
      <c r="J862" s="36"/>
      <c r="K862" s="36"/>
    </row>
    <row r="863" ht="15.75" customHeight="1">
      <c r="J863" s="36"/>
      <c r="K863" s="36"/>
    </row>
    <row r="864" ht="15.75" customHeight="1">
      <c r="J864" s="36"/>
      <c r="K864" s="36"/>
    </row>
    <row r="865" ht="15.75" customHeight="1">
      <c r="J865" s="36"/>
      <c r="K865" s="36"/>
    </row>
    <row r="866" ht="15.75" customHeight="1">
      <c r="J866" s="36"/>
      <c r="K866" s="36"/>
    </row>
    <row r="867" ht="15.75" customHeight="1">
      <c r="J867" s="36"/>
      <c r="K867" s="36"/>
    </row>
    <row r="868" ht="15.75" customHeight="1">
      <c r="J868" s="36"/>
      <c r="K868" s="36"/>
    </row>
    <row r="869" ht="15.75" customHeight="1">
      <c r="J869" s="36"/>
      <c r="K869" s="36"/>
    </row>
    <row r="870" ht="15.75" customHeight="1">
      <c r="J870" s="36"/>
      <c r="K870" s="36"/>
    </row>
    <row r="871" ht="15.75" customHeight="1">
      <c r="J871" s="36"/>
      <c r="K871" s="36"/>
    </row>
    <row r="872" ht="15.75" customHeight="1">
      <c r="J872" s="36"/>
      <c r="K872" s="36"/>
    </row>
    <row r="873" ht="15.75" customHeight="1">
      <c r="J873" s="36"/>
      <c r="K873" s="36"/>
    </row>
    <row r="874" ht="15.75" customHeight="1">
      <c r="J874" s="36"/>
      <c r="K874" s="36"/>
    </row>
    <row r="875" ht="15.75" customHeight="1">
      <c r="J875" s="36"/>
      <c r="K875" s="36"/>
    </row>
    <row r="876" ht="15.75" customHeight="1">
      <c r="J876" s="36"/>
      <c r="K876" s="36"/>
    </row>
    <row r="877" ht="15.75" customHeight="1">
      <c r="J877" s="36"/>
      <c r="K877" s="36"/>
    </row>
    <row r="878" ht="15.75" customHeight="1">
      <c r="J878" s="36"/>
      <c r="K878" s="36"/>
    </row>
    <row r="879" ht="15.75" customHeight="1">
      <c r="J879" s="36"/>
      <c r="K879" s="36"/>
    </row>
    <row r="880" ht="15.75" customHeight="1">
      <c r="J880" s="36"/>
      <c r="K880" s="36"/>
    </row>
    <row r="881" ht="15.75" customHeight="1">
      <c r="J881" s="36"/>
      <c r="K881" s="36"/>
    </row>
    <row r="882" ht="15.75" customHeight="1">
      <c r="J882" s="36"/>
      <c r="K882" s="36"/>
    </row>
    <row r="883" ht="15.75" customHeight="1">
      <c r="J883" s="36"/>
      <c r="K883" s="36"/>
    </row>
    <row r="884" ht="15.75" customHeight="1">
      <c r="J884" s="36"/>
      <c r="K884" s="36"/>
    </row>
    <row r="885" ht="15.75" customHeight="1">
      <c r="J885" s="36"/>
      <c r="K885" s="36"/>
    </row>
    <row r="886" ht="15.75" customHeight="1">
      <c r="J886" s="36"/>
      <c r="K886" s="36"/>
    </row>
    <row r="887" ht="15.75" customHeight="1">
      <c r="J887" s="36"/>
      <c r="K887" s="36"/>
    </row>
    <row r="888" ht="15.75" customHeight="1">
      <c r="J888" s="36"/>
      <c r="K888" s="36"/>
    </row>
    <row r="889" ht="15.75" customHeight="1">
      <c r="J889" s="36"/>
      <c r="K889" s="36"/>
    </row>
    <row r="890" ht="15.75" customHeight="1">
      <c r="J890" s="36"/>
      <c r="K890" s="36"/>
    </row>
    <row r="891" ht="15.75" customHeight="1">
      <c r="J891" s="36"/>
      <c r="K891" s="36"/>
    </row>
    <row r="892" ht="15.75" customHeight="1">
      <c r="J892" s="36"/>
      <c r="K892" s="36"/>
    </row>
    <row r="893" ht="15.75" customHeight="1">
      <c r="J893" s="36"/>
      <c r="K893" s="36"/>
    </row>
    <row r="894" ht="15.75" customHeight="1">
      <c r="J894" s="36"/>
      <c r="K894" s="36"/>
    </row>
    <row r="895" ht="15.75" customHeight="1">
      <c r="J895" s="36"/>
      <c r="K895" s="36"/>
    </row>
    <row r="896" ht="15.75" customHeight="1">
      <c r="J896" s="36"/>
      <c r="K896" s="36"/>
    </row>
    <row r="897" ht="15.75" customHeight="1">
      <c r="J897" s="36"/>
      <c r="K897" s="36"/>
    </row>
    <row r="898" ht="15.75" customHeight="1">
      <c r="J898" s="36"/>
      <c r="K898" s="36"/>
    </row>
    <row r="899" ht="15.75" customHeight="1">
      <c r="J899" s="36"/>
      <c r="K899" s="36"/>
    </row>
    <row r="900" ht="15.75" customHeight="1">
      <c r="J900" s="36"/>
      <c r="K900" s="36"/>
    </row>
    <row r="901" ht="15.75" customHeight="1">
      <c r="J901" s="36"/>
      <c r="K901" s="36"/>
    </row>
    <row r="902" ht="15.75" customHeight="1">
      <c r="J902" s="36"/>
      <c r="K902" s="36"/>
    </row>
    <row r="903" ht="15.75" customHeight="1">
      <c r="J903" s="36"/>
      <c r="K903" s="36"/>
    </row>
    <row r="904" ht="15.75" customHeight="1">
      <c r="J904" s="36"/>
      <c r="K904" s="36"/>
    </row>
    <row r="905" ht="15.75" customHeight="1">
      <c r="J905" s="36"/>
      <c r="K905" s="36"/>
    </row>
    <row r="906" ht="15.75" customHeight="1">
      <c r="J906" s="36"/>
      <c r="K906" s="36"/>
    </row>
    <row r="907" ht="15.75" customHeight="1">
      <c r="J907" s="36"/>
      <c r="K907" s="36"/>
    </row>
    <row r="908" ht="15.75" customHeight="1">
      <c r="J908" s="36"/>
      <c r="K908" s="36"/>
    </row>
    <row r="909" ht="15.75" customHeight="1">
      <c r="J909" s="36"/>
      <c r="K909" s="36"/>
    </row>
    <row r="910" ht="15.75" customHeight="1">
      <c r="J910" s="36"/>
      <c r="K910" s="36"/>
    </row>
    <row r="911" ht="15.75" customHeight="1">
      <c r="J911" s="36"/>
      <c r="K911" s="36"/>
    </row>
    <row r="912" ht="15.75" customHeight="1">
      <c r="J912" s="36"/>
      <c r="K912" s="36"/>
    </row>
    <row r="913" ht="15.75" customHeight="1">
      <c r="J913" s="36"/>
      <c r="K913" s="36"/>
    </row>
    <row r="914" ht="15.75" customHeight="1">
      <c r="J914" s="36"/>
      <c r="K914" s="36"/>
    </row>
    <row r="915" ht="15.75" customHeight="1">
      <c r="J915" s="36"/>
      <c r="K915" s="36"/>
    </row>
    <row r="916" ht="15.75" customHeight="1">
      <c r="J916" s="36"/>
      <c r="K916" s="36"/>
    </row>
    <row r="917" ht="15.75" customHeight="1">
      <c r="J917" s="36"/>
      <c r="K917" s="36"/>
    </row>
    <row r="918" ht="15.75" customHeight="1">
      <c r="J918" s="36"/>
      <c r="K918" s="36"/>
    </row>
    <row r="919" ht="15.75" customHeight="1">
      <c r="J919" s="36"/>
      <c r="K919" s="36"/>
    </row>
    <row r="920" ht="15.75" customHeight="1">
      <c r="J920" s="36"/>
      <c r="K920" s="36"/>
    </row>
    <row r="921" ht="15.75" customHeight="1">
      <c r="J921" s="36"/>
      <c r="K921" s="36"/>
    </row>
    <row r="922" ht="15.75" customHeight="1">
      <c r="J922" s="36"/>
      <c r="K922" s="36"/>
    </row>
    <row r="923" ht="15.75" customHeight="1">
      <c r="J923" s="36"/>
      <c r="K923" s="36"/>
    </row>
    <row r="924" ht="15.75" customHeight="1">
      <c r="J924" s="36"/>
      <c r="K924" s="36"/>
    </row>
    <row r="925" ht="15.75" customHeight="1">
      <c r="J925" s="36"/>
      <c r="K925" s="36"/>
    </row>
    <row r="926" ht="15.75" customHeight="1">
      <c r="J926" s="36"/>
      <c r="K926" s="36"/>
    </row>
    <row r="927" ht="15.75" customHeight="1">
      <c r="J927" s="36"/>
      <c r="K927" s="36"/>
    </row>
    <row r="928" ht="15.75" customHeight="1">
      <c r="J928" s="36"/>
      <c r="K928" s="36"/>
    </row>
    <row r="929" ht="15.75" customHeight="1">
      <c r="J929" s="36"/>
      <c r="K929" s="36"/>
    </row>
    <row r="930" ht="15.75" customHeight="1">
      <c r="J930" s="36"/>
      <c r="K930" s="36"/>
    </row>
    <row r="931" ht="15.75" customHeight="1">
      <c r="J931" s="36"/>
      <c r="K931" s="36"/>
    </row>
    <row r="932" ht="15.75" customHeight="1">
      <c r="J932" s="36"/>
      <c r="K932" s="36"/>
    </row>
    <row r="933" ht="15.75" customHeight="1">
      <c r="J933" s="36"/>
      <c r="K933" s="36"/>
    </row>
    <row r="934" ht="15.75" customHeight="1">
      <c r="J934" s="36"/>
      <c r="K934" s="36"/>
    </row>
    <row r="935" ht="15.75" customHeight="1">
      <c r="J935" s="36"/>
      <c r="K935" s="36"/>
    </row>
    <row r="936" ht="15.75" customHeight="1">
      <c r="J936" s="36"/>
      <c r="K936" s="36"/>
    </row>
    <row r="937" ht="15.75" customHeight="1">
      <c r="J937" s="36"/>
      <c r="K937" s="36"/>
    </row>
    <row r="938" ht="15.75" customHeight="1">
      <c r="J938" s="36"/>
      <c r="K938" s="36"/>
    </row>
    <row r="939" ht="15.75" customHeight="1">
      <c r="J939" s="36"/>
      <c r="K939" s="36"/>
    </row>
    <row r="940" ht="15.75" customHeight="1">
      <c r="J940" s="36"/>
      <c r="K940" s="36"/>
    </row>
    <row r="941" ht="15.75" customHeight="1">
      <c r="J941" s="36"/>
      <c r="K941" s="36"/>
    </row>
    <row r="942" ht="15.75" customHeight="1">
      <c r="J942" s="36"/>
      <c r="K942" s="36"/>
    </row>
    <row r="943" ht="15.75" customHeight="1">
      <c r="J943" s="36"/>
      <c r="K943" s="36"/>
    </row>
    <row r="944" ht="15.75" customHeight="1">
      <c r="J944" s="36"/>
      <c r="K944" s="36"/>
    </row>
    <row r="945" ht="15.75" customHeight="1">
      <c r="J945" s="36"/>
      <c r="K945" s="36"/>
    </row>
    <row r="946" ht="15.75" customHeight="1">
      <c r="J946" s="36"/>
      <c r="K946" s="36"/>
    </row>
    <row r="947" ht="15.75" customHeight="1">
      <c r="J947" s="36"/>
      <c r="K947" s="36"/>
    </row>
    <row r="948" ht="15.75" customHeight="1">
      <c r="J948" s="36"/>
      <c r="K948" s="36"/>
    </row>
    <row r="949" ht="15.75" customHeight="1">
      <c r="J949" s="36"/>
      <c r="K949" s="36"/>
    </row>
    <row r="950" ht="15.75" customHeight="1">
      <c r="J950" s="36"/>
      <c r="K950" s="36"/>
    </row>
    <row r="951" ht="15.75" customHeight="1">
      <c r="J951" s="36"/>
      <c r="K951" s="36"/>
    </row>
    <row r="952" ht="15.75" customHeight="1">
      <c r="J952" s="36"/>
      <c r="K952" s="36"/>
    </row>
    <row r="953" ht="15.75" customHeight="1">
      <c r="J953" s="36"/>
      <c r="K953" s="36"/>
    </row>
    <row r="954" ht="15.75" customHeight="1">
      <c r="J954" s="36"/>
      <c r="K954" s="36"/>
    </row>
    <row r="955" ht="15.75" customHeight="1">
      <c r="J955" s="36"/>
      <c r="K955" s="36"/>
    </row>
    <row r="956" ht="15.75" customHeight="1">
      <c r="J956" s="36"/>
      <c r="K956" s="36"/>
    </row>
    <row r="957" ht="15.75" customHeight="1">
      <c r="J957" s="36"/>
      <c r="K957" s="36"/>
    </row>
    <row r="958" ht="15.75" customHeight="1">
      <c r="J958" s="36"/>
      <c r="K958" s="36"/>
    </row>
    <row r="959" ht="15.75" customHeight="1">
      <c r="J959" s="36"/>
      <c r="K959" s="36"/>
    </row>
    <row r="960" ht="15.75" customHeight="1">
      <c r="J960" s="36"/>
      <c r="K960" s="36"/>
    </row>
    <row r="961" ht="15.75" customHeight="1">
      <c r="J961" s="36"/>
      <c r="K961" s="36"/>
    </row>
    <row r="962" ht="15.75" customHeight="1">
      <c r="J962" s="36"/>
      <c r="K962" s="36"/>
    </row>
    <row r="963" ht="15.75" customHeight="1">
      <c r="J963" s="36"/>
      <c r="K963" s="36"/>
    </row>
    <row r="964" ht="15.75" customHeight="1">
      <c r="J964" s="36"/>
      <c r="K964" s="36"/>
    </row>
    <row r="965" ht="15.75" customHeight="1">
      <c r="J965" s="36"/>
      <c r="K965" s="36"/>
    </row>
    <row r="966" ht="15.75" customHeight="1">
      <c r="J966" s="36"/>
      <c r="K966" s="36"/>
    </row>
    <row r="967" ht="15.75" customHeight="1">
      <c r="J967" s="36"/>
      <c r="K967" s="36"/>
    </row>
    <row r="968" ht="15.75" customHeight="1">
      <c r="J968" s="36"/>
      <c r="K968" s="36"/>
    </row>
    <row r="969" ht="15.75" customHeight="1">
      <c r="J969" s="36"/>
      <c r="K969" s="36"/>
    </row>
    <row r="970" ht="15.75" customHeight="1">
      <c r="J970" s="36"/>
      <c r="K970" s="36"/>
    </row>
    <row r="971" ht="15.75" customHeight="1">
      <c r="J971" s="36"/>
      <c r="K971" s="36"/>
    </row>
    <row r="972" ht="15.75" customHeight="1">
      <c r="J972" s="36"/>
      <c r="K972" s="36"/>
    </row>
    <row r="973" ht="15.75" customHeight="1">
      <c r="J973" s="36"/>
      <c r="K973" s="36"/>
    </row>
    <row r="974" ht="15.75" customHeight="1">
      <c r="J974" s="36"/>
      <c r="K974" s="36"/>
    </row>
    <row r="975" ht="15.75" customHeight="1">
      <c r="J975" s="36"/>
      <c r="K975" s="36"/>
    </row>
    <row r="976" ht="15.75" customHeight="1">
      <c r="J976" s="36"/>
      <c r="K976" s="36"/>
    </row>
    <row r="977" ht="15.75" customHeight="1">
      <c r="J977" s="36"/>
      <c r="K977" s="36"/>
    </row>
    <row r="978" ht="15.75" customHeight="1">
      <c r="J978" s="36"/>
      <c r="K978" s="36"/>
    </row>
    <row r="979" ht="15.75" customHeight="1">
      <c r="J979" s="36"/>
      <c r="K979" s="36"/>
    </row>
    <row r="980" ht="15.75" customHeight="1">
      <c r="J980" s="36"/>
      <c r="K980" s="36"/>
    </row>
    <row r="981" ht="15.75" customHeight="1">
      <c r="J981" s="36"/>
      <c r="K981" s="36"/>
    </row>
    <row r="982" ht="15.75" customHeight="1">
      <c r="J982" s="36"/>
      <c r="K982" s="36"/>
    </row>
    <row r="983" ht="15.75" customHeight="1">
      <c r="J983" s="36"/>
      <c r="K983" s="36"/>
    </row>
    <row r="984" ht="15.75" customHeight="1">
      <c r="J984" s="36"/>
      <c r="K984" s="36"/>
    </row>
    <row r="985" ht="15.75" customHeight="1">
      <c r="J985" s="36"/>
      <c r="K985" s="36"/>
    </row>
    <row r="986" ht="15.75" customHeight="1">
      <c r="J986" s="36"/>
      <c r="K986" s="36"/>
    </row>
    <row r="987" ht="15.75" customHeight="1">
      <c r="J987" s="36"/>
      <c r="K987" s="36"/>
    </row>
    <row r="988" ht="15.75" customHeight="1">
      <c r="J988" s="36"/>
      <c r="K988" s="36"/>
    </row>
    <row r="989" ht="15.75" customHeight="1">
      <c r="J989" s="36"/>
      <c r="K989" s="36"/>
    </row>
    <row r="990" ht="15.75" customHeight="1">
      <c r="J990" s="36"/>
      <c r="K990" s="36"/>
    </row>
    <row r="991" ht="15.75" customHeight="1">
      <c r="J991" s="36"/>
      <c r="K991" s="36"/>
    </row>
    <row r="992" ht="15.75" customHeight="1">
      <c r="J992" s="36"/>
      <c r="K992" s="36"/>
    </row>
    <row r="993" ht="15.75" customHeight="1">
      <c r="J993" s="36"/>
      <c r="K993" s="36"/>
    </row>
    <row r="994" ht="15.75" customHeight="1">
      <c r="J994" s="36"/>
      <c r="K994" s="36"/>
    </row>
    <row r="995" ht="15.75" customHeight="1">
      <c r="J995" s="36"/>
      <c r="K995" s="36"/>
    </row>
    <row r="996" ht="15.75" customHeight="1">
      <c r="J996" s="36"/>
      <c r="K996" s="36"/>
    </row>
    <row r="997" ht="15.75" customHeight="1">
      <c r="J997" s="36"/>
      <c r="K997" s="36"/>
    </row>
    <row r="998" ht="15.75" customHeight="1">
      <c r="J998" s="36"/>
      <c r="K998" s="36"/>
    </row>
    <row r="999" ht="15.75" customHeight="1">
      <c r="J999" s="36"/>
      <c r="K999" s="36"/>
    </row>
    <row r="1000" ht="15.75" customHeight="1">
      <c r="J1000" s="36"/>
      <c r="K1000" s="36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71"/>
    <col customWidth="1" min="3" max="3" width="9.43"/>
    <col customWidth="1" min="4" max="4" width="24.14"/>
    <col customWidth="1" min="5" max="5" width="13.14"/>
    <col customWidth="1" min="6" max="6" width="28.0"/>
  </cols>
  <sheetData>
    <row r="1">
      <c r="A1" s="37" t="s">
        <v>1464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9"/>
      <c r="X1" s="36"/>
      <c r="Y1" s="36"/>
      <c r="Z1" s="36"/>
      <c r="AA1" s="36"/>
      <c r="AB1" s="36"/>
    </row>
    <row r="2">
      <c r="A2" s="18" t="s">
        <v>14</v>
      </c>
      <c r="B2" s="18" t="s">
        <v>15</v>
      </c>
      <c r="C2" s="18" t="s">
        <v>147</v>
      </c>
      <c r="D2" s="40" t="s">
        <v>1465</v>
      </c>
      <c r="E2" s="19" t="s">
        <v>1466</v>
      </c>
      <c r="F2" s="20" t="s">
        <v>1467</v>
      </c>
      <c r="G2" s="19" t="s">
        <v>1468</v>
      </c>
      <c r="H2" s="19" t="s">
        <v>1469</v>
      </c>
      <c r="I2" s="19" t="s">
        <v>1470</v>
      </c>
      <c r="J2" s="19" t="s">
        <v>1471</v>
      </c>
      <c r="K2" s="19" t="s">
        <v>1472</v>
      </c>
      <c r="L2" s="19" t="s">
        <v>1473</v>
      </c>
      <c r="M2" s="19" t="s">
        <v>1474</v>
      </c>
      <c r="N2" s="19" t="s">
        <v>1475</v>
      </c>
      <c r="O2" s="20" t="s">
        <v>1476</v>
      </c>
      <c r="P2" s="20" t="s">
        <v>1477</v>
      </c>
      <c r="Q2" s="19" t="s">
        <v>27</v>
      </c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>
      <c r="A3" s="41">
        <v>0.0</v>
      </c>
      <c r="B3" s="41" t="s">
        <v>1478</v>
      </c>
      <c r="C3" s="42">
        <f t="array" ref="C3">INDEX(SkillBoxes!A2:D578,MATCH(E3,SkillBoxes!A2:A578,0),2)</f>
        <v>0</v>
      </c>
      <c r="D3" s="42" t="str">
        <f t="array" ref="D3">INDEX(SkillBoxes!A2:D578,MATCH(E3,SkillBoxes!A2:A578,0),3)</f>
        <v>Blade Brandier</v>
      </c>
      <c r="E3" s="42">
        <v>0.0</v>
      </c>
      <c r="F3" s="42" t="str">
        <f t="array" ref="F3">INDEX(SkillBoxes!A2:D578,MATCH(E3,SkillBoxes!A2:A578,0),4)</f>
        <v>Novice Blade Brandier</v>
      </c>
      <c r="G3" s="41">
        <v>4.0</v>
      </c>
      <c r="H3" s="41" t="s">
        <v>125</v>
      </c>
      <c r="I3" s="41" t="s">
        <v>1479</v>
      </c>
      <c r="J3" s="41" t="s">
        <v>1480</v>
      </c>
      <c r="K3" s="41">
        <v>1.0</v>
      </c>
      <c r="L3" s="42"/>
      <c r="M3" s="42"/>
      <c r="N3" s="42"/>
      <c r="O3" s="42"/>
      <c r="P3" s="42"/>
      <c r="Q3" s="42"/>
      <c r="R3" s="36"/>
      <c r="S3" s="43"/>
      <c r="T3" s="36"/>
      <c r="U3" s="36"/>
      <c r="V3" s="36"/>
      <c r="W3" s="36"/>
      <c r="X3" s="36"/>
      <c r="Y3" s="36"/>
      <c r="Z3" s="36"/>
      <c r="AA3" s="36"/>
      <c r="AB3" s="36"/>
    </row>
    <row r="4">
      <c r="A4" s="44">
        <v>1.0</v>
      </c>
      <c r="B4" s="44" t="s">
        <v>1481</v>
      </c>
      <c r="C4" s="45">
        <f t="array" ref="C4">INDEX(SkillBoxes!A3:D579,MATCH(E4,SkillBoxes!A3:A579,0),2)</f>
        <v>0</v>
      </c>
      <c r="D4" s="45" t="str">
        <f t="array" ref="D4">INDEX(SkillBoxes!A3:D579,MATCH(E4,SkillBoxes!A3:A579,0),3)</f>
        <v>Blade Brandier</v>
      </c>
      <c r="E4" s="45">
        <v>1.0</v>
      </c>
      <c r="F4" s="45" t="str">
        <f t="array" ref="F4">INDEX(SkillBoxes!A3:D579,MATCH(E4,SkillBoxes!A3:A579,0),4)</f>
        <v>Sword Handling I</v>
      </c>
      <c r="G4" s="44">
        <v>6.0</v>
      </c>
      <c r="H4" s="44" t="s">
        <v>125</v>
      </c>
      <c r="I4" s="44" t="s">
        <v>1479</v>
      </c>
      <c r="J4" s="44" t="s">
        <v>1480</v>
      </c>
      <c r="K4" s="44">
        <v>1.1</v>
      </c>
      <c r="L4" s="45"/>
      <c r="M4" s="45"/>
      <c r="N4" s="45"/>
      <c r="O4" s="45"/>
      <c r="P4" s="45"/>
      <c r="Q4" s="45"/>
      <c r="R4" s="36"/>
      <c r="S4" s="43"/>
      <c r="T4" s="36"/>
      <c r="U4" s="36"/>
      <c r="V4" s="36"/>
      <c r="W4" s="36"/>
      <c r="X4" s="36"/>
      <c r="Y4" s="36"/>
      <c r="Z4" s="36"/>
      <c r="AA4" s="36"/>
      <c r="AB4" s="36"/>
    </row>
    <row r="5">
      <c r="A5" s="41">
        <v>2.0</v>
      </c>
      <c r="B5" s="41" t="s">
        <v>1482</v>
      </c>
      <c r="C5" s="42">
        <f t="array" ref="C5">INDEX(SkillBoxes!A4:D580,MATCH(E5,SkillBoxes!A4:A580,0),2)</f>
        <v>0</v>
      </c>
      <c r="D5" s="42" t="str">
        <f t="array" ref="D5">INDEX(SkillBoxes!A4:D580,MATCH(E5,SkillBoxes!A4:A580,0),3)</f>
        <v>Blade Brandier</v>
      </c>
      <c r="E5" s="42">
        <v>2.0</v>
      </c>
      <c r="F5" s="42" t="str">
        <f t="array" ref="F5">INDEX(SkillBoxes!A4:D580,MATCH(E5,SkillBoxes!A4:A580,0),4)</f>
        <v>Sword Handling II</v>
      </c>
      <c r="G5" s="41">
        <v>8.0</v>
      </c>
      <c r="H5" s="41" t="s">
        <v>125</v>
      </c>
      <c r="I5" s="41" t="s">
        <v>1479</v>
      </c>
      <c r="J5" s="41" t="s">
        <v>1480</v>
      </c>
      <c r="K5" s="41">
        <v>1.2</v>
      </c>
      <c r="L5" s="42"/>
      <c r="M5" s="42"/>
      <c r="N5" s="42"/>
      <c r="O5" s="42"/>
      <c r="P5" s="42"/>
      <c r="Q5" s="42"/>
      <c r="R5" s="36"/>
      <c r="S5" s="43"/>
      <c r="T5" s="36"/>
      <c r="U5" s="36"/>
      <c r="V5" s="36"/>
      <c r="W5" s="36"/>
      <c r="X5" s="36"/>
      <c r="Y5" s="36"/>
      <c r="Z5" s="36"/>
      <c r="AA5" s="36"/>
      <c r="AB5" s="36"/>
    </row>
    <row r="6">
      <c r="A6" s="44">
        <v>3.0</v>
      </c>
      <c r="B6" s="44" t="s">
        <v>1483</v>
      </c>
      <c r="C6" s="45">
        <f t="array" ref="C6">INDEX(SkillBoxes!A5:D581,MATCH(E6,SkillBoxes!A5:A581,0),2)</f>
        <v>0</v>
      </c>
      <c r="D6" s="45" t="str">
        <f t="array" ref="D6">INDEX(SkillBoxes!A5:D581,MATCH(E6,SkillBoxes!A5:A581,0),3)</f>
        <v>Blade Brandier</v>
      </c>
      <c r="E6" s="45">
        <v>3.0</v>
      </c>
      <c r="F6" s="45" t="str">
        <f t="array" ref="F6">INDEX(SkillBoxes!A5:D581,MATCH(E6,SkillBoxes!A5:A581,0),4)</f>
        <v>Sword Handling III</v>
      </c>
      <c r="G6" s="44">
        <v>10.0</v>
      </c>
      <c r="H6" s="44" t="s">
        <v>125</v>
      </c>
      <c r="I6" s="44" t="s">
        <v>1479</v>
      </c>
      <c r="J6" s="44" t="s">
        <v>1480</v>
      </c>
      <c r="K6" s="44">
        <v>1.4</v>
      </c>
      <c r="L6" s="44" t="s">
        <v>1484</v>
      </c>
      <c r="M6" s="44">
        <v>3.0</v>
      </c>
      <c r="N6" s="44">
        <v>-2.0</v>
      </c>
      <c r="O6" s="44" t="s">
        <v>141</v>
      </c>
      <c r="P6" s="44"/>
      <c r="Q6" s="45"/>
      <c r="R6" s="36"/>
      <c r="S6" s="43"/>
      <c r="T6" s="36"/>
      <c r="U6" s="36"/>
      <c r="V6" s="36"/>
      <c r="W6" s="36"/>
      <c r="X6" s="36"/>
      <c r="Y6" s="36"/>
      <c r="Z6" s="36"/>
      <c r="AA6" s="36"/>
      <c r="AB6" s="36"/>
    </row>
    <row r="7">
      <c r="A7" s="41">
        <v>4.0</v>
      </c>
      <c r="B7" s="41" t="s">
        <v>1485</v>
      </c>
      <c r="C7" s="42">
        <f t="array" ref="C7">INDEX(SkillBoxes!A6:D582,MATCH(E7,SkillBoxes!A6:A582,0),2)</f>
        <v>0</v>
      </c>
      <c r="D7" s="42" t="str">
        <f t="array" ref="D7">INDEX(SkillBoxes!A6:D582,MATCH(E7,SkillBoxes!A6:A582,0),3)</f>
        <v>Blade Brandier</v>
      </c>
      <c r="E7" s="42">
        <v>4.0</v>
      </c>
      <c r="F7" s="42" t="str">
        <f t="array" ref="F7">INDEX(SkillBoxes!A6:D582,MATCH(E7,SkillBoxes!A6:A582,0),4)</f>
        <v>Sword Handling IV</v>
      </c>
      <c r="G7" s="41">
        <v>12.0</v>
      </c>
      <c r="H7" s="41" t="s">
        <v>125</v>
      </c>
      <c r="I7" s="41" t="s">
        <v>1479</v>
      </c>
      <c r="J7" s="41" t="s">
        <v>1480</v>
      </c>
      <c r="K7" s="41">
        <v>1.6</v>
      </c>
      <c r="L7" s="41" t="s">
        <v>1484</v>
      </c>
      <c r="M7" s="41">
        <v>5.0</v>
      </c>
      <c r="N7" s="41">
        <v>-4.0</v>
      </c>
      <c r="O7" s="41" t="s">
        <v>141</v>
      </c>
      <c r="P7" s="41"/>
      <c r="Q7" s="42"/>
      <c r="R7" s="36"/>
      <c r="S7" s="43"/>
      <c r="T7" s="36"/>
      <c r="U7" s="36"/>
      <c r="V7" s="36"/>
      <c r="W7" s="36"/>
      <c r="X7" s="36"/>
      <c r="Y7" s="36"/>
      <c r="Z7" s="36"/>
      <c r="AA7" s="36"/>
      <c r="AB7" s="36"/>
    </row>
    <row r="8">
      <c r="A8" s="44">
        <v>5.0</v>
      </c>
      <c r="B8" s="44" t="s">
        <v>1486</v>
      </c>
      <c r="C8" s="45">
        <f t="array" ref="C8">INDEX(SkillBoxes!A7:D583,MATCH(E8,SkillBoxes!A7:A583,0),2)</f>
        <v>0</v>
      </c>
      <c r="D8" s="45" t="str">
        <f t="array" ref="D8">INDEX(SkillBoxes!A7:D583,MATCH(E8,SkillBoxes!A7:A583,0),3)</f>
        <v>Blade Brandier</v>
      </c>
      <c r="E8" s="45">
        <v>5.0</v>
      </c>
      <c r="F8" s="45" t="str">
        <f t="array" ref="F8">INDEX(SkillBoxes!A7:D583,MATCH(E8,SkillBoxes!A7:A583,0),4)</f>
        <v>Sword Techniques I</v>
      </c>
      <c r="G8" s="44">
        <v>6.0</v>
      </c>
      <c r="H8" s="44" t="s">
        <v>125</v>
      </c>
      <c r="I8" s="44" t="s">
        <v>1479</v>
      </c>
      <c r="J8" s="44" t="s">
        <v>1480</v>
      </c>
      <c r="K8" s="44">
        <v>1.2</v>
      </c>
      <c r="L8" s="44" t="s">
        <v>410</v>
      </c>
      <c r="M8" s="44">
        <v>2.0</v>
      </c>
      <c r="N8" s="44">
        <v>0.05</v>
      </c>
      <c r="O8" s="44" t="s">
        <v>133</v>
      </c>
      <c r="P8" s="44"/>
      <c r="Q8" s="45"/>
      <c r="R8" s="36"/>
      <c r="S8" s="43"/>
      <c r="T8" s="36"/>
      <c r="U8" s="36"/>
      <c r="V8" s="36"/>
      <c r="W8" s="36"/>
      <c r="X8" s="36"/>
      <c r="Y8" s="36"/>
      <c r="Z8" s="36"/>
      <c r="AA8" s="36"/>
      <c r="AB8" s="36"/>
    </row>
    <row r="9">
      <c r="A9" s="41">
        <v>6.0</v>
      </c>
      <c r="B9" s="41" t="s">
        <v>1487</v>
      </c>
      <c r="C9" s="42">
        <f t="array" ref="C9">INDEX(SkillBoxes!A8:D584,MATCH(E9,SkillBoxes!A8:A584,0),2)</f>
        <v>0</v>
      </c>
      <c r="D9" s="42" t="str">
        <f t="array" ref="D9">INDEX(SkillBoxes!A8:D584,MATCH(E9,SkillBoxes!A8:A584,0),3)</f>
        <v>Blade Brandier</v>
      </c>
      <c r="E9" s="42">
        <v>6.0</v>
      </c>
      <c r="F9" s="42" t="str">
        <f t="array" ref="F9">INDEX(SkillBoxes!A8:D584,MATCH(E9,SkillBoxes!A8:A584,0),4)</f>
        <v>Sword Techniques II</v>
      </c>
      <c r="G9" s="41">
        <v>8.0</v>
      </c>
      <c r="H9" s="41" t="s">
        <v>125</v>
      </c>
      <c r="I9" s="41" t="s">
        <v>1479</v>
      </c>
      <c r="J9" s="41" t="s">
        <v>1480</v>
      </c>
      <c r="K9" s="41">
        <v>1.35</v>
      </c>
      <c r="L9" s="41" t="s">
        <v>410</v>
      </c>
      <c r="M9" s="41">
        <v>3.0</v>
      </c>
      <c r="N9" s="41">
        <v>0.1</v>
      </c>
      <c r="O9" s="41" t="s">
        <v>133</v>
      </c>
      <c r="P9" s="41"/>
      <c r="Q9" s="42"/>
      <c r="R9" s="36"/>
      <c r="S9" s="43"/>
      <c r="T9" s="36"/>
      <c r="U9" s="36"/>
      <c r="V9" s="36"/>
      <c r="W9" s="36"/>
      <c r="X9" s="36"/>
      <c r="Y9" s="36"/>
      <c r="Z9" s="36"/>
      <c r="AA9" s="36"/>
      <c r="AB9" s="36"/>
    </row>
    <row r="10">
      <c r="A10" s="41">
        <v>7.0</v>
      </c>
      <c r="B10" s="44" t="s">
        <v>1488</v>
      </c>
      <c r="C10" s="45">
        <f t="array" ref="C10">INDEX(SkillBoxes!A9:D585,MATCH(E10,SkillBoxes!A9:A585,0),2)</f>
        <v>0</v>
      </c>
      <c r="D10" s="45" t="str">
        <f t="array" ref="D10">INDEX(SkillBoxes!A9:D585,MATCH(E10,SkillBoxes!A9:A585,0),3)</f>
        <v>Blade Brandier</v>
      </c>
      <c r="E10" s="45">
        <v>7.0</v>
      </c>
      <c r="F10" s="45" t="str">
        <f t="array" ref="F10">INDEX(SkillBoxes!A9:D585,MATCH(E10,SkillBoxes!A9:A585,0),4)</f>
        <v>Sword Techniques III</v>
      </c>
      <c r="G10" s="44">
        <v>10.0</v>
      </c>
      <c r="H10" s="44" t="s">
        <v>125</v>
      </c>
      <c r="I10" s="44" t="s">
        <v>1479</v>
      </c>
      <c r="J10" s="44" t="s">
        <v>1480</v>
      </c>
      <c r="K10" s="44">
        <v>0.8</v>
      </c>
      <c r="L10" s="44" t="s">
        <v>1489</v>
      </c>
      <c r="M10" s="44">
        <v>2.0</v>
      </c>
      <c r="N10" s="45"/>
      <c r="O10" s="45"/>
      <c r="P10" s="45"/>
      <c r="Q10" s="45"/>
      <c r="R10" s="36"/>
      <c r="S10" s="43"/>
      <c r="T10" s="36"/>
      <c r="U10" s="36"/>
      <c r="V10" s="36"/>
      <c r="W10" s="36"/>
      <c r="X10" s="36"/>
      <c r="Y10" s="36"/>
      <c r="Z10" s="36"/>
      <c r="AA10" s="36"/>
      <c r="AB10" s="36"/>
    </row>
    <row r="11">
      <c r="A11" s="44">
        <v>8.0</v>
      </c>
      <c r="B11" s="41" t="s">
        <v>1490</v>
      </c>
      <c r="C11" s="42">
        <f t="array" ref="C11">INDEX(SkillBoxes!A10:D586,MATCH(E11,SkillBoxes!A10:A586,0),2)</f>
        <v>0</v>
      </c>
      <c r="D11" s="42" t="str">
        <f t="array" ref="D11">INDEX(SkillBoxes!A10:D586,MATCH(E11,SkillBoxes!A10:A586,0),3)</f>
        <v>Blade Brandier</v>
      </c>
      <c r="E11" s="42">
        <v>8.0</v>
      </c>
      <c r="F11" s="42" t="str">
        <f t="array" ref="F11">INDEX(SkillBoxes!A10:D586,MATCH(E11,SkillBoxes!A10:A586,0),4)</f>
        <v>Sword Techniques IV</v>
      </c>
      <c r="G11" s="41">
        <v>8.0</v>
      </c>
      <c r="H11" s="41" t="s">
        <v>159</v>
      </c>
      <c r="I11" s="41" t="s">
        <v>1479</v>
      </c>
      <c r="J11" s="41" t="s">
        <v>1491</v>
      </c>
      <c r="K11" s="41">
        <v>0.7</v>
      </c>
      <c r="L11" s="42"/>
      <c r="M11" s="42"/>
      <c r="N11" s="42"/>
      <c r="O11" s="42"/>
      <c r="P11" s="42"/>
      <c r="Q11" s="42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>
      <c r="A12" s="41">
        <v>9.0</v>
      </c>
      <c r="B12" s="44" t="s">
        <v>1492</v>
      </c>
      <c r="C12" s="45">
        <f t="array" ref="C12">INDEX(SkillBoxes!A11:D587,MATCH(E12,SkillBoxes!A11:A587,0),2)</f>
        <v>0</v>
      </c>
      <c r="D12" s="45" t="str">
        <f t="array" ref="D12">INDEX(SkillBoxes!A11:D587,MATCH(E12,SkillBoxes!A11:A587,0),3)</f>
        <v>Blade Brandier</v>
      </c>
      <c r="E12" s="45">
        <v>9.0</v>
      </c>
      <c r="F12" s="45" t="str">
        <f t="array" ref="F12">INDEX(SkillBoxes!A11:D587,MATCH(E12,SkillBoxes!A11:A587,0),4)</f>
        <v>Sword Arts I</v>
      </c>
      <c r="G12" s="44">
        <v>6.0</v>
      </c>
      <c r="H12" s="44" t="s">
        <v>125</v>
      </c>
      <c r="I12" s="44" t="s">
        <v>1479</v>
      </c>
      <c r="J12" s="44" t="s">
        <v>1480</v>
      </c>
      <c r="K12" s="44">
        <v>1.3</v>
      </c>
      <c r="L12" s="45"/>
      <c r="M12" s="45"/>
      <c r="N12" s="45"/>
      <c r="O12" s="45"/>
      <c r="P12" s="44" t="s">
        <v>41</v>
      </c>
      <c r="Q12" s="45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>
      <c r="A13" s="44">
        <v>10.0</v>
      </c>
      <c r="B13" s="41" t="s">
        <v>1493</v>
      </c>
      <c r="C13" s="42">
        <f t="array" ref="C13">INDEX(SkillBoxes!A12:D588,MATCH(E13,SkillBoxes!A12:A588,0),2)</f>
        <v>0</v>
      </c>
      <c r="D13" s="42" t="str">
        <f t="array" ref="D13">INDEX(SkillBoxes!A12:D588,MATCH(E13,SkillBoxes!A12:A588,0),3)</f>
        <v>Blade Brandier</v>
      </c>
      <c r="E13" s="42">
        <v>10.0</v>
      </c>
      <c r="F13" s="42" t="str">
        <f t="array" ref="F13">INDEX(SkillBoxes!A12:D588,MATCH(E13,SkillBoxes!A12:A588,0),4)</f>
        <v>Sword Arts II</v>
      </c>
      <c r="G13" s="41">
        <v>8.0</v>
      </c>
      <c r="H13" s="41" t="s">
        <v>125</v>
      </c>
      <c r="I13" s="41" t="s">
        <v>1479</v>
      </c>
      <c r="J13" s="41" t="s">
        <v>1480</v>
      </c>
      <c r="K13" s="41">
        <v>1.5</v>
      </c>
      <c r="L13" s="42"/>
      <c r="M13" s="42"/>
      <c r="N13" s="42"/>
      <c r="O13" s="42"/>
      <c r="P13" s="41" t="s">
        <v>41</v>
      </c>
      <c r="Q13" s="42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>
      <c r="A14" s="41">
        <v>11.0</v>
      </c>
      <c r="B14" s="44" t="s">
        <v>1494</v>
      </c>
      <c r="C14" s="45">
        <f t="array" ref="C14">INDEX(SkillBoxes!A13:D589,MATCH(E14,SkillBoxes!A13:A589,0),2)</f>
        <v>0</v>
      </c>
      <c r="D14" s="45" t="str">
        <f t="array" ref="D14">INDEX(SkillBoxes!A13:D589,MATCH(E14,SkillBoxes!A13:A589,0),3)</f>
        <v>Blade Brandier</v>
      </c>
      <c r="E14" s="45">
        <v>11.0</v>
      </c>
      <c r="F14" s="45" t="str">
        <f t="array" ref="F14">INDEX(SkillBoxes!A13:D589,MATCH(E14,SkillBoxes!A13:A589,0),4)</f>
        <v>Sword Arts III</v>
      </c>
      <c r="G14" s="44">
        <v>15.0</v>
      </c>
      <c r="H14" s="44" t="s">
        <v>160</v>
      </c>
      <c r="I14" s="44" t="s">
        <v>1479</v>
      </c>
      <c r="J14" s="44" t="s">
        <v>1495</v>
      </c>
      <c r="K14" s="44">
        <v>0.0</v>
      </c>
      <c r="L14" s="44" t="s">
        <v>1496</v>
      </c>
      <c r="M14" s="44">
        <v>1.0</v>
      </c>
      <c r="N14" s="45"/>
      <c r="O14" s="45"/>
      <c r="P14" s="45"/>
      <c r="Q14" s="45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>
      <c r="A15" s="44">
        <v>12.0</v>
      </c>
      <c r="B15" s="41" t="s">
        <v>1497</v>
      </c>
      <c r="C15" s="42">
        <f t="array" ref="C15">INDEX(SkillBoxes!A14:D590,MATCH(E15,SkillBoxes!A14:A590,0),2)</f>
        <v>0</v>
      </c>
      <c r="D15" s="42" t="str">
        <f t="array" ref="D15">INDEX(SkillBoxes!A14:D590,MATCH(E15,SkillBoxes!A14:A590,0),3)</f>
        <v>Blade Brandier</v>
      </c>
      <c r="E15" s="42">
        <v>12.0</v>
      </c>
      <c r="F15" s="42" t="str">
        <f t="array" ref="F15">INDEX(SkillBoxes!A14:D590,MATCH(E15,SkillBoxes!A14:A590,0),4)</f>
        <v>Sword Arts IV</v>
      </c>
      <c r="G15" s="41">
        <v>20.0</v>
      </c>
      <c r="H15" s="41" t="s">
        <v>160</v>
      </c>
      <c r="I15" s="41" t="s">
        <v>1498</v>
      </c>
      <c r="J15" s="41" t="s">
        <v>1480</v>
      </c>
      <c r="K15" s="41">
        <v>1.5</v>
      </c>
      <c r="L15" s="42"/>
      <c r="M15" s="42"/>
      <c r="N15" s="42"/>
      <c r="O15" s="42"/>
      <c r="P15" s="41" t="s">
        <v>41</v>
      </c>
      <c r="Q15" s="42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</row>
    <row r="16">
      <c r="A16" s="41">
        <v>13.0</v>
      </c>
      <c r="B16" s="44" t="s">
        <v>200</v>
      </c>
      <c r="C16" s="45">
        <f t="array" ref="C16">INDEX(SkillBoxes!A15:D591,MATCH(E16,SkillBoxes!A15:A591,0),2)</f>
        <v>0</v>
      </c>
      <c r="D16" s="45" t="str">
        <f t="array" ref="D16">INDEX(SkillBoxes!A15:D591,MATCH(E16,SkillBoxes!A15:A591,0),3)</f>
        <v>Blade Brandier</v>
      </c>
      <c r="E16" s="45">
        <v>13.0</v>
      </c>
      <c r="F16" s="45" t="str">
        <f t="array" ref="F16">INDEX(SkillBoxes!A15:D591,MATCH(E16,SkillBoxes!A15:A591,0),4)</f>
        <v>Slashing Blade I</v>
      </c>
      <c r="G16" s="44">
        <v>6.0</v>
      </c>
      <c r="H16" s="44" t="s">
        <v>125</v>
      </c>
      <c r="I16" s="44" t="s">
        <v>1479</v>
      </c>
      <c r="J16" s="44" t="s">
        <v>1480</v>
      </c>
      <c r="K16" s="44">
        <v>1.1</v>
      </c>
      <c r="L16" s="45"/>
      <c r="M16" s="45"/>
      <c r="N16" s="45"/>
      <c r="O16" s="45"/>
      <c r="P16" s="45"/>
      <c r="Q16" s="45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>
      <c r="A17" s="41">
        <v>14.0</v>
      </c>
      <c r="B17" s="41" t="s">
        <v>203</v>
      </c>
      <c r="C17" s="42">
        <f t="array" ref="C17">INDEX(SkillBoxes!A16:D592,MATCH(E17,SkillBoxes!A16:A592,0),2)</f>
        <v>0</v>
      </c>
      <c r="D17" s="42" t="str">
        <f t="array" ref="D17">INDEX(SkillBoxes!A16:D592,MATCH(E17,SkillBoxes!A16:A592,0),3)</f>
        <v>Blade Brandier</v>
      </c>
      <c r="E17" s="42">
        <v>14.0</v>
      </c>
      <c r="F17" s="42" t="str">
        <f t="array" ref="F17">INDEX(SkillBoxes!A16:D592,MATCH(E17,SkillBoxes!A16:A592,0),4)</f>
        <v>Slashing Blade II</v>
      </c>
      <c r="G17" s="41">
        <v>8.0</v>
      </c>
      <c r="H17" s="41" t="s">
        <v>125</v>
      </c>
      <c r="I17" s="41" t="s">
        <v>1479</v>
      </c>
      <c r="J17" s="41" t="s">
        <v>1480</v>
      </c>
      <c r="K17" s="41">
        <v>1.2</v>
      </c>
      <c r="L17" s="42"/>
      <c r="M17" s="42"/>
      <c r="N17" s="42"/>
      <c r="O17" s="42"/>
      <c r="P17" s="42"/>
      <c r="Q17" s="42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</row>
    <row r="18">
      <c r="A18" s="44">
        <v>15.0</v>
      </c>
      <c r="B18" s="44" t="s">
        <v>205</v>
      </c>
      <c r="C18" s="45">
        <f t="array" ref="C18">INDEX(SkillBoxes!A17:D593,MATCH(E18,SkillBoxes!A17:A593,0),2)</f>
        <v>0</v>
      </c>
      <c r="D18" s="45" t="str">
        <f t="array" ref="D18">INDEX(SkillBoxes!A17:D593,MATCH(E18,SkillBoxes!A17:A593,0),3)</f>
        <v>Blade Brandier</v>
      </c>
      <c r="E18" s="45">
        <v>15.0</v>
      </c>
      <c r="F18" s="45" t="str">
        <f t="array" ref="F18">INDEX(SkillBoxes!A17:D593,MATCH(E18,SkillBoxes!A17:A593,0),4)</f>
        <v>Slashing Blade III</v>
      </c>
      <c r="G18" s="44">
        <v>10.0</v>
      </c>
      <c r="H18" s="44" t="s">
        <v>125</v>
      </c>
      <c r="I18" s="44" t="s">
        <v>1479</v>
      </c>
      <c r="J18" s="44" t="s">
        <v>1480</v>
      </c>
      <c r="K18" s="44">
        <v>1.4</v>
      </c>
      <c r="L18" s="45"/>
      <c r="M18" s="45"/>
      <c r="N18" s="45"/>
      <c r="O18" s="45"/>
      <c r="P18" s="45"/>
      <c r="Q18" s="45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>
      <c r="A19" s="41">
        <v>16.0</v>
      </c>
      <c r="B19" s="41" t="s">
        <v>207</v>
      </c>
      <c r="C19" s="42">
        <f t="array" ref="C19">INDEX(SkillBoxes!A18:D594,MATCH(E19,SkillBoxes!A18:A594,0),2)</f>
        <v>0</v>
      </c>
      <c r="D19" s="42" t="str">
        <f t="array" ref="D19">INDEX(SkillBoxes!A18:D594,MATCH(E19,SkillBoxes!A18:A594,0),3)</f>
        <v>Blade Brandier</v>
      </c>
      <c r="E19" s="42">
        <v>16.0</v>
      </c>
      <c r="F19" s="42" t="str">
        <f t="array" ref="F19">INDEX(SkillBoxes!A18:D594,MATCH(E19,SkillBoxes!A18:A594,0),4)</f>
        <v>Slashing Blade IV</v>
      </c>
      <c r="G19" s="41">
        <v>12.0</v>
      </c>
      <c r="H19" s="41" t="s">
        <v>125</v>
      </c>
      <c r="I19" s="41" t="s">
        <v>1479</v>
      </c>
      <c r="J19" s="41" t="s">
        <v>1480</v>
      </c>
      <c r="K19" s="41">
        <v>1.6</v>
      </c>
      <c r="L19" s="42"/>
      <c r="M19" s="42"/>
      <c r="N19" s="42"/>
      <c r="O19" s="42"/>
      <c r="P19" s="42"/>
      <c r="Q19" s="42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</row>
    <row r="20">
      <c r="A20" s="44">
        <v>17.0</v>
      </c>
      <c r="B20" s="44" t="s">
        <v>1499</v>
      </c>
      <c r="C20" s="45">
        <f t="array" ref="C20">INDEX(SkillBoxes!A19:D595,MATCH(E20,SkillBoxes!A19:A595,0),2)</f>
        <v>0</v>
      </c>
      <c r="D20" s="45" t="str">
        <f t="array" ref="D20">INDEX(SkillBoxes!A19:D595,MATCH(E20,SkillBoxes!A19:A595,0),3)</f>
        <v>Blade Brandier</v>
      </c>
      <c r="E20" s="45">
        <v>17.0</v>
      </c>
      <c r="F20" s="45" t="str">
        <f t="array" ref="F20">INDEX(SkillBoxes!A19:D595,MATCH(E20,SkillBoxes!A19:A595,0),4)</f>
        <v>Master Blade Brandier</v>
      </c>
      <c r="G20" s="44">
        <v>12.0</v>
      </c>
      <c r="H20" s="44" t="s">
        <v>159</v>
      </c>
      <c r="I20" s="44" t="s">
        <v>1479</v>
      </c>
      <c r="J20" s="44" t="s">
        <v>1491</v>
      </c>
      <c r="K20" s="44">
        <v>0.9</v>
      </c>
      <c r="L20" s="45"/>
      <c r="M20" s="45"/>
      <c r="N20" s="45"/>
      <c r="O20" s="45"/>
      <c r="P20" s="45"/>
      <c r="Q20" s="45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>
      <c r="A21" s="41">
        <v>18.0</v>
      </c>
      <c r="B21" s="41" t="s">
        <v>1500</v>
      </c>
      <c r="C21" s="42">
        <f t="array" ref="C21">INDEX(SkillBoxes!A20:D596,MATCH(E21,SkillBoxes!A20:A596,0),2)</f>
        <v>1</v>
      </c>
      <c r="D21" s="42" t="str">
        <f t="array" ref="D21">INDEX(SkillBoxes!A20:D596,MATCH(E21,SkillBoxes!A20:A596,0),3)</f>
        <v>Twin Blade</v>
      </c>
      <c r="E21" s="42">
        <v>18.0</v>
      </c>
      <c r="F21" s="42" t="str">
        <f t="array" ref="F21">INDEX(SkillBoxes!A20:D596,MATCH(E21,SkillBoxes!A20:A596,0),4)</f>
        <v>Novice Twin Blade</v>
      </c>
      <c r="G21" s="41">
        <v>4.0</v>
      </c>
      <c r="H21" s="41" t="s">
        <v>125</v>
      </c>
      <c r="I21" s="41" t="s">
        <v>1479</v>
      </c>
      <c r="J21" s="41" t="s">
        <v>1480</v>
      </c>
      <c r="K21" s="41">
        <v>1.0</v>
      </c>
      <c r="L21" s="42"/>
      <c r="M21" s="42"/>
      <c r="N21" s="42"/>
      <c r="O21" s="42"/>
      <c r="P21" s="42"/>
      <c r="Q21" s="42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r="22">
      <c r="A22" s="44">
        <v>19.0</v>
      </c>
      <c r="B22" s="44" t="s">
        <v>1501</v>
      </c>
      <c r="C22" s="45">
        <f t="array" ref="C22">INDEX(SkillBoxes!A21:D597,MATCH(E22,SkillBoxes!A21:A597,0),2)</f>
        <v>1</v>
      </c>
      <c r="D22" s="45" t="str">
        <f t="array" ref="D22">INDEX(SkillBoxes!A21:D597,MATCH(E22,SkillBoxes!A21:A597,0),3)</f>
        <v>Twin Blade</v>
      </c>
      <c r="E22" s="45">
        <v>19.0</v>
      </c>
      <c r="F22" s="45" t="str">
        <f t="array" ref="F22">INDEX(SkillBoxes!A21:D597,MATCH(E22,SkillBoxes!A21:A597,0),4)</f>
        <v>Aim I</v>
      </c>
      <c r="G22" s="44">
        <v>6.0</v>
      </c>
      <c r="H22" s="44" t="s">
        <v>125</v>
      </c>
      <c r="I22" s="44" t="s">
        <v>1479</v>
      </c>
      <c r="J22" s="44" t="s">
        <v>1480</v>
      </c>
      <c r="K22" s="44">
        <v>1.1</v>
      </c>
      <c r="L22" s="45"/>
      <c r="M22" s="45"/>
      <c r="N22" s="45"/>
      <c r="O22" s="45"/>
      <c r="P22" s="45"/>
      <c r="Q22" s="45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>
      <c r="A23" s="41">
        <v>20.0</v>
      </c>
      <c r="B23" s="41" t="s">
        <v>1502</v>
      </c>
      <c r="C23" s="42">
        <f t="array" ref="C23">INDEX(SkillBoxes!A22:D598,MATCH(E23,SkillBoxes!A22:A598,0),2)</f>
        <v>1</v>
      </c>
      <c r="D23" s="42" t="str">
        <f t="array" ref="D23">INDEX(SkillBoxes!A22:D598,MATCH(E23,SkillBoxes!A22:A598,0),3)</f>
        <v>Twin Blade</v>
      </c>
      <c r="E23" s="42">
        <v>20.0</v>
      </c>
      <c r="F23" s="42" t="str">
        <f t="array" ref="F23">INDEX(SkillBoxes!A22:D598,MATCH(E23,SkillBoxes!A22:A598,0),4)</f>
        <v>Aim II</v>
      </c>
      <c r="G23" s="41">
        <v>8.0</v>
      </c>
      <c r="H23" s="41" t="s">
        <v>125</v>
      </c>
      <c r="I23" s="41" t="s">
        <v>1479</v>
      </c>
      <c r="J23" s="41" t="s">
        <v>1480</v>
      </c>
      <c r="K23" s="41">
        <v>1.2</v>
      </c>
      <c r="L23" s="42"/>
      <c r="M23" s="42"/>
      <c r="N23" s="42"/>
      <c r="O23" s="42"/>
      <c r="P23" s="42"/>
      <c r="Q23" s="42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>
      <c r="A24" s="41">
        <v>21.0</v>
      </c>
      <c r="B24" s="44" t="s">
        <v>1503</v>
      </c>
      <c r="C24" s="45">
        <f t="array" ref="C24">INDEX(SkillBoxes!A23:D599,MATCH(E24,SkillBoxes!A23:A599,0),2)</f>
        <v>1</v>
      </c>
      <c r="D24" s="45" t="str">
        <f t="array" ref="D24">INDEX(SkillBoxes!A23:D599,MATCH(E24,SkillBoxes!A23:A599,0),3)</f>
        <v>Twin Blade</v>
      </c>
      <c r="E24" s="45">
        <v>21.0</v>
      </c>
      <c r="F24" s="45" t="str">
        <f t="array" ref="F24">INDEX(SkillBoxes!A23:D599,MATCH(E24,SkillBoxes!A23:A599,0),4)</f>
        <v>Aim III</v>
      </c>
      <c r="G24" s="44">
        <v>10.0</v>
      </c>
      <c r="H24" s="44" t="s">
        <v>159</v>
      </c>
      <c r="I24" s="44" t="s">
        <v>1479</v>
      </c>
      <c r="J24" s="44" t="s">
        <v>1480</v>
      </c>
      <c r="K24" s="44">
        <v>1.4</v>
      </c>
      <c r="L24" s="44" t="s">
        <v>410</v>
      </c>
      <c r="M24" s="44">
        <v>2.0</v>
      </c>
      <c r="N24" s="44">
        <v>0.05</v>
      </c>
      <c r="O24" s="44" t="s">
        <v>145</v>
      </c>
      <c r="P24" s="45"/>
      <c r="Q24" s="45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>
      <c r="A25" s="44">
        <v>22.0</v>
      </c>
      <c r="B25" s="41" t="s">
        <v>1504</v>
      </c>
      <c r="C25" s="42">
        <f t="array" ref="C25">INDEX(SkillBoxes!A24:D600,MATCH(E25,SkillBoxes!A24:A600,0),2)</f>
        <v>1</v>
      </c>
      <c r="D25" s="42" t="str">
        <f t="array" ref="D25">INDEX(SkillBoxes!A24:D600,MATCH(E25,SkillBoxes!A24:A600,0),3)</f>
        <v>Twin Blade</v>
      </c>
      <c r="E25" s="42">
        <v>22.0</v>
      </c>
      <c r="F25" s="42" t="str">
        <f t="array" ref="F25">INDEX(SkillBoxes!A24:D600,MATCH(E25,SkillBoxes!A24:A600,0),4)</f>
        <v>Aim IV</v>
      </c>
      <c r="G25" s="41">
        <v>12.0</v>
      </c>
      <c r="H25" s="41" t="s">
        <v>159</v>
      </c>
      <c r="I25" s="41" t="s">
        <v>1479</v>
      </c>
      <c r="J25" s="41" t="s">
        <v>1480</v>
      </c>
      <c r="K25" s="41">
        <v>1.6</v>
      </c>
      <c r="L25" s="41" t="s">
        <v>410</v>
      </c>
      <c r="M25" s="41">
        <v>3.0</v>
      </c>
      <c r="N25" s="41">
        <v>0.1</v>
      </c>
      <c r="O25" s="41" t="s">
        <v>137</v>
      </c>
      <c r="P25" s="42"/>
      <c r="Q25" s="42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r="26">
      <c r="A26" s="41">
        <v>23.0</v>
      </c>
      <c r="B26" s="44" t="s">
        <v>1505</v>
      </c>
      <c r="C26" s="45">
        <f t="array" ref="C26">INDEX(SkillBoxes!A25:D601,MATCH(E26,SkillBoxes!A25:A601,0),2)</f>
        <v>1</v>
      </c>
      <c r="D26" s="45" t="str">
        <f t="array" ref="D26">INDEX(SkillBoxes!A25:D601,MATCH(E26,SkillBoxes!A25:A601,0),3)</f>
        <v>Twin Blade</v>
      </c>
      <c r="E26" s="45">
        <v>23.0</v>
      </c>
      <c r="F26" s="45" t="str">
        <f t="array" ref="F26">INDEX(SkillBoxes!A25:D601,MATCH(E26,SkillBoxes!A25:A601,0),4)</f>
        <v>Close Combat I</v>
      </c>
      <c r="G26" s="44">
        <v>6.0</v>
      </c>
      <c r="H26" s="44" t="s">
        <v>125</v>
      </c>
      <c r="I26" s="44" t="s">
        <v>1479</v>
      </c>
      <c r="J26" s="44" t="s">
        <v>1480</v>
      </c>
      <c r="K26" s="44">
        <v>1.1</v>
      </c>
      <c r="L26" s="45"/>
      <c r="M26" s="45"/>
      <c r="N26" s="45"/>
      <c r="O26" s="45"/>
      <c r="P26" s="45"/>
      <c r="Q26" s="45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>
      <c r="A27" s="44">
        <v>24.0</v>
      </c>
      <c r="B27" s="41" t="s">
        <v>1506</v>
      </c>
      <c r="C27" s="42">
        <f t="array" ref="C27">INDEX(SkillBoxes!A26:D602,MATCH(E27,SkillBoxes!A26:A602,0),2)</f>
        <v>1</v>
      </c>
      <c r="D27" s="42" t="str">
        <f t="array" ref="D27">INDEX(SkillBoxes!A26:D602,MATCH(E27,SkillBoxes!A26:A602,0),3)</f>
        <v>Twin Blade</v>
      </c>
      <c r="E27" s="42">
        <v>24.0</v>
      </c>
      <c r="F27" s="42" t="str">
        <f t="array" ref="F27">INDEX(SkillBoxes!A26:D602,MATCH(E27,SkillBoxes!A26:A602,0),4)</f>
        <v>Close Combat II</v>
      </c>
      <c r="G27" s="41">
        <v>8.0</v>
      </c>
      <c r="H27" s="41" t="s">
        <v>125</v>
      </c>
      <c r="I27" s="41" t="s">
        <v>1479</v>
      </c>
      <c r="J27" s="41" t="s">
        <v>1480</v>
      </c>
      <c r="K27" s="41">
        <v>1.25</v>
      </c>
      <c r="L27" s="42"/>
      <c r="M27" s="42"/>
      <c r="N27" s="42"/>
      <c r="O27" s="42"/>
      <c r="P27" s="42"/>
      <c r="Q27" s="42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>
      <c r="A28" s="41">
        <v>25.0</v>
      </c>
      <c r="B28" s="44" t="s">
        <v>1507</v>
      </c>
      <c r="C28" s="45">
        <f t="array" ref="C28">INDEX(SkillBoxes!A27:D603,MATCH(E28,SkillBoxes!A27:A603,0),2)</f>
        <v>1</v>
      </c>
      <c r="D28" s="45" t="str">
        <f t="array" ref="D28">INDEX(SkillBoxes!A27:D603,MATCH(E28,SkillBoxes!A27:A603,0),3)</f>
        <v>Twin Blade</v>
      </c>
      <c r="E28" s="45">
        <v>25.0</v>
      </c>
      <c r="F28" s="45" t="str">
        <f t="array" ref="F28">INDEX(SkillBoxes!A27:D603,MATCH(E28,SkillBoxes!A27:A603,0),4)</f>
        <v>Close Combat III</v>
      </c>
      <c r="G28" s="44">
        <v>10.0</v>
      </c>
      <c r="H28" s="44" t="s">
        <v>125</v>
      </c>
      <c r="I28" s="44" t="s">
        <v>1479</v>
      </c>
      <c r="J28" s="44" t="s">
        <v>1491</v>
      </c>
      <c r="K28" s="44">
        <v>0.9</v>
      </c>
      <c r="L28" s="45"/>
      <c r="M28" s="45"/>
      <c r="N28" s="45"/>
      <c r="O28" s="45"/>
      <c r="P28" s="45"/>
      <c r="Q28" s="45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>
      <c r="A29" s="44">
        <v>26.0</v>
      </c>
      <c r="B29" s="41" t="s">
        <v>1508</v>
      </c>
      <c r="C29" s="42">
        <f t="array" ref="C29">INDEX(SkillBoxes!A28:D604,MATCH(E29,SkillBoxes!A28:A604,0),2)</f>
        <v>1</v>
      </c>
      <c r="D29" s="42" t="str">
        <f t="array" ref="D29">INDEX(SkillBoxes!A28:D604,MATCH(E29,SkillBoxes!A28:A604,0),3)</f>
        <v>Twin Blade</v>
      </c>
      <c r="E29" s="42">
        <v>26.0</v>
      </c>
      <c r="F29" s="42" t="str">
        <f t="array" ref="F29">INDEX(SkillBoxes!A28:D604,MATCH(E29,SkillBoxes!A28:A604,0),4)</f>
        <v>Close Combat IV</v>
      </c>
      <c r="G29" s="41">
        <v>12.0</v>
      </c>
      <c r="H29" s="41" t="s">
        <v>125</v>
      </c>
      <c r="I29" s="41" t="s">
        <v>1479</v>
      </c>
      <c r="J29" s="41" t="s">
        <v>1480</v>
      </c>
      <c r="K29" s="41">
        <v>1.5</v>
      </c>
      <c r="L29" s="41" t="s">
        <v>1484</v>
      </c>
      <c r="M29" s="41">
        <v>2.0</v>
      </c>
      <c r="N29" s="41">
        <v>-1.0</v>
      </c>
      <c r="O29" s="41" t="s">
        <v>141</v>
      </c>
      <c r="P29" s="42"/>
      <c r="Q29" s="42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>
      <c r="A30" s="41">
        <v>27.0</v>
      </c>
      <c r="B30" s="44" t="s">
        <v>1509</v>
      </c>
      <c r="C30" s="45">
        <f t="array" ref="C30">INDEX(SkillBoxes!A29:D605,MATCH(E30,SkillBoxes!A29:A605,0),2)</f>
        <v>1</v>
      </c>
      <c r="D30" s="45" t="str">
        <f t="array" ref="D30">INDEX(SkillBoxes!A29:D605,MATCH(E30,SkillBoxes!A29:A605,0),3)</f>
        <v>Twin Blade</v>
      </c>
      <c r="E30" s="45">
        <v>27.0</v>
      </c>
      <c r="F30" s="45" t="str">
        <f t="array" ref="F30">INDEX(SkillBoxes!A29:D605,MATCH(E30,SkillBoxes!A29:A605,0),4)</f>
        <v>Stealth I</v>
      </c>
      <c r="G30" s="44">
        <v>6.0</v>
      </c>
      <c r="H30" s="44" t="s">
        <v>125</v>
      </c>
      <c r="I30" s="44" t="s">
        <v>1479</v>
      </c>
      <c r="J30" s="44" t="s">
        <v>1480</v>
      </c>
      <c r="K30" s="44">
        <v>1.0</v>
      </c>
      <c r="L30" s="44" t="s">
        <v>1489</v>
      </c>
      <c r="M30" s="44">
        <v>1.0</v>
      </c>
      <c r="N30" s="45"/>
      <c r="O30" s="45"/>
      <c r="P30" s="45"/>
      <c r="Q30" s="45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>
      <c r="A31" s="41">
        <v>28.0</v>
      </c>
      <c r="B31" s="41" t="s">
        <v>1510</v>
      </c>
      <c r="C31" s="42">
        <f t="array" ref="C31">INDEX(SkillBoxes!A30:D606,MATCH(E31,SkillBoxes!A30:A606,0),2)</f>
        <v>1</v>
      </c>
      <c r="D31" s="42" t="str">
        <f t="array" ref="D31">INDEX(SkillBoxes!A30:D606,MATCH(E31,SkillBoxes!A30:A606,0),3)</f>
        <v>Twin Blade</v>
      </c>
      <c r="E31" s="42">
        <v>28.0</v>
      </c>
      <c r="F31" s="42" t="str">
        <f t="array" ref="F31">INDEX(SkillBoxes!A30:D606,MATCH(E31,SkillBoxes!A30:A606,0),4)</f>
        <v>Stealth II</v>
      </c>
      <c r="G31" s="41">
        <v>8.0</v>
      </c>
      <c r="H31" s="41" t="s">
        <v>125</v>
      </c>
      <c r="I31" s="41" t="s">
        <v>1479</v>
      </c>
      <c r="J31" s="41" t="s">
        <v>1480</v>
      </c>
      <c r="K31" s="41">
        <v>1.15</v>
      </c>
      <c r="L31" s="41" t="s">
        <v>1489</v>
      </c>
      <c r="M31" s="41">
        <v>2.0</v>
      </c>
      <c r="N31" s="42"/>
      <c r="O31" s="42"/>
      <c r="P31" s="42"/>
      <c r="Q31" s="42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>
      <c r="A32" s="44">
        <v>29.0</v>
      </c>
      <c r="B32" s="44" t="s">
        <v>1511</v>
      </c>
      <c r="C32" s="45">
        <f t="array" ref="C32">INDEX(SkillBoxes!A31:D607,MATCH(E32,SkillBoxes!A31:A607,0),2)</f>
        <v>1</v>
      </c>
      <c r="D32" s="45" t="str">
        <f t="array" ref="D32">INDEX(SkillBoxes!A31:D607,MATCH(E32,SkillBoxes!A31:A607,0),3)</f>
        <v>Twin Blade</v>
      </c>
      <c r="E32" s="45">
        <v>29.0</v>
      </c>
      <c r="F32" s="45" t="str">
        <f t="array" ref="F32">INDEX(SkillBoxes!A31:D607,MATCH(E32,SkillBoxes!A31:A607,0),4)</f>
        <v>Stealth III</v>
      </c>
      <c r="G32" s="44">
        <v>10.0</v>
      </c>
      <c r="H32" s="44" t="s">
        <v>159</v>
      </c>
      <c r="I32" s="44" t="s">
        <v>1479</v>
      </c>
      <c r="J32" s="44" t="s">
        <v>1480</v>
      </c>
      <c r="K32" s="44">
        <v>1.3</v>
      </c>
      <c r="L32" s="44" t="s">
        <v>410</v>
      </c>
      <c r="M32" s="44">
        <v>2.0</v>
      </c>
      <c r="N32" s="44">
        <v>0.05</v>
      </c>
      <c r="O32" s="44" t="s">
        <v>145</v>
      </c>
      <c r="P32" s="45"/>
      <c r="Q32" s="45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r="33">
      <c r="A33" s="41">
        <v>30.0</v>
      </c>
      <c r="B33" s="41" t="s">
        <v>1512</v>
      </c>
      <c r="C33" s="42">
        <f t="array" ref="C33">INDEX(SkillBoxes!A32:D608,MATCH(E33,SkillBoxes!A32:A608,0),2)</f>
        <v>1</v>
      </c>
      <c r="D33" s="42" t="str">
        <f t="array" ref="D33">INDEX(SkillBoxes!A32:D608,MATCH(E33,SkillBoxes!A32:A608,0),3)</f>
        <v>Twin Blade</v>
      </c>
      <c r="E33" s="42">
        <v>30.0</v>
      </c>
      <c r="F33" s="42" t="str">
        <f t="array" ref="F33">INDEX(SkillBoxes!A32:D608,MATCH(E33,SkillBoxes!A32:A608,0),4)</f>
        <v>Stealth IV</v>
      </c>
      <c r="G33" s="41">
        <v>12.0</v>
      </c>
      <c r="H33" s="41" t="s">
        <v>159</v>
      </c>
      <c r="I33" s="41" t="s">
        <v>1479</v>
      </c>
      <c r="J33" s="41" t="s">
        <v>1495</v>
      </c>
      <c r="K33" s="41">
        <v>0.0</v>
      </c>
      <c r="L33" s="41" t="s">
        <v>1513</v>
      </c>
      <c r="M33" s="41">
        <v>2.0</v>
      </c>
      <c r="N33" s="41">
        <v>0.15</v>
      </c>
      <c r="O33" s="41" t="s">
        <v>137</v>
      </c>
      <c r="P33" s="42"/>
      <c r="Q33" s="42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>
      <c r="A34" s="44">
        <v>31.0</v>
      </c>
      <c r="B34" s="44" t="s">
        <v>1514</v>
      </c>
      <c r="C34" s="45">
        <f t="array" ref="C34">INDEX(SkillBoxes!A33:D609,MATCH(E34,SkillBoxes!A33:A609,0),2)</f>
        <v>1</v>
      </c>
      <c r="D34" s="45" t="str">
        <f t="array" ref="D34">INDEX(SkillBoxes!A33:D609,MATCH(E34,SkillBoxes!A33:A609,0),3)</f>
        <v>Twin Blade</v>
      </c>
      <c r="E34" s="45">
        <v>31.0</v>
      </c>
      <c r="F34" s="45" t="str">
        <f t="array" ref="F34">INDEX(SkillBoxes!A33:D609,MATCH(E34,SkillBoxes!A33:A609,0),4)</f>
        <v>Tracking I</v>
      </c>
      <c r="G34" s="44">
        <v>6.0</v>
      </c>
      <c r="H34" s="44" t="s">
        <v>125</v>
      </c>
      <c r="I34" s="44" t="s">
        <v>1479</v>
      </c>
      <c r="J34" s="44" t="s">
        <v>1480</v>
      </c>
      <c r="K34" s="44">
        <v>1.1</v>
      </c>
      <c r="L34" s="45"/>
      <c r="M34" s="45"/>
      <c r="N34" s="45"/>
      <c r="O34" s="45"/>
      <c r="P34" s="45"/>
      <c r="Q34" s="45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>
      <c r="A35" s="41">
        <v>32.0</v>
      </c>
      <c r="B35" s="41" t="s">
        <v>1515</v>
      </c>
      <c r="C35" s="42">
        <f t="array" ref="C35">INDEX(SkillBoxes!A34:D610,MATCH(E35,SkillBoxes!A34:A610,0),2)</f>
        <v>1</v>
      </c>
      <c r="D35" s="42" t="str">
        <f t="array" ref="D35">INDEX(SkillBoxes!A34:D610,MATCH(E35,SkillBoxes!A34:A610,0),3)</f>
        <v>Twin Blade</v>
      </c>
      <c r="E35" s="42">
        <v>32.0</v>
      </c>
      <c r="F35" s="42" t="str">
        <f t="array" ref="F35">INDEX(SkillBoxes!A34:D610,MATCH(E35,SkillBoxes!A34:A610,0),4)</f>
        <v>Tracking II</v>
      </c>
      <c r="G35" s="41">
        <v>8.0</v>
      </c>
      <c r="H35" s="41" t="s">
        <v>125</v>
      </c>
      <c r="I35" s="41" t="s">
        <v>1479</v>
      </c>
      <c r="J35" s="41" t="s">
        <v>1480</v>
      </c>
      <c r="K35" s="41">
        <v>1.2</v>
      </c>
      <c r="L35" s="41" t="s">
        <v>1484</v>
      </c>
      <c r="M35" s="41">
        <v>2.0</v>
      </c>
      <c r="N35" s="41">
        <v>-1.0</v>
      </c>
      <c r="O35" s="41" t="s">
        <v>141</v>
      </c>
      <c r="P35" s="42"/>
      <c r="Q35" s="42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</row>
    <row r="36">
      <c r="A36" s="44">
        <v>33.0</v>
      </c>
      <c r="B36" s="44" t="s">
        <v>1516</v>
      </c>
      <c r="C36" s="45">
        <f t="array" ref="C36">INDEX(SkillBoxes!A35:D611,MATCH(E36,SkillBoxes!A35:A611,0),2)</f>
        <v>1</v>
      </c>
      <c r="D36" s="45" t="str">
        <f t="array" ref="D36">INDEX(SkillBoxes!A35:D611,MATCH(E36,SkillBoxes!A35:A611,0),3)</f>
        <v>Twin Blade</v>
      </c>
      <c r="E36" s="45">
        <v>33.0</v>
      </c>
      <c r="F36" s="45" t="str">
        <f t="array" ref="F36">INDEX(SkillBoxes!A35:D611,MATCH(E36,SkillBoxes!A35:A611,0),4)</f>
        <v>Tracking III</v>
      </c>
      <c r="G36" s="44">
        <v>10.0</v>
      </c>
      <c r="H36" s="44" t="s">
        <v>125</v>
      </c>
      <c r="I36" s="44" t="s">
        <v>1479</v>
      </c>
      <c r="J36" s="44" t="s">
        <v>1480</v>
      </c>
      <c r="K36" s="44">
        <v>1.4</v>
      </c>
      <c r="L36" s="44" t="s">
        <v>1484</v>
      </c>
      <c r="M36" s="44">
        <v>3.0</v>
      </c>
      <c r="N36" s="44">
        <v>-2.0</v>
      </c>
      <c r="O36" s="44" t="s">
        <v>141</v>
      </c>
      <c r="P36" s="45"/>
      <c r="Q36" s="45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r="37">
      <c r="A37" s="41">
        <v>34.0</v>
      </c>
      <c r="B37" s="41" t="s">
        <v>1517</v>
      </c>
      <c r="C37" s="42">
        <f t="array" ref="C37">INDEX(SkillBoxes!A36:D612,MATCH(E37,SkillBoxes!A36:A612,0),2)</f>
        <v>1</v>
      </c>
      <c r="D37" s="42" t="str">
        <f t="array" ref="D37">INDEX(SkillBoxes!A36:D612,MATCH(E37,SkillBoxes!A36:A612,0),3)</f>
        <v>Twin Blade</v>
      </c>
      <c r="E37" s="42">
        <v>34.0</v>
      </c>
      <c r="F37" s="42" t="str">
        <f t="array" ref="F37">INDEX(SkillBoxes!A36:D612,MATCH(E37,SkillBoxes!A36:A612,0),4)</f>
        <v>Tracking IV</v>
      </c>
      <c r="G37" s="41">
        <v>12.0</v>
      </c>
      <c r="H37" s="41" t="s">
        <v>159</v>
      </c>
      <c r="I37" s="41" t="s">
        <v>1479</v>
      </c>
      <c r="J37" s="41" t="s">
        <v>1480</v>
      </c>
      <c r="K37" s="41">
        <v>1.5</v>
      </c>
      <c r="L37" s="41" t="s">
        <v>1484</v>
      </c>
      <c r="M37" s="41">
        <v>4.0</v>
      </c>
      <c r="N37" s="41">
        <v>-3.0</v>
      </c>
      <c r="O37" s="41" t="s">
        <v>141</v>
      </c>
      <c r="P37" s="41" t="s">
        <v>1518</v>
      </c>
      <c r="Q37" s="42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</row>
    <row r="38">
      <c r="A38" s="41">
        <v>35.0</v>
      </c>
      <c r="B38" s="44" t="s">
        <v>1519</v>
      </c>
      <c r="C38" s="45">
        <f t="array" ref="C38">INDEX(SkillBoxes!A37:D613,MATCH(E38,SkillBoxes!A37:A613,0),2)</f>
        <v>1</v>
      </c>
      <c r="D38" s="45" t="str">
        <f t="array" ref="D38">INDEX(SkillBoxes!A37:D613,MATCH(E38,SkillBoxes!A37:A613,0),3)</f>
        <v>Twin Blade</v>
      </c>
      <c r="E38" s="45">
        <v>35.0</v>
      </c>
      <c r="F38" s="45" t="str">
        <f t="array" ref="F38">INDEX(SkillBoxes!A37:D613,MATCH(E38,SkillBoxes!A37:A613,0),4)</f>
        <v>Master Twin Blade</v>
      </c>
      <c r="G38" s="44">
        <v>14.0</v>
      </c>
      <c r="H38" s="44" t="s">
        <v>159</v>
      </c>
      <c r="I38" s="44" t="s">
        <v>1479</v>
      </c>
      <c r="J38" s="44" t="s">
        <v>1491</v>
      </c>
      <c r="K38" s="44">
        <v>1.0</v>
      </c>
      <c r="L38" s="44" t="s">
        <v>1484</v>
      </c>
      <c r="M38" s="44">
        <v>3.0</v>
      </c>
      <c r="N38" s="44">
        <v>-3.0</v>
      </c>
      <c r="O38" s="44" t="s">
        <v>141</v>
      </c>
      <c r="P38" s="45"/>
      <c r="Q38" s="45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</row>
    <row r="39">
      <c r="A39" s="44">
        <v>36.0</v>
      </c>
      <c r="B39" s="41" t="s">
        <v>1520</v>
      </c>
      <c r="C39" s="42">
        <f t="array" ref="C39">INDEX(SkillBoxes!A38:D614,MATCH(E39,SkillBoxes!A38:A614,0),2)</f>
        <v>2</v>
      </c>
      <c r="D39" s="42" t="str">
        <f t="array" ref="D39">INDEX(SkillBoxes!A38:D614,MATCH(E39,SkillBoxes!A38:A614,0),3)</f>
        <v>Wave User</v>
      </c>
      <c r="E39" s="42">
        <v>36.0</v>
      </c>
      <c r="F39" s="42" t="str">
        <f t="array" ref="F39">INDEX(SkillBoxes!A38:D614,MATCH(E39,SkillBoxes!A38:A614,0),4)</f>
        <v>Novice Wave User</v>
      </c>
      <c r="G39" s="41">
        <v>4.0</v>
      </c>
      <c r="H39" s="41" t="s">
        <v>160</v>
      </c>
      <c r="I39" s="41" t="s">
        <v>1498</v>
      </c>
      <c r="J39" s="41" t="s">
        <v>1480</v>
      </c>
      <c r="K39" s="41">
        <v>1.0</v>
      </c>
      <c r="L39" s="42"/>
      <c r="M39" s="42"/>
      <c r="N39" s="42"/>
      <c r="O39" s="42"/>
      <c r="P39" s="42"/>
      <c r="Q39" s="42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r="40">
      <c r="A40" s="41">
        <v>37.0</v>
      </c>
      <c r="B40" s="44" t="s">
        <v>1521</v>
      </c>
      <c r="C40" s="45">
        <f t="array" ref="C40">INDEX(SkillBoxes!A39:D615,MATCH(E40,SkillBoxes!A39:A615,0),2)</f>
        <v>2</v>
      </c>
      <c r="D40" s="45" t="str">
        <f t="array" ref="D40">INDEX(SkillBoxes!A39:D615,MATCH(E40,SkillBoxes!A39:A615,0),3)</f>
        <v>Wave User</v>
      </c>
      <c r="E40" s="45">
        <v>37.0</v>
      </c>
      <c r="F40" s="45" t="str">
        <f t="array" ref="F40">INDEX(SkillBoxes!A39:D615,MATCH(E40,SkillBoxes!A39:A615,0),4)</f>
        <v>Wave Magic I</v>
      </c>
      <c r="G40" s="44">
        <v>6.0</v>
      </c>
      <c r="H40" s="44" t="s">
        <v>160</v>
      </c>
      <c r="I40" s="44" t="s">
        <v>1498</v>
      </c>
      <c r="J40" s="44" t="s">
        <v>1480</v>
      </c>
      <c r="K40" s="44">
        <v>1.1</v>
      </c>
      <c r="L40" s="45"/>
      <c r="M40" s="45"/>
      <c r="N40" s="45"/>
      <c r="O40" s="45"/>
      <c r="P40" s="45"/>
      <c r="Q40" s="45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r="41">
      <c r="A41" s="44">
        <v>38.0</v>
      </c>
      <c r="B41" s="41" t="s">
        <v>1522</v>
      </c>
      <c r="C41" s="42">
        <f t="array" ref="C41">INDEX(SkillBoxes!A40:D616,MATCH(E41,SkillBoxes!A40:A616,0),2)</f>
        <v>2</v>
      </c>
      <c r="D41" s="42" t="str">
        <f t="array" ref="D41">INDEX(SkillBoxes!A40:D616,MATCH(E41,SkillBoxes!A40:A616,0),3)</f>
        <v>Wave User</v>
      </c>
      <c r="E41" s="42">
        <v>38.0</v>
      </c>
      <c r="F41" s="42" t="str">
        <f t="array" ref="F41">INDEX(SkillBoxes!A40:D616,MATCH(E41,SkillBoxes!A40:A616,0),4)</f>
        <v>Wave Magic II</v>
      </c>
      <c r="G41" s="41">
        <v>8.0</v>
      </c>
      <c r="H41" s="41" t="s">
        <v>160</v>
      </c>
      <c r="I41" s="41" t="s">
        <v>1498</v>
      </c>
      <c r="J41" s="41" t="s">
        <v>1480</v>
      </c>
      <c r="K41" s="41">
        <v>1.25</v>
      </c>
      <c r="L41" s="42"/>
      <c r="M41" s="42"/>
      <c r="N41" s="42"/>
      <c r="O41" s="42"/>
      <c r="P41" s="42"/>
      <c r="Q41" s="42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r="42">
      <c r="A42" s="41">
        <v>39.0</v>
      </c>
      <c r="B42" s="44" t="s">
        <v>1523</v>
      </c>
      <c r="C42" s="45">
        <f t="array" ref="C42">INDEX(SkillBoxes!A41:D617,MATCH(E42,SkillBoxes!A41:A617,0),2)</f>
        <v>2</v>
      </c>
      <c r="D42" s="45" t="str">
        <f t="array" ref="D42">INDEX(SkillBoxes!A41:D617,MATCH(E42,SkillBoxes!A41:A617,0),3)</f>
        <v>Wave User</v>
      </c>
      <c r="E42" s="45">
        <v>39.0</v>
      </c>
      <c r="F42" s="45" t="str">
        <f t="array" ref="F42">INDEX(SkillBoxes!A41:D617,MATCH(E42,SkillBoxes!A41:A617,0),4)</f>
        <v>Wave Magic III</v>
      </c>
      <c r="G42" s="44">
        <v>10.0</v>
      </c>
      <c r="H42" s="44" t="s">
        <v>160</v>
      </c>
      <c r="I42" s="44" t="s">
        <v>1498</v>
      </c>
      <c r="J42" s="44" t="s">
        <v>1480</v>
      </c>
      <c r="K42" s="44">
        <v>1.4</v>
      </c>
      <c r="L42" s="44" t="s">
        <v>410</v>
      </c>
      <c r="M42" s="44">
        <v>2.0</v>
      </c>
      <c r="N42" s="44">
        <v>0.05</v>
      </c>
      <c r="O42" s="44" t="s">
        <v>161</v>
      </c>
      <c r="P42" s="45"/>
      <c r="Q42" s="45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>
      <c r="A43" s="44">
        <v>40.0</v>
      </c>
      <c r="B43" s="41" t="s">
        <v>1524</v>
      </c>
      <c r="C43" s="42">
        <f t="array" ref="C43">INDEX(SkillBoxes!A42:D618,MATCH(E43,SkillBoxes!A42:A618,0),2)</f>
        <v>2</v>
      </c>
      <c r="D43" s="42" t="str">
        <f t="array" ref="D43">INDEX(SkillBoxes!A42:D618,MATCH(E43,SkillBoxes!A42:A618,0),3)</f>
        <v>Wave User</v>
      </c>
      <c r="E43" s="42">
        <v>40.0</v>
      </c>
      <c r="F43" s="42" t="str">
        <f t="array" ref="F43">INDEX(SkillBoxes!A42:D618,MATCH(E43,SkillBoxes!A42:A618,0),4)</f>
        <v>Wave Magic IV</v>
      </c>
      <c r="G43" s="41">
        <v>12.0</v>
      </c>
      <c r="H43" s="41" t="s">
        <v>160</v>
      </c>
      <c r="I43" s="41" t="s">
        <v>1498</v>
      </c>
      <c r="J43" s="41" t="s">
        <v>1480</v>
      </c>
      <c r="K43" s="41">
        <v>1.6</v>
      </c>
      <c r="L43" s="41" t="s">
        <v>410</v>
      </c>
      <c r="M43" s="41">
        <v>3.0</v>
      </c>
      <c r="N43" s="41">
        <v>0.1</v>
      </c>
      <c r="O43" s="41" t="s">
        <v>161</v>
      </c>
      <c r="P43" s="42"/>
      <c r="Q43" s="42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</row>
    <row r="44">
      <c r="A44" s="41">
        <v>41.0</v>
      </c>
      <c r="B44" s="44" t="s">
        <v>1525</v>
      </c>
      <c r="C44" s="45">
        <f t="array" ref="C44">INDEX(SkillBoxes!A43:D619,MATCH(E44,SkillBoxes!A43:A619,0),2)</f>
        <v>2</v>
      </c>
      <c r="D44" s="45" t="str">
        <f t="array" ref="D44">INDEX(SkillBoxes!A43:D619,MATCH(E44,SkillBoxes!A43:A619,0),3)</f>
        <v>Wave User</v>
      </c>
      <c r="E44" s="45">
        <v>41.0</v>
      </c>
      <c r="F44" s="45" t="str">
        <f t="array" ref="F44">INDEX(SkillBoxes!A43:D619,MATCH(E44,SkillBoxes!A43:A619,0),4)</f>
        <v>Focus I</v>
      </c>
      <c r="G44" s="44">
        <v>6.0</v>
      </c>
      <c r="H44" s="44" t="s">
        <v>160</v>
      </c>
      <c r="I44" s="44" t="s">
        <v>1498</v>
      </c>
      <c r="J44" s="44" t="s">
        <v>1495</v>
      </c>
      <c r="K44" s="44">
        <v>0.0</v>
      </c>
      <c r="L44" s="44" t="s">
        <v>1513</v>
      </c>
      <c r="M44" s="44">
        <v>2.0</v>
      </c>
      <c r="N44" s="44">
        <v>0.1</v>
      </c>
      <c r="O44" s="44" t="s">
        <v>126</v>
      </c>
      <c r="P44" s="45"/>
      <c r="Q44" s="45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>
      <c r="A45" s="41">
        <v>42.0</v>
      </c>
      <c r="B45" s="41" t="s">
        <v>1526</v>
      </c>
      <c r="C45" s="42">
        <f t="array" ref="C45">INDEX(SkillBoxes!A44:D620,MATCH(E45,SkillBoxes!A44:A620,0),2)</f>
        <v>2</v>
      </c>
      <c r="D45" s="42" t="str">
        <f t="array" ref="D45">INDEX(SkillBoxes!A44:D620,MATCH(E45,SkillBoxes!A44:A620,0),3)</f>
        <v>Wave User</v>
      </c>
      <c r="E45" s="42">
        <v>42.0</v>
      </c>
      <c r="F45" s="42" t="str">
        <f t="array" ref="F45">INDEX(SkillBoxes!A44:D620,MATCH(E45,SkillBoxes!A44:A620,0),4)</f>
        <v>Focus II</v>
      </c>
      <c r="G45" s="41">
        <v>8.0</v>
      </c>
      <c r="H45" s="41" t="s">
        <v>160</v>
      </c>
      <c r="I45" s="41" t="s">
        <v>1498</v>
      </c>
      <c r="J45" s="41" t="s">
        <v>1495</v>
      </c>
      <c r="K45" s="41">
        <v>0.0</v>
      </c>
      <c r="L45" s="41" t="s">
        <v>1513</v>
      </c>
      <c r="M45" s="41">
        <v>3.0</v>
      </c>
      <c r="N45" s="41">
        <v>0.15</v>
      </c>
      <c r="O45" s="41" t="s">
        <v>126</v>
      </c>
      <c r="P45" s="42"/>
      <c r="Q45" s="42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>
      <c r="A46" s="44">
        <v>43.0</v>
      </c>
      <c r="B46" s="44" t="s">
        <v>1527</v>
      </c>
      <c r="C46" s="45">
        <f t="array" ref="C46">INDEX(SkillBoxes!A45:D621,MATCH(E46,SkillBoxes!A45:A621,0),2)</f>
        <v>2</v>
      </c>
      <c r="D46" s="45" t="str">
        <f t="array" ref="D46">INDEX(SkillBoxes!A45:D621,MATCH(E46,SkillBoxes!A45:A621,0),3)</f>
        <v>Wave User</v>
      </c>
      <c r="E46" s="45">
        <v>43.0</v>
      </c>
      <c r="F46" s="45" t="str">
        <f t="array" ref="F46">INDEX(SkillBoxes!A45:D621,MATCH(E46,SkillBoxes!A45:A621,0),4)</f>
        <v>Focus III</v>
      </c>
      <c r="G46" s="44">
        <v>10.0</v>
      </c>
      <c r="H46" s="44" t="s">
        <v>160</v>
      </c>
      <c r="I46" s="44" t="s">
        <v>1498</v>
      </c>
      <c r="J46" s="44" t="s">
        <v>1495</v>
      </c>
      <c r="K46" s="44">
        <v>0.0</v>
      </c>
      <c r="L46" s="44" t="s">
        <v>1513</v>
      </c>
      <c r="M46" s="44">
        <v>2.0</v>
      </c>
      <c r="N46" s="44">
        <v>0.1</v>
      </c>
      <c r="O46" s="44" t="s">
        <v>142</v>
      </c>
      <c r="P46" s="45"/>
      <c r="Q46" s="45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>
      <c r="A47" s="41">
        <v>44.0</v>
      </c>
      <c r="B47" s="41" t="s">
        <v>1528</v>
      </c>
      <c r="C47" s="42">
        <f t="array" ref="C47">INDEX(SkillBoxes!A46:D622,MATCH(E47,SkillBoxes!A46:A622,0),2)</f>
        <v>2</v>
      </c>
      <c r="D47" s="42" t="str">
        <f t="array" ref="D47">INDEX(SkillBoxes!A46:D622,MATCH(E47,SkillBoxes!A46:A622,0),3)</f>
        <v>Wave User</v>
      </c>
      <c r="E47" s="42">
        <v>44.0</v>
      </c>
      <c r="F47" s="42" t="str">
        <f t="array" ref="F47">INDEX(SkillBoxes!A46:D622,MATCH(E47,SkillBoxes!A46:A622,0),4)</f>
        <v>Focus IV</v>
      </c>
      <c r="G47" s="41">
        <v>12.0</v>
      </c>
      <c r="H47" s="41" t="s">
        <v>160</v>
      </c>
      <c r="I47" s="41" t="s">
        <v>1498</v>
      </c>
      <c r="J47" s="41" t="s">
        <v>1495</v>
      </c>
      <c r="K47" s="41">
        <v>0.0</v>
      </c>
      <c r="L47" s="41" t="s">
        <v>1513</v>
      </c>
      <c r="M47" s="41">
        <v>3.0</v>
      </c>
      <c r="N47" s="41">
        <v>0.2</v>
      </c>
      <c r="O47" s="41" t="s">
        <v>126</v>
      </c>
      <c r="P47" s="42"/>
      <c r="Q47" s="42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>
      <c r="A48" s="44">
        <v>45.0</v>
      </c>
      <c r="B48" s="44" t="s">
        <v>1529</v>
      </c>
      <c r="C48" s="45">
        <f t="array" ref="C48">INDEX(SkillBoxes!A47:D623,MATCH(E48,SkillBoxes!A47:A623,0),2)</f>
        <v>2</v>
      </c>
      <c r="D48" s="45" t="str">
        <f t="array" ref="D48">INDEX(SkillBoxes!A47:D623,MATCH(E48,SkillBoxes!A47:A623,0),3)</f>
        <v>Wave User</v>
      </c>
      <c r="E48" s="45">
        <v>45.0</v>
      </c>
      <c r="F48" s="45" t="str">
        <f t="array" ref="F48">INDEX(SkillBoxes!A47:D623,MATCH(E48,SkillBoxes!A47:A623,0),4)</f>
        <v>Summoning I</v>
      </c>
      <c r="G48" s="44">
        <v>6.0</v>
      </c>
      <c r="H48" s="44" t="s">
        <v>160</v>
      </c>
      <c r="I48" s="44" t="s">
        <v>1498</v>
      </c>
      <c r="J48" s="44" t="s">
        <v>1480</v>
      </c>
      <c r="K48" s="44">
        <v>1.1</v>
      </c>
      <c r="L48" s="45"/>
      <c r="M48" s="45"/>
      <c r="N48" s="45"/>
      <c r="O48" s="45"/>
      <c r="P48" s="45"/>
      <c r="Q48" s="45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>
      <c r="A49" s="41">
        <v>46.0</v>
      </c>
      <c r="B49" s="41" t="s">
        <v>1530</v>
      </c>
      <c r="C49" s="42">
        <f t="array" ref="C49">INDEX(SkillBoxes!A48:D624,MATCH(E49,SkillBoxes!A48:A624,0),2)</f>
        <v>2</v>
      </c>
      <c r="D49" s="42" t="str">
        <f t="array" ref="D49">INDEX(SkillBoxes!A48:D624,MATCH(E49,SkillBoxes!A48:A624,0),3)</f>
        <v>Wave User</v>
      </c>
      <c r="E49" s="42">
        <v>46.0</v>
      </c>
      <c r="F49" s="42" t="str">
        <f t="array" ref="F49">INDEX(SkillBoxes!A48:D624,MATCH(E49,SkillBoxes!A48:A624,0),4)</f>
        <v>Summoning II</v>
      </c>
      <c r="G49" s="41">
        <v>8.0</v>
      </c>
      <c r="H49" s="41" t="s">
        <v>160</v>
      </c>
      <c r="I49" s="41" t="s">
        <v>1498</v>
      </c>
      <c r="J49" s="41" t="s">
        <v>1480</v>
      </c>
      <c r="K49" s="41">
        <v>1.25</v>
      </c>
      <c r="L49" s="42"/>
      <c r="M49" s="42"/>
      <c r="N49" s="42"/>
      <c r="O49" s="42"/>
      <c r="P49" s="42"/>
      <c r="Q49" s="42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r="50">
      <c r="A50" s="44">
        <v>47.0</v>
      </c>
      <c r="B50" s="44" t="s">
        <v>1531</v>
      </c>
      <c r="C50" s="45">
        <f t="array" ref="C50">INDEX(SkillBoxes!A49:D625,MATCH(E50,SkillBoxes!A49:A625,0),2)</f>
        <v>2</v>
      </c>
      <c r="D50" s="45" t="str">
        <f t="array" ref="D50">INDEX(SkillBoxes!A49:D625,MATCH(E50,SkillBoxes!A49:A625,0),3)</f>
        <v>Wave User</v>
      </c>
      <c r="E50" s="45">
        <v>47.0</v>
      </c>
      <c r="F50" s="45" t="str">
        <f t="array" ref="F50">INDEX(SkillBoxes!A49:D625,MATCH(E50,SkillBoxes!A49:A625,0),4)</f>
        <v>Summoning III</v>
      </c>
      <c r="G50" s="44">
        <v>10.0</v>
      </c>
      <c r="H50" s="44" t="s">
        <v>160</v>
      </c>
      <c r="I50" s="44" t="s">
        <v>1498</v>
      </c>
      <c r="J50" s="44" t="s">
        <v>1491</v>
      </c>
      <c r="K50" s="44">
        <v>0.9</v>
      </c>
      <c r="L50" s="45"/>
      <c r="M50" s="45"/>
      <c r="N50" s="45"/>
      <c r="O50" s="45"/>
      <c r="P50" s="45"/>
      <c r="Q50" s="45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>
      <c r="A51" s="41">
        <v>48.0</v>
      </c>
      <c r="B51" s="41" t="s">
        <v>1532</v>
      </c>
      <c r="C51" s="42">
        <f t="array" ref="C51">INDEX(SkillBoxes!A50:D626,MATCH(E51,SkillBoxes!A50:A626,0),2)</f>
        <v>2</v>
      </c>
      <c r="D51" s="42" t="str">
        <f t="array" ref="D51">INDEX(SkillBoxes!A50:D626,MATCH(E51,SkillBoxes!A50:A626,0),3)</f>
        <v>Wave User</v>
      </c>
      <c r="E51" s="42">
        <v>48.0</v>
      </c>
      <c r="F51" s="42" t="str">
        <f t="array" ref="F51">INDEX(SkillBoxes!A50:D626,MATCH(E51,SkillBoxes!A50:A626,0),4)</f>
        <v>Summoning IV</v>
      </c>
      <c r="G51" s="41">
        <v>12.0</v>
      </c>
      <c r="H51" s="41" t="s">
        <v>160</v>
      </c>
      <c r="I51" s="41" t="s">
        <v>1498</v>
      </c>
      <c r="J51" s="41" t="s">
        <v>1491</v>
      </c>
      <c r="K51" s="41">
        <v>1.0</v>
      </c>
      <c r="L51" s="41" t="s">
        <v>1489</v>
      </c>
      <c r="M51" s="41">
        <v>1.0</v>
      </c>
      <c r="N51" s="42"/>
      <c r="O51" s="42"/>
      <c r="P51" s="42"/>
      <c r="Q51" s="42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r="52">
      <c r="A52" s="41">
        <v>49.0</v>
      </c>
      <c r="B52" s="44" t="s">
        <v>1533</v>
      </c>
      <c r="C52" s="45">
        <f t="array" ref="C52">INDEX(SkillBoxes!A51:D627,MATCH(E52,SkillBoxes!A51:A627,0),2)</f>
        <v>2</v>
      </c>
      <c r="D52" s="45" t="str">
        <f t="array" ref="D52">INDEX(SkillBoxes!A51:D627,MATCH(E52,SkillBoxes!A51:A627,0),3)</f>
        <v>Wave User</v>
      </c>
      <c r="E52" s="45">
        <v>49.0</v>
      </c>
      <c r="F52" s="45" t="str">
        <f t="array" ref="F52">INDEX(SkillBoxes!A51:D627,MATCH(E52,SkillBoxes!A51:A627,0),4)</f>
        <v>Elemental Studies I</v>
      </c>
      <c r="G52" s="44">
        <v>6.0</v>
      </c>
      <c r="H52" s="44" t="s">
        <v>160</v>
      </c>
      <c r="I52" s="44" t="s">
        <v>1498</v>
      </c>
      <c r="J52" s="44" t="s">
        <v>1480</v>
      </c>
      <c r="K52" s="44">
        <v>1.1</v>
      </c>
      <c r="L52" s="45"/>
      <c r="M52" s="45"/>
      <c r="N52" s="45"/>
      <c r="O52" s="45"/>
      <c r="P52" s="44" t="s">
        <v>1534</v>
      </c>
      <c r="Q52" s="45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  <row r="53">
      <c r="A53" s="44">
        <v>50.0</v>
      </c>
      <c r="B53" s="41" t="s">
        <v>1535</v>
      </c>
      <c r="C53" s="42">
        <f t="array" ref="C53">INDEX(SkillBoxes!A52:D628,MATCH(E53,SkillBoxes!A52:A628,0),2)</f>
        <v>2</v>
      </c>
      <c r="D53" s="42" t="str">
        <f t="array" ref="D53">INDEX(SkillBoxes!A52:D628,MATCH(E53,SkillBoxes!A52:A628,0),3)</f>
        <v>Wave User</v>
      </c>
      <c r="E53" s="42">
        <v>50.0</v>
      </c>
      <c r="F53" s="42" t="str">
        <f t="array" ref="F53">INDEX(SkillBoxes!A52:D628,MATCH(E53,SkillBoxes!A52:A628,0),4)</f>
        <v>Elemental Studies II</v>
      </c>
      <c r="G53" s="41">
        <v>8.0</v>
      </c>
      <c r="H53" s="41" t="s">
        <v>160</v>
      </c>
      <c r="I53" s="41" t="s">
        <v>1498</v>
      </c>
      <c r="J53" s="41" t="s">
        <v>1480</v>
      </c>
      <c r="K53" s="41">
        <v>1.2</v>
      </c>
      <c r="L53" s="42"/>
      <c r="M53" s="42"/>
      <c r="N53" s="42"/>
      <c r="O53" s="42"/>
      <c r="P53" s="41" t="s">
        <v>1536</v>
      </c>
      <c r="Q53" s="42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>
      <c r="A54" s="41">
        <v>51.0</v>
      </c>
      <c r="B54" s="44" t="s">
        <v>1537</v>
      </c>
      <c r="C54" s="45">
        <f t="array" ref="C54">INDEX(SkillBoxes!A53:D629,MATCH(E54,SkillBoxes!A53:A629,0),2)</f>
        <v>2</v>
      </c>
      <c r="D54" s="45" t="str">
        <f t="array" ref="D54">INDEX(SkillBoxes!A53:D629,MATCH(E54,SkillBoxes!A53:A629,0),3)</f>
        <v>Wave User</v>
      </c>
      <c r="E54" s="45">
        <v>51.0</v>
      </c>
      <c r="F54" s="45" t="str">
        <f t="array" ref="F54">INDEX(SkillBoxes!A53:D629,MATCH(E54,SkillBoxes!A53:A629,0),4)</f>
        <v>Elemental Studies III</v>
      </c>
      <c r="G54" s="44">
        <v>10.0</v>
      </c>
      <c r="H54" s="44" t="s">
        <v>160</v>
      </c>
      <c r="I54" s="44" t="s">
        <v>1498</v>
      </c>
      <c r="J54" s="44" t="s">
        <v>1480</v>
      </c>
      <c r="K54" s="44">
        <v>1.4</v>
      </c>
      <c r="L54" s="44" t="s">
        <v>410</v>
      </c>
      <c r="M54" s="44">
        <v>2.0</v>
      </c>
      <c r="N54" s="44">
        <v>0.05</v>
      </c>
      <c r="O54" s="44" t="s">
        <v>161</v>
      </c>
      <c r="P54" s="44" t="s">
        <v>1538</v>
      </c>
      <c r="Q54" s="45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>
      <c r="A55" s="44">
        <v>52.0</v>
      </c>
      <c r="B55" s="41" t="s">
        <v>1539</v>
      </c>
      <c r="C55" s="42">
        <f t="array" ref="C55">INDEX(SkillBoxes!A54:D630,MATCH(E55,SkillBoxes!A54:A630,0),2)</f>
        <v>2</v>
      </c>
      <c r="D55" s="42" t="str">
        <f t="array" ref="D55">INDEX(SkillBoxes!A54:D630,MATCH(E55,SkillBoxes!A54:A630,0),3)</f>
        <v>Wave User</v>
      </c>
      <c r="E55" s="42">
        <v>52.0</v>
      </c>
      <c r="F55" s="42" t="str">
        <f t="array" ref="F55">INDEX(SkillBoxes!A54:D630,MATCH(E55,SkillBoxes!A54:A630,0),4)</f>
        <v>Elemental Studies IV</v>
      </c>
      <c r="G55" s="41">
        <v>12.0</v>
      </c>
      <c r="H55" s="41" t="s">
        <v>160</v>
      </c>
      <c r="I55" s="41" t="s">
        <v>1498</v>
      </c>
      <c r="J55" s="41" t="s">
        <v>1491</v>
      </c>
      <c r="K55" s="41">
        <v>0.9</v>
      </c>
      <c r="L55" s="41" t="s">
        <v>410</v>
      </c>
      <c r="M55" s="41">
        <v>2.0</v>
      </c>
      <c r="N55" s="41">
        <v>0.05</v>
      </c>
      <c r="O55" s="41" t="s">
        <v>161</v>
      </c>
      <c r="P55" s="41" t="s">
        <v>1540</v>
      </c>
      <c r="Q55" s="42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</row>
    <row r="56">
      <c r="A56" s="41">
        <v>53.0</v>
      </c>
      <c r="B56" s="44" t="s">
        <v>1541</v>
      </c>
      <c r="C56" s="45">
        <f t="array" ref="C56">INDEX(SkillBoxes!A55:D631,MATCH(E56,SkillBoxes!A55:A631,0),2)</f>
        <v>2</v>
      </c>
      <c r="D56" s="45" t="str">
        <f t="array" ref="D56">INDEX(SkillBoxes!A55:D631,MATCH(E56,SkillBoxes!A55:A631,0),3)</f>
        <v>Wave User</v>
      </c>
      <c r="E56" s="45">
        <v>53.0</v>
      </c>
      <c r="F56" s="45" t="str">
        <f t="array" ref="F56">INDEX(SkillBoxes!A55:D631,MATCH(E56,SkillBoxes!A55:A631,0),4)</f>
        <v>Master Wave User</v>
      </c>
      <c r="G56" s="44">
        <v>14.0</v>
      </c>
      <c r="H56" s="44" t="s">
        <v>160</v>
      </c>
      <c r="I56" s="44" t="s">
        <v>1498</v>
      </c>
      <c r="J56" s="44" t="s">
        <v>1491</v>
      </c>
      <c r="K56" s="44">
        <v>1.0</v>
      </c>
      <c r="L56" s="44" t="s">
        <v>410</v>
      </c>
      <c r="M56" s="44">
        <v>3.0</v>
      </c>
      <c r="N56" s="44">
        <v>0.1</v>
      </c>
      <c r="O56" s="44" t="s">
        <v>161</v>
      </c>
      <c r="P56" s="45"/>
      <c r="Q56" s="45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>
      <c r="A57" s="44">
        <v>54.0</v>
      </c>
      <c r="B57" s="41" t="s">
        <v>1542</v>
      </c>
      <c r="C57" s="42">
        <f t="array" ref="C57">INDEX(SkillBoxes!A56:D632,MATCH(E57,SkillBoxes!A56:A632,0),2)</f>
        <v>3</v>
      </c>
      <c r="D57" s="42" t="str">
        <f t="array" ref="D57">INDEX(SkillBoxes!A56:D632,MATCH(E57,SkillBoxes!A56:A632,0),3)</f>
        <v>Harvest Cleric</v>
      </c>
      <c r="E57" s="42">
        <v>54.0</v>
      </c>
      <c r="F57" s="42" t="str">
        <f t="array" ref="F57">INDEX(SkillBoxes!A56:D632,MATCH(E57,SkillBoxes!A56:A632,0),4)</f>
        <v>Novice Harvest Cleric</v>
      </c>
      <c r="G57" s="41">
        <v>4.0</v>
      </c>
      <c r="H57" s="41" t="s">
        <v>160</v>
      </c>
      <c r="I57" s="41" t="s">
        <v>1498</v>
      </c>
      <c r="J57" s="41" t="s">
        <v>1543</v>
      </c>
      <c r="K57" s="41">
        <v>0.0</v>
      </c>
      <c r="L57" s="41" t="s">
        <v>1544</v>
      </c>
      <c r="M57" s="41">
        <v>1.0</v>
      </c>
      <c r="N57" s="41">
        <v>15.0</v>
      </c>
      <c r="O57" s="41" t="s">
        <v>141</v>
      </c>
      <c r="P57" s="42"/>
      <c r="Q57" s="42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r="58">
      <c r="A58" s="41">
        <v>55.0</v>
      </c>
      <c r="B58" s="44" t="s">
        <v>1545</v>
      </c>
      <c r="C58" s="45">
        <f t="array" ref="C58">INDEX(SkillBoxes!A57:D633,MATCH(E58,SkillBoxes!A57:A633,0),2)</f>
        <v>3</v>
      </c>
      <c r="D58" s="45" t="str">
        <f t="array" ref="D58">INDEX(SkillBoxes!A57:D633,MATCH(E58,SkillBoxes!A57:A633,0),3)</f>
        <v>Harvest Cleric</v>
      </c>
      <c r="E58" s="45">
        <v>55.0</v>
      </c>
      <c r="F58" s="45" t="str">
        <f t="array" ref="F58">INDEX(SkillBoxes!A57:D633,MATCH(E58,SkillBoxes!A57:A633,0),4)</f>
        <v>Healing Magic I</v>
      </c>
      <c r="G58" s="44">
        <v>6.0</v>
      </c>
      <c r="H58" s="44" t="s">
        <v>160</v>
      </c>
      <c r="I58" s="44" t="s">
        <v>1498</v>
      </c>
      <c r="J58" s="44" t="s">
        <v>1543</v>
      </c>
      <c r="K58" s="44">
        <v>0.0</v>
      </c>
      <c r="L58" s="44" t="s">
        <v>1544</v>
      </c>
      <c r="M58" s="44">
        <v>1.0</v>
      </c>
      <c r="N58" s="44">
        <v>20.0</v>
      </c>
      <c r="O58" s="44" t="s">
        <v>141</v>
      </c>
      <c r="P58" s="45"/>
      <c r="Q58" s="45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r="59">
      <c r="A59" s="41">
        <v>56.0</v>
      </c>
      <c r="B59" s="41" t="s">
        <v>1546</v>
      </c>
      <c r="C59" s="42">
        <f t="array" ref="C59">INDEX(SkillBoxes!A58:D634,MATCH(E59,SkillBoxes!A58:A634,0),2)</f>
        <v>3</v>
      </c>
      <c r="D59" s="42" t="str">
        <f t="array" ref="D59">INDEX(SkillBoxes!A58:D634,MATCH(E59,SkillBoxes!A58:A634,0),3)</f>
        <v>Harvest Cleric</v>
      </c>
      <c r="E59" s="42">
        <v>56.0</v>
      </c>
      <c r="F59" s="42" t="str">
        <f t="array" ref="F59">INDEX(SkillBoxes!A58:D634,MATCH(E59,SkillBoxes!A58:A634,0),4)</f>
        <v>Healing Magic II</v>
      </c>
      <c r="G59" s="41">
        <v>8.0</v>
      </c>
      <c r="H59" s="41" t="s">
        <v>160</v>
      </c>
      <c r="I59" s="41" t="s">
        <v>1498</v>
      </c>
      <c r="J59" s="41" t="s">
        <v>1543</v>
      </c>
      <c r="K59" s="41">
        <v>0.0</v>
      </c>
      <c r="L59" s="41" t="s">
        <v>1544</v>
      </c>
      <c r="M59" s="41">
        <v>1.0</v>
      </c>
      <c r="N59" s="41">
        <v>35.0</v>
      </c>
      <c r="O59" s="41" t="s">
        <v>141</v>
      </c>
      <c r="P59" s="42"/>
      <c r="Q59" s="42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r="60">
      <c r="A60" s="44">
        <v>57.0</v>
      </c>
      <c r="B60" s="44" t="s">
        <v>1547</v>
      </c>
      <c r="C60" s="45">
        <f t="array" ref="C60">INDEX(SkillBoxes!A59:D635,MATCH(E60,SkillBoxes!A59:A635,0),2)</f>
        <v>3</v>
      </c>
      <c r="D60" s="45" t="str">
        <f t="array" ref="D60">INDEX(SkillBoxes!A59:D635,MATCH(E60,SkillBoxes!A59:A635,0),3)</f>
        <v>Harvest Cleric</v>
      </c>
      <c r="E60" s="45">
        <v>57.0</v>
      </c>
      <c r="F60" s="45" t="str">
        <f t="array" ref="F60">INDEX(SkillBoxes!A59:D635,MATCH(E60,SkillBoxes!A59:A635,0),4)</f>
        <v>Healing Magic III</v>
      </c>
      <c r="G60" s="44">
        <v>10.0</v>
      </c>
      <c r="H60" s="44" t="s">
        <v>160</v>
      </c>
      <c r="I60" s="44" t="s">
        <v>1498</v>
      </c>
      <c r="J60" s="44" t="s">
        <v>1543</v>
      </c>
      <c r="K60" s="44">
        <v>0.0</v>
      </c>
      <c r="L60" s="44" t="s">
        <v>1544</v>
      </c>
      <c r="M60" s="44">
        <v>1.0</v>
      </c>
      <c r="N60" s="44">
        <v>50.0</v>
      </c>
      <c r="O60" s="44" t="s">
        <v>141</v>
      </c>
      <c r="P60" s="45"/>
      <c r="Q60" s="45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r="61">
      <c r="A61" s="41">
        <v>58.0</v>
      </c>
      <c r="B61" s="41" t="s">
        <v>1548</v>
      </c>
      <c r="C61" s="42">
        <f t="array" ref="C61">INDEX(SkillBoxes!A60:D636,MATCH(E61,SkillBoxes!A60:A636,0),2)</f>
        <v>3</v>
      </c>
      <c r="D61" s="42" t="str">
        <f t="array" ref="D61">INDEX(SkillBoxes!A60:D636,MATCH(E61,SkillBoxes!A60:A636,0),3)</f>
        <v>Harvest Cleric</v>
      </c>
      <c r="E61" s="42">
        <v>58.0</v>
      </c>
      <c r="F61" s="42" t="str">
        <f t="array" ref="F61">INDEX(SkillBoxes!A60:D636,MATCH(E61,SkillBoxes!A60:A636,0),4)</f>
        <v>Healing Magic IV</v>
      </c>
      <c r="G61" s="41">
        <v>14.0</v>
      </c>
      <c r="H61" s="41" t="s">
        <v>160</v>
      </c>
      <c r="I61" s="41" t="s">
        <v>1498</v>
      </c>
      <c r="J61" s="41" t="s">
        <v>1491</v>
      </c>
      <c r="K61" s="41">
        <v>0.0</v>
      </c>
      <c r="L61" s="41" t="s">
        <v>1544</v>
      </c>
      <c r="M61" s="41">
        <v>1.0</v>
      </c>
      <c r="N61" s="41">
        <v>40.0</v>
      </c>
      <c r="O61" s="41" t="s">
        <v>141</v>
      </c>
      <c r="P61" s="42"/>
      <c r="Q61" s="42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</row>
    <row r="62">
      <c r="A62" s="44">
        <v>59.0</v>
      </c>
      <c r="B62" s="44" t="s">
        <v>1549</v>
      </c>
      <c r="C62" s="45">
        <f t="array" ref="C62">INDEX(SkillBoxes!A61:D637,MATCH(E62,SkillBoxes!A61:A637,0),2)</f>
        <v>3</v>
      </c>
      <c r="D62" s="45" t="str">
        <f t="array" ref="D62">INDEX(SkillBoxes!A61:D637,MATCH(E62,SkillBoxes!A61:A637,0),3)</f>
        <v>Harvest Cleric</v>
      </c>
      <c r="E62" s="45">
        <v>59.0</v>
      </c>
      <c r="F62" s="45" t="str">
        <f t="array" ref="F62">INDEX(SkillBoxes!A61:D637,MATCH(E62,SkillBoxes!A61:A637,0),4)</f>
        <v>Light Magic I</v>
      </c>
      <c r="G62" s="44">
        <v>6.0</v>
      </c>
      <c r="H62" s="44" t="s">
        <v>160</v>
      </c>
      <c r="I62" s="44" t="s">
        <v>1498</v>
      </c>
      <c r="J62" s="44" t="s">
        <v>1480</v>
      </c>
      <c r="K62" s="44">
        <v>1.1</v>
      </c>
      <c r="L62" s="45"/>
      <c r="M62" s="45"/>
      <c r="N62" s="45"/>
      <c r="O62" s="45"/>
      <c r="P62" s="44" t="s">
        <v>41</v>
      </c>
      <c r="Q62" s="45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>
      <c r="A63" s="41">
        <v>60.0</v>
      </c>
      <c r="B63" s="41" t="s">
        <v>1550</v>
      </c>
      <c r="C63" s="42">
        <f t="array" ref="C63">INDEX(SkillBoxes!A62:D638,MATCH(E63,SkillBoxes!A62:A638,0),2)</f>
        <v>3</v>
      </c>
      <c r="D63" s="42" t="str">
        <f t="array" ref="D63">INDEX(SkillBoxes!A62:D638,MATCH(E63,SkillBoxes!A62:A638,0),3)</f>
        <v>Harvest Cleric</v>
      </c>
      <c r="E63" s="42">
        <v>60.0</v>
      </c>
      <c r="F63" s="42" t="str">
        <f t="array" ref="F63">INDEX(SkillBoxes!A62:D638,MATCH(E63,SkillBoxes!A62:A638,0),4)</f>
        <v>Light Magic II</v>
      </c>
      <c r="G63" s="41">
        <v>8.0</v>
      </c>
      <c r="H63" s="41" t="s">
        <v>160</v>
      </c>
      <c r="I63" s="41" t="s">
        <v>1498</v>
      </c>
      <c r="J63" s="41" t="s">
        <v>1480</v>
      </c>
      <c r="K63" s="41">
        <v>1.25</v>
      </c>
      <c r="L63" s="42"/>
      <c r="M63" s="42"/>
      <c r="N63" s="42"/>
      <c r="O63" s="42"/>
      <c r="P63" s="41" t="s">
        <v>41</v>
      </c>
      <c r="Q63" s="42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>
      <c r="A64" s="44">
        <v>61.0</v>
      </c>
      <c r="B64" s="44" t="s">
        <v>1551</v>
      </c>
      <c r="C64" s="45">
        <f t="array" ref="C64">INDEX(SkillBoxes!A63:D639,MATCH(E64,SkillBoxes!A63:A639,0),2)</f>
        <v>3</v>
      </c>
      <c r="D64" s="45" t="str">
        <f t="array" ref="D64">INDEX(SkillBoxes!A63:D639,MATCH(E64,SkillBoxes!A63:A639,0),3)</f>
        <v>Harvest Cleric</v>
      </c>
      <c r="E64" s="45">
        <v>61.0</v>
      </c>
      <c r="F64" s="45" t="str">
        <f t="array" ref="F64">INDEX(SkillBoxes!A63:D639,MATCH(E64,SkillBoxes!A63:A639,0),4)</f>
        <v>Light Magic III</v>
      </c>
      <c r="G64" s="44">
        <v>10.0</v>
      </c>
      <c r="H64" s="44" t="s">
        <v>160</v>
      </c>
      <c r="I64" s="44" t="s">
        <v>1498</v>
      </c>
      <c r="J64" s="44" t="s">
        <v>1480</v>
      </c>
      <c r="K64" s="44">
        <v>1.3</v>
      </c>
      <c r="L64" s="44" t="s">
        <v>410</v>
      </c>
      <c r="M64" s="44">
        <v>2.0</v>
      </c>
      <c r="N64" s="44">
        <v>0.05</v>
      </c>
      <c r="O64" s="44" t="s">
        <v>133</v>
      </c>
      <c r="P64" s="44" t="s">
        <v>41</v>
      </c>
      <c r="Q64" s="45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r="65">
      <c r="A65" s="41">
        <v>62.0</v>
      </c>
      <c r="B65" s="41" t="s">
        <v>1552</v>
      </c>
      <c r="C65" s="42">
        <f t="array" ref="C65">INDEX(SkillBoxes!A64:D640,MATCH(E65,SkillBoxes!A64:A640,0),2)</f>
        <v>3</v>
      </c>
      <c r="D65" s="42" t="str">
        <f t="array" ref="D65">INDEX(SkillBoxes!A64:D640,MATCH(E65,SkillBoxes!A64:A640,0),3)</f>
        <v>Harvest Cleric</v>
      </c>
      <c r="E65" s="42">
        <v>62.0</v>
      </c>
      <c r="F65" s="42" t="str">
        <f t="array" ref="F65">INDEX(SkillBoxes!A64:D640,MATCH(E65,SkillBoxes!A64:A640,0),4)</f>
        <v>Light Magic IV</v>
      </c>
      <c r="G65" s="41">
        <v>14.0</v>
      </c>
      <c r="H65" s="41" t="s">
        <v>160</v>
      </c>
      <c r="I65" s="41" t="s">
        <v>1498</v>
      </c>
      <c r="J65" s="41" t="s">
        <v>1491</v>
      </c>
      <c r="K65" s="41">
        <v>0.85</v>
      </c>
      <c r="L65" s="41" t="s">
        <v>410</v>
      </c>
      <c r="M65" s="41">
        <v>2.0</v>
      </c>
      <c r="N65" s="41">
        <v>0.05</v>
      </c>
      <c r="O65" s="41" t="s">
        <v>133</v>
      </c>
      <c r="P65" s="41" t="s">
        <v>41</v>
      </c>
      <c r="Q65" s="42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</row>
    <row r="66">
      <c r="A66" s="41">
        <v>63.0</v>
      </c>
      <c r="B66" s="44" t="s">
        <v>1553</v>
      </c>
      <c r="C66" s="45">
        <f t="array" ref="C66">INDEX(SkillBoxes!A65:D641,MATCH(E66,SkillBoxes!A65:A641,0),2)</f>
        <v>3</v>
      </c>
      <c r="D66" s="45" t="str">
        <f t="array" ref="D66">INDEX(SkillBoxes!A65:D641,MATCH(E66,SkillBoxes!A65:A641,0),3)</f>
        <v>Harvest Cleric</v>
      </c>
      <c r="E66" s="45">
        <v>63.0</v>
      </c>
      <c r="F66" s="45" t="str">
        <f t="array" ref="F66">INDEX(SkillBoxes!A65:D641,MATCH(E66,SkillBoxes!A65:A641,0),4)</f>
        <v>Dark Magic I</v>
      </c>
      <c r="G66" s="44">
        <v>6.0</v>
      </c>
      <c r="H66" s="44" t="s">
        <v>160</v>
      </c>
      <c r="I66" s="44" t="s">
        <v>1498</v>
      </c>
      <c r="J66" s="44" t="s">
        <v>1480</v>
      </c>
      <c r="K66" s="44">
        <v>1.0</v>
      </c>
      <c r="L66" s="44" t="s">
        <v>410</v>
      </c>
      <c r="M66" s="44">
        <v>2.0</v>
      </c>
      <c r="N66" s="44">
        <v>0.05</v>
      </c>
      <c r="O66" s="44" t="s">
        <v>161</v>
      </c>
      <c r="P66" s="44" t="s">
        <v>1518</v>
      </c>
      <c r="Q66" s="45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</row>
    <row r="67">
      <c r="A67" s="44">
        <v>64.0</v>
      </c>
      <c r="B67" s="41" t="s">
        <v>1554</v>
      </c>
      <c r="C67" s="42">
        <f t="array" ref="C67">INDEX(SkillBoxes!A66:D642,MATCH(E67,SkillBoxes!A66:A642,0),2)</f>
        <v>3</v>
      </c>
      <c r="D67" s="42" t="str">
        <f t="array" ref="D67">INDEX(SkillBoxes!A66:D642,MATCH(E67,SkillBoxes!A66:A642,0),3)</f>
        <v>Harvest Cleric</v>
      </c>
      <c r="E67" s="42">
        <v>64.0</v>
      </c>
      <c r="F67" s="42" t="str">
        <f t="array" ref="F67">INDEX(SkillBoxes!A66:D642,MATCH(E67,SkillBoxes!A66:A642,0),4)</f>
        <v>Dark Magic II</v>
      </c>
      <c r="G67" s="41">
        <v>8.0</v>
      </c>
      <c r="H67" s="41" t="s">
        <v>160</v>
      </c>
      <c r="I67" s="41" t="s">
        <v>1498</v>
      </c>
      <c r="J67" s="41" t="s">
        <v>1480</v>
      </c>
      <c r="K67" s="41">
        <v>1.1</v>
      </c>
      <c r="L67" s="41" t="s">
        <v>410</v>
      </c>
      <c r="M67" s="41">
        <v>3.0</v>
      </c>
      <c r="N67" s="41">
        <v>0.1</v>
      </c>
      <c r="O67" s="41" t="s">
        <v>161</v>
      </c>
      <c r="P67" s="41" t="s">
        <v>1518</v>
      </c>
      <c r="Q67" s="42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</row>
    <row r="68">
      <c r="A68" s="41">
        <v>65.0</v>
      </c>
      <c r="B68" s="44" t="s">
        <v>1555</v>
      </c>
      <c r="C68" s="45">
        <f t="array" ref="C68">INDEX(SkillBoxes!A67:D643,MATCH(E68,SkillBoxes!A67:A643,0),2)</f>
        <v>3</v>
      </c>
      <c r="D68" s="45" t="str">
        <f t="array" ref="D68">INDEX(SkillBoxes!A67:D643,MATCH(E68,SkillBoxes!A67:A643,0),3)</f>
        <v>Harvest Cleric</v>
      </c>
      <c r="E68" s="45">
        <v>65.0</v>
      </c>
      <c r="F68" s="45" t="str">
        <f t="array" ref="F68">INDEX(SkillBoxes!A67:D643,MATCH(E68,SkillBoxes!A67:A643,0),4)</f>
        <v>Dark Magic III</v>
      </c>
      <c r="G68" s="44">
        <v>10.0</v>
      </c>
      <c r="H68" s="44" t="s">
        <v>160</v>
      </c>
      <c r="I68" s="44" t="s">
        <v>1498</v>
      </c>
      <c r="J68" s="44" t="s">
        <v>1480</v>
      </c>
      <c r="K68" s="44">
        <v>1.2</v>
      </c>
      <c r="L68" s="44" t="s">
        <v>1484</v>
      </c>
      <c r="M68" s="44">
        <v>2.0</v>
      </c>
      <c r="N68" s="44">
        <v>-2.0</v>
      </c>
      <c r="O68" s="44" t="s">
        <v>141</v>
      </c>
      <c r="P68" s="44" t="s">
        <v>1518</v>
      </c>
      <c r="Q68" s="45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</row>
    <row r="69">
      <c r="A69" s="44">
        <v>66.0</v>
      </c>
      <c r="B69" s="41" t="s">
        <v>1556</v>
      </c>
      <c r="C69" s="42">
        <f t="array" ref="C69">INDEX(SkillBoxes!A68:D644,MATCH(E69,SkillBoxes!A68:A644,0),2)</f>
        <v>3</v>
      </c>
      <c r="D69" s="42" t="str">
        <f t="array" ref="D69">INDEX(SkillBoxes!A68:D644,MATCH(E69,SkillBoxes!A68:A644,0),3)</f>
        <v>Harvest Cleric</v>
      </c>
      <c r="E69" s="42">
        <v>66.0</v>
      </c>
      <c r="F69" s="42" t="str">
        <f t="array" ref="F69">INDEX(SkillBoxes!A68:D644,MATCH(E69,SkillBoxes!A68:A644,0),4)</f>
        <v>Dark Magic IV</v>
      </c>
      <c r="G69" s="41">
        <v>14.0</v>
      </c>
      <c r="H69" s="41" t="s">
        <v>160</v>
      </c>
      <c r="I69" s="41" t="s">
        <v>1498</v>
      </c>
      <c r="J69" s="41" t="s">
        <v>1491</v>
      </c>
      <c r="K69" s="41">
        <v>0.8</v>
      </c>
      <c r="L69" s="41" t="s">
        <v>1484</v>
      </c>
      <c r="M69" s="41">
        <v>3.0</v>
      </c>
      <c r="N69" s="41">
        <v>-2.0</v>
      </c>
      <c r="O69" s="41" t="s">
        <v>141</v>
      </c>
      <c r="P69" s="41" t="s">
        <v>1518</v>
      </c>
      <c r="Q69" s="42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r="70">
      <c r="A70" s="41">
        <v>67.0</v>
      </c>
      <c r="B70" s="44" t="s">
        <v>322</v>
      </c>
      <c r="C70" s="45">
        <f t="array" ref="C70">INDEX(SkillBoxes!A69:D645,MATCH(E70,SkillBoxes!A69:A645,0),2)</f>
        <v>3</v>
      </c>
      <c r="D70" s="45" t="str">
        <f t="array" ref="D70">INDEX(SkillBoxes!A69:D645,MATCH(E70,SkillBoxes!A69:A645,0),3)</f>
        <v>Harvest Cleric</v>
      </c>
      <c r="E70" s="45">
        <v>67.0</v>
      </c>
      <c r="F70" s="45" t="str">
        <f t="array" ref="F70">INDEX(SkillBoxes!A69:D645,MATCH(E70,SkillBoxes!A69:A645,0),4)</f>
        <v>Breathing I</v>
      </c>
      <c r="G70" s="44">
        <v>4.0</v>
      </c>
      <c r="H70" s="44" t="s">
        <v>1557</v>
      </c>
      <c r="I70" s="44" t="s">
        <v>1498</v>
      </c>
      <c r="J70" s="44" t="s">
        <v>1495</v>
      </c>
      <c r="K70" s="44">
        <v>0.0</v>
      </c>
      <c r="L70" s="44" t="s">
        <v>1513</v>
      </c>
      <c r="M70" s="44">
        <v>2.0</v>
      </c>
      <c r="N70" s="44">
        <v>0.1</v>
      </c>
      <c r="O70" s="44" t="s">
        <v>125</v>
      </c>
      <c r="P70" s="45"/>
      <c r="Q70" s="45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</row>
    <row r="71">
      <c r="A71" s="44">
        <v>68.0</v>
      </c>
      <c r="B71" s="41" t="s">
        <v>325</v>
      </c>
      <c r="C71" s="42">
        <f t="array" ref="C71">INDEX(SkillBoxes!A70:D646,MATCH(E71,SkillBoxes!A70:A646,0),2)</f>
        <v>3</v>
      </c>
      <c r="D71" s="42" t="str">
        <f t="array" ref="D71">INDEX(SkillBoxes!A70:D646,MATCH(E71,SkillBoxes!A70:A646,0),3)</f>
        <v>Harvest Cleric</v>
      </c>
      <c r="E71" s="42">
        <v>68.0</v>
      </c>
      <c r="F71" s="42" t="str">
        <f t="array" ref="F71">INDEX(SkillBoxes!A70:D646,MATCH(E71,SkillBoxes!A70:A646,0),4)</f>
        <v>Breathing II</v>
      </c>
      <c r="G71" s="41">
        <v>6.0</v>
      </c>
      <c r="H71" s="41" t="s">
        <v>1557</v>
      </c>
      <c r="I71" s="41" t="s">
        <v>1498</v>
      </c>
      <c r="J71" s="41" t="s">
        <v>1495</v>
      </c>
      <c r="K71" s="41">
        <v>0.0</v>
      </c>
      <c r="L71" s="41" t="s">
        <v>1513</v>
      </c>
      <c r="M71" s="41">
        <v>3.0</v>
      </c>
      <c r="N71" s="41">
        <v>0.15</v>
      </c>
      <c r="O71" s="41" t="s">
        <v>125</v>
      </c>
      <c r="P71" s="42"/>
      <c r="Q71" s="42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>
      <c r="A72" s="41">
        <v>69.0</v>
      </c>
      <c r="B72" s="44" t="s">
        <v>1558</v>
      </c>
      <c r="C72" s="45">
        <f t="array" ref="C72">INDEX(SkillBoxes!A71:D647,MATCH(E72,SkillBoxes!A71:A647,0),2)</f>
        <v>3</v>
      </c>
      <c r="D72" s="45" t="str">
        <f t="array" ref="D72">INDEX(SkillBoxes!A71:D647,MATCH(E72,SkillBoxes!A71:A647,0),3)</f>
        <v>Harvest Cleric</v>
      </c>
      <c r="E72" s="45">
        <v>69.0</v>
      </c>
      <c r="F72" s="45" t="str">
        <f t="array" ref="F72">INDEX(SkillBoxes!A71:D647,MATCH(E72,SkillBoxes!A71:A647,0),4)</f>
        <v>Breathing III</v>
      </c>
      <c r="G72" s="44">
        <v>8.0</v>
      </c>
      <c r="H72" s="44" t="s">
        <v>160</v>
      </c>
      <c r="I72" s="44" t="s">
        <v>1498</v>
      </c>
      <c r="J72" s="44" t="s">
        <v>1543</v>
      </c>
      <c r="K72" s="44">
        <v>0.0</v>
      </c>
      <c r="L72" s="44" t="s">
        <v>1513</v>
      </c>
      <c r="M72" s="44">
        <v>2.0</v>
      </c>
      <c r="N72" s="44">
        <v>0.1</v>
      </c>
      <c r="O72" s="44" t="s">
        <v>125</v>
      </c>
      <c r="P72" s="45"/>
      <c r="Q72" s="45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  <row r="73">
      <c r="A73" s="41">
        <v>70.0</v>
      </c>
      <c r="B73" s="41" t="s">
        <v>1559</v>
      </c>
      <c r="C73" s="42">
        <f t="array" ref="C73">INDEX(SkillBoxes!A72:D648,MATCH(E73,SkillBoxes!A72:A648,0),2)</f>
        <v>3</v>
      </c>
      <c r="D73" s="42" t="str">
        <f t="array" ref="D73">INDEX(SkillBoxes!A72:D648,MATCH(E73,SkillBoxes!A72:A648,0),3)</f>
        <v>Harvest Cleric</v>
      </c>
      <c r="E73" s="42">
        <v>70.0</v>
      </c>
      <c r="F73" s="42" t="str">
        <f t="array" ref="F73">INDEX(SkillBoxes!A72:D648,MATCH(E73,SkillBoxes!A72:A648,0),4)</f>
        <v>Breathing IV</v>
      </c>
      <c r="G73" s="41">
        <v>10.0</v>
      </c>
      <c r="H73" s="41" t="s">
        <v>160</v>
      </c>
      <c r="I73" s="41" t="s">
        <v>1498</v>
      </c>
      <c r="J73" s="41" t="s">
        <v>1491</v>
      </c>
      <c r="K73" s="41">
        <v>0.0</v>
      </c>
      <c r="L73" s="41" t="s">
        <v>1513</v>
      </c>
      <c r="M73" s="41">
        <v>2.0</v>
      </c>
      <c r="N73" s="41">
        <v>0.1</v>
      </c>
      <c r="O73" s="41" t="s">
        <v>125</v>
      </c>
      <c r="P73" s="42"/>
      <c r="Q73" s="42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</row>
    <row r="74">
      <c r="A74" s="44">
        <v>71.0</v>
      </c>
      <c r="B74" s="44" t="s">
        <v>1560</v>
      </c>
      <c r="C74" s="45">
        <f t="array" ref="C74">INDEX(SkillBoxes!A73:D649,MATCH(E74,SkillBoxes!A73:A649,0),2)</f>
        <v>3</v>
      </c>
      <c r="D74" s="45" t="str">
        <f t="array" ref="D74">INDEX(SkillBoxes!A73:D649,MATCH(E74,SkillBoxes!A73:A649,0),3)</f>
        <v>Harvest Cleric</v>
      </c>
      <c r="E74" s="45">
        <v>71.0</v>
      </c>
      <c r="F74" s="45" t="str">
        <f t="array" ref="F74">INDEX(SkillBoxes!A73:D649,MATCH(E74,SkillBoxes!A73:A649,0),4)</f>
        <v>Master Harvest Cleric</v>
      </c>
      <c r="G74" s="44">
        <v>18.0</v>
      </c>
      <c r="H74" s="44" t="s">
        <v>160</v>
      </c>
      <c r="I74" s="44" t="s">
        <v>1498</v>
      </c>
      <c r="J74" s="44" t="s">
        <v>1491</v>
      </c>
      <c r="K74" s="44">
        <v>0.0</v>
      </c>
      <c r="L74" s="44" t="s">
        <v>1544</v>
      </c>
      <c r="M74" s="44">
        <v>1.0</v>
      </c>
      <c r="N74" s="44">
        <v>80.0</v>
      </c>
      <c r="O74" s="44" t="s">
        <v>141</v>
      </c>
      <c r="P74" s="45"/>
      <c r="Q74" s="45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r="75">
      <c r="A75" s="41">
        <v>72.0</v>
      </c>
      <c r="B75" s="41" t="s">
        <v>1561</v>
      </c>
      <c r="C75" s="42">
        <f t="array" ref="C75">INDEX(SkillBoxes!A74:D650,MATCH(E75,SkillBoxes!A74:A650,0),2)</f>
        <v>4</v>
      </c>
      <c r="D75" s="42" t="str">
        <f t="array" ref="D75">INDEX(SkillBoxes!A74:D650,MATCH(E75,SkillBoxes!A74:A650,0),3)</f>
        <v>Guard Knight</v>
      </c>
      <c r="E75" s="42">
        <v>72.0</v>
      </c>
      <c r="F75" s="42" t="str">
        <f t="array" ref="F75">INDEX(SkillBoxes!A74:D650,MATCH(E75,SkillBoxes!A74:A650,0),4)</f>
        <v>Novice Guard Knight</v>
      </c>
      <c r="G75" s="41">
        <v>6.0</v>
      </c>
      <c r="H75" s="41" t="s">
        <v>125</v>
      </c>
      <c r="I75" s="41" t="s">
        <v>1479</v>
      </c>
      <c r="J75" s="41" t="s">
        <v>1480</v>
      </c>
      <c r="K75" s="41">
        <v>1.0</v>
      </c>
      <c r="L75" s="41" t="s">
        <v>1489</v>
      </c>
      <c r="M75" s="41">
        <v>1.0</v>
      </c>
      <c r="N75" s="42"/>
      <c r="O75" s="42"/>
      <c r="P75" s="42"/>
      <c r="Q75" s="42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</row>
    <row r="76">
      <c r="A76" s="44">
        <v>73.0</v>
      </c>
      <c r="B76" s="44" t="s">
        <v>1562</v>
      </c>
      <c r="C76" s="45">
        <f t="array" ref="C76">INDEX(SkillBoxes!A75:D651,MATCH(E76,SkillBoxes!A75:A651,0),2)</f>
        <v>4</v>
      </c>
      <c r="D76" s="45" t="str">
        <f t="array" ref="D76">INDEX(SkillBoxes!A75:D651,MATCH(E76,SkillBoxes!A75:A651,0),3)</f>
        <v>Guard Knight</v>
      </c>
      <c r="E76" s="45">
        <v>73.0</v>
      </c>
      <c r="F76" s="45" t="str">
        <f t="array" ref="F76">INDEX(SkillBoxes!A75:D651,MATCH(E76,SkillBoxes!A75:A651,0),4)</f>
        <v>Defense Arts I</v>
      </c>
      <c r="G76" s="44">
        <v>5.0</v>
      </c>
      <c r="H76" s="44" t="s">
        <v>125</v>
      </c>
      <c r="I76" s="44" t="s">
        <v>1479</v>
      </c>
      <c r="J76" s="44" t="s">
        <v>1495</v>
      </c>
      <c r="K76" s="44">
        <v>0.0</v>
      </c>
      <c r="L76" s="44" t="s">
        <v>1513</v>
      </c>
      <c r="M76" s="44">
        <v>2.0</v>
      </c>
      <c r="N76" s="44">
        <v>0.1</v>
      </c>
      <c r="O76" s="44" t="s">
        <v>133</v>
      </c>
      <c r="P76" s="45"/>
      <c r="Q76" s="45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</row>
    <row r="77">
      <c r="A77" s="41">
        <v>74.0</v>
      </c>
      <c r="B77" s="41" t="s">
        <v>1563</v>
      </c>
      <c r="C77" s="42">
        <f t="array" ref="C77">INDEX(SkillBoxes!A76:D652,MATCH(E77,SkillBoxes!A76:A652,0),2)</f>
        <v>4</v>
      </c>
      <c r="D77" s="42" t="str">
        <f t="array" ref="D77">INDEX(SkillBoxes!A76:D652,MATCH(E77,SkillBoxes!A76:A652,0),3)</f>
        <v>Guard Knight</v>
      </c>
      <c r="E77" s="42">
        <v>74.0</v>
      </c>
      <c r="F77" s="42" t="str">
        <f t="array" ref="F77">INDEX(SkillBoxes!A76:D652,MATCH(E77,SkillBoxes!A76:A652,0),4)</f>
        <v>Defense Arts II</v>
      </c>
      <c r="G77" s="41">
        <v>7.0</v>
      </c>
      <c r="H77" s="41" t="s">
        <v>125</v>
      </c>
      <c r="I77" s="41" t="s">
        <v>1479</v>
      </c>
      <c r="J77" s="41" t="s">
        <v>1495</v>
      </c>
      <c r="K77" s="41">
        <v>0.0</v>
      </c>
      <c r="L77" s="41" t="s">
        <v>1513</v>
      </c>
      <c r="M77" s="41">
        <v>3.0</v>
      </c>
      <c r="N77" s="41">
        <v>0.15</v>
      </c>
      <c r="O77" s="41" t="s">
        <v>133</v>
      </c>
      <c r="P77" s="42"/>
      <c r="Q77" s="42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>
      <c r="A78" s="44">
        <v>75.0</v>
      </c>
      <c r="B78" s="44" t="s">
        <v>1564</v>
      </c>
      <c r="C78" s="45">
        <f t="array" ref="C78">INDEX(SkillBoxes!A77:D653,MATCH(E78,SkillBoxes!A77:A653,0),2)</f>
        <v>4</v>
      </c>
      <c r="D78" s="45" t="str">
        <f t="array" ref="D78">INDEX(SkillBoxes!A77:D653,MATCH(E78,SkillBoxes!A77:A653,0),3)</f>
        <v>Guard Knight</v>
      </c>
      <c r="E78" s="45">
        <v>75.0</v>
      </c>
      <c r="F78" s="45" t="str">
        <f t="array" ref="F78">INDEX(SkillBoxes!A77:D653,MATCH(E78,SkillBoxes!A77:A653,0),4)</f>
        <v>Defense Arts III</v>
      </c>
      <c r="G78" s="44">
        <v>9.0</v>
      </c>
      <c r="H78" s="44" t="s">
        <v>159</v>
      </c>
      <c r="I78" s="44" t="s">
        <v>1479</v>
      </c>
      <c r="J78" s="44" t="s">
        <v>1495</v>
      </c>
      <c r="K78" s="44">
        <v>0.0</v>
      </c>
      <c r="L78" s="44" t="s">
        <v>1513</v>
      </c>
      <c r="M78" s="44">
        <v>3.0</v>
      </c>
      <c r="N78" s="44">
        <v>0.2</v>
      </c>
      <c r="O78" s="44" t="s">
        <v>133</v>
      </c>
      <c r="P78" s="45"/>
      <c r="Q78" s="45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</row>
    <row r="79">
      <c r="A79" s="41">
        <v>76.0</v>
      </c>
      <c r="B79" s="41" t="s">
        <v>1565</v>
      </c>
      <c r="C79" s="42">
        <f t="array" ref="C79">INDEX(SkillBoxes!A78:D654,MATCH(E79,SkillBoxes!A78:A654,0),2)</f>
        <v>4</v>
      </c>
      <c r="D79" s="42" t="str">
        <f t="array" ref="D79">INDEX(SkillBoxes!A78:D654,MATCH(E79,SkillBoxes!A78:A654,0),3)</f>
        <v>Guard Knight</v>
      </c>
      <c r="E79" s="42">
        <v>76.0</v>
      </c>
      <c r="F79" s="42" t="str">
        <f t="array" ref="F79">INDEX(SkillBoxes!A78:D654,MATCH(E79,SkillBoxes!A78:A654,0),4)</f>
        <v>Defense Arts IV</v>
      </c>
      <c r="G79" s="41">
        <v>11.0</v>
      </c>
      <c r="H79" s="41" t="s">
        <v>159</v>
      </c>
      <c r="I79" s="41" t="s">
        <v>1479</v>
      </c>
      <c r="J79" s="41" t="s">
        <v>1495</v>
      </c>
      <c r="K79" s="41">
        <v>0.0</v>
      </c>
      <c r="L79" s="41" t="s">
        <v>1513</v>
      </c>
      <c r="M79" s="41">
        <v>4.0</v>
      </c>
      <c r="N79" s="41">
        <v>0.25</v>
      </c>
      <c r="O79" s="41" t="s">
        <v>133</v>
      </c>
      <c r="P79" s="42"/>
      <c r="Q79" s="42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</row>
    <row r="80">
      <c r="A80" s="41">
        <v>77.0</v>
      </c>
      <c r="B80" s="44" t="s">
        <v>1566</v>
      </c>
      <c r="C80" s="45">
        <f t="array" ref="C80">INDEX(SkillBoxes!A79:D655,MATCH(E80,SkillBoxes!A79:A655,0),2)</f>
        <v>4</v>
      </c>
      <c r="D80" s="45" t="str">
        <f t="array" ref="D80">INDEX(SkillBoxes!A79:D655,MATCH(E80,SkillBoxes!A79:A655,0),3)</f>
        <v>Guard Knight</v>
      </c>
      <c r="E80" s="45">
        <v>77.0</v>
      </c>
      <c r="F80" s="45" t="str">
        <f t="array" ref="F80">INDEX(SkillBoxes!A79:D655,MATCH(E80,SkillBoxes!A79:A655,0),4)</f>
        <v>Taunt I</v>
      </c>
      <c r="G80" s="44">
        <v>5.0</v>
      </c>
      <c r="H80" s="44" t="s">
        <v>125</v>
      </c>
      <c r="I80" s="44" t="s">
        <v>1479</v>
      </c>
      <c r="J80" s="44" t="s">
        <v>1491</v>
      </c>
      <c r="K80" s="44">
        <v>0.0</v>
      </c>
      <c r="L80" s="44" t="s">
        <v>1489</v>
      </c>
      <c r="M80" s="44">
        <v>1.0</v>
      </c>
      <c r="N80" s="45"/>
      <c r="O80" s="45"/>
      <c r="P80" s="45"/>
      <c r="Q80" s="45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</row>
    <row r="81">
      <c r="A81" s="44">
        <v>78.0</v>
      </c>
      <c r="B81" s="41" t="s">
        <v>1567</v>
      </c>
      <c r="C81" s="42">
        <f t="array" ref="C81">INDEX(SkillBoxes!A80:D656,MATCH(E81,SkillBoxes!A80:A656,0),2)</f>
        <v>4</v>
      </c>
      <c r="D81" s="42" t="str">
        <f t="array" ref="D81">INDEX(SkillBoxes!A80:D656,MATCH(E81,SkillBoxes!A80:A656,0),3)</f>
        <v>Guard Knight</v>
      </c>
      <c r="E81" s="42">
        <v>78.0</v>
      </c>
      <c r="F81" s="42" t="str">
        <f t="array" ref="F81">INDEX(SkillBoxes!A80:D656,MATCH(E81,SkillBoxes!A80:A656,0),4)</f>
        <v>Taunt II</v>
      </c>
      <c r="G81" s="41">
        <v>7.0</v>
      </c>
      <c r="H81" s="41" t="s">
        <v>125</v>
      </c>
      <c r="I81" s="41" t="s">
        <v>1479</v>
      </c>
      <c r="J81" s="41" t="s">
        <v>1491</v>
      </c>
      <c r="K81" s="41">
        <v>0.0</v>
      </c>
      <c r="L81" s="41" t="s">
        <v>1489</v>
      </c>
      <c r="M81" s="41">
        <v>2.0</v>
      </c>
      <c r="N81" s="42"/>
      <c r="O81" s="42"/>
      <c r="P81" s="42"/>
      <c r="Q81" s="42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r="82">
      <c r="A82" s="41">
        <v>79.0</v>
      </c>
      <c r="B82" s="44" t="s">
        <v>1568</v>
      </c>
      <c r="C82" s="45">
        <f t="array" ref="C82">INDEX(SkillBoxes!A81:D657,MATCH(E82,SkillBoxes!A81:A657,0),2)</f>
        <v>4</v>
      </c>
      <c r="D82" s="45" t="str">
        <f t="array" ref="D82">INDEX(SkillBoxes!A81:D657,MATCH(E82,SkillBoxes!A81:A657,0),3)</f>
        <v>Guard Knight</v>
      </c>
      <c r="E82" s="45">
        <v>79.0</v>
      </c>
      <c r="F82" s="45" t="str">
        <f t="array" ref="F82">INDEX(SkillBoxes!A81:D657,MATCH(E82,SkillBoxes!A81:A657,0),4)</f>
        <v>Taunt III</v>
      </c>
      <c r="G82" s="44">
        <v>9.0</v>
      </c>
      <c r="H82" s="44" t="s">
        <v>159</v>
      </c>
      <c r="I82" s="44" t="s">
        <v>1479</v>
      </c>
      <c r="J82" s="44" t="s">
        <v>1491</v>
      </c>
      <c r="K82" s="44">
        <v>0.5</v>
      </c>
      <c r="L82" s="44" t="s">
        <v>410</v>
      </c>
      <c r="M82" s="44">
        <v>2.0</v>
      </c>
      <c r="N82" s="44">
        <v>0.05</v>
      </c>
      <c r="O82" s="44" t="s">
        <v>126</v>
      </c>
      <c r="P82" s="45"/>
      <c r="Q82" s="45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r="83">
      <c r="A83" s="44">
        <v>80.0</v>
      </c>
      <c r="B83" s="41" t="s">
        <v>1569</v>
      </c>
      <c r="C83" s="42">
        <f t="array" ref="C83">INDEX(SkillBoxes!A82:D658,MATCH(E83,SkillBoxes!A82:A658,0),2)</f>
        <v>4</v>
      </c>
      <c r="D83" s="42" t="str">
        <f t="array" ref="D83">INDEX(SkillBoxes!A82:D658,MATCH(E83,SkillBoxes!A82:A658,0),3)</f>
        <v>Guard Knight</v>
      </c>
      <c r="E83" s="42">
        <v>80.0</v>
      </c>
      <c r="F83" s="42" t="str">
        <f t="array" ref="F83">INDEX(SkillBoxes!A82:D658,MATCH(E83,SkillBoxes!A82:A658,0),4)</f>
        <v>Taunt IV</v>
      </c>
      <c r="G83" s="41">
        <v>11.0</v>
      </c>
      <c r="H83" s="41" t="s">
        <v>159</v>
      </c>
      <c r="I83" s="41" t="s">
        <v>1479</v>
      </c>
      <c r="J83" s="41" t="s">
        <v>1491</v>
      </c>
      <c r="K83" s="41">
        <v>0.6</v>
      </c>
      <c r="L83" s="41" t="s">
        <v>410</v>
      </c>
      <c r="M83" s="41">
        <v>3.0</v>
      </c>
      <c r="N83" s="41">
        <v>0.1</v>
      </c>
      <c r="O83" s="41" t="s">
        <v>126</v>
      </c>
      <c r="P83" s="42"/>
      <c r="Q83" s="42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</row>
    <row r="84">
      <c r="A84" s="41">
        <v>81.0</v>
      </c>
      <c r="B84" s="44" t="s">
        <v>1570</v>
      </c>
      <c r="C84" s="45">
        <f t="array" ref="C84">INDEX(SkillBoxes!A83:D659,MATCH(E84,SkillBoxes!A83:A659,0),2)</f>
        <v>4</v>
      </c>
      <c r="D84" s="45" t="str">
        <f t="array" ref="D84">INDEX(SkillBoxes!A83:D659,MATCH(E84,SkillBoxes!A83:A659,0),3)</f>
        <v>Guard Knight</v>
      </c>
      <c r="E84" s="45">
        <v>81.0</v>
      </c>
      <c r="F84" s="45" t="str">
        <f t="array" ref="F84">INDEX(SkillBoxes!A83:D659,MATCH(E84,SkillBoxes!A83:A659,0),4)</f>
        <v>Lunge I</v>
      </c>
      <c r="G84" s="44">
        <v>6.0</v>
      </c>
      <c r="H84" s="44" t="s">
        <v>125</v>
      </c>
      <c r="I84" s="44" t="s">
        <v>1479</v>
      </c>
      <c r="J84" s="44" t="s">
        <v>1480</v>
      </c>
      <c r="K84" s="44">
        <v>1.2</v>
      </c>
      <c r="L84" s="45"/>
      <c r="M84" s="45"/>
      <c r="N84" s="45"/>
      <c r="O84" s="45"/>
      <c r="P84" s="45"/>
      <c r="Q84" s="45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</row>
    <row r="85">
      <c r="A85" s="44">
        <v>82.0</v>
      </c>
      <c r="B85" s="41" t="s">
        <v>1571</v>
      </c>
      <c r="C85" s="42">
        <f t="array" ref="C85">INDEX(SkillBoxes!A84:D660,MATCH(E85,SkillBoxes!A84:A660,0),2)</f>
        <v>4</v>
      </c>
      <c r="D85" s="42" t="str">
        <f t="array" ref="D85">INDEX(SkillBoxes!A84:D660,MATCH(E85,SkillBoxes!A84:A660,0),3)</f>
        <v>Guard Knight</v>
      </c>
      <c r="E85" s="42">
        <v>82.0</v>
      </c>
      <c r="F85" s="42" t="str">
        <f t="array" ref="F85">INDEX(SkillBoxes!A84:D660,MATCH(E85,SkillBoxes!A84:A660,0),4)</f>
        <v>Lunge II</v>
      </c>
      <c r="G85" s="41">
        <v>8.0</v>
      </c>
      <c r="H85" s="41" t="s">
        <v>125</v>
      </c>
      <c r="I85" s="41" t="s">
        <v>1479</v>
      </c>
      <c r="J85" s="41" t="s">
        <v>1480</v>
      </c>
      <c r="K85" s="41">
        <v>1.4</v>
      </c>
      <c r="L85" s="42"/>
      <c r="M85" s="42"/>
      <c r="N85" s="42"/>
      <c r="O85" s="42"/>
      <c r="P85" s="42"/>
      <c r="Q85" s="42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r="86">
      <c r="A86" s="41">
        <v>83.0</v>
      </c>
      <c r="B86" s="44" t="s">
        <v>1572</v>
      </c>
      <c r="C86" s="45">
        <f t="array" ref="C86">INDEX(SkillBoxes!A85:D661,MATCH(E86,SkillBoxes!A85:A661,0),2)</f>
        <v>4</v>
      </c>
      <c r="D86" s="45" t="str">
        <f t="array" ref="D86">INDEX(SkillBoxes!A85:D661,MATCH(E86,SkillBoxes!A85:A661,0),3)</f>
        <v>Guard Knight</v>
      </c>
      <c r="E86" s="45">
        <v>83.0</v>
      </c>
      <c r="F86" s="45" t="str">
        <f t="array" ref="F86">INDEX(SkillBoxes!A85:D661,MATCH(E86,SkillBoxes!A85:A661,0),4)</f>
        <v>Lunge III</v>
      </c>
      <c r="G86" s="44">
        <v>10.0</v>
      </c>
      <c r="H86" s="44" t="s">
        <v>125</v>
      </c>
      <c r="I86" s="44" t="s">
        <v>1479</v>
      </c>
      <c r="J86" s="44" t="s">
        <v>1480</v>
      </c>
      <c r="K86" s="44">
        <v>1.5</v>
      </c>
      <c r="L86" s="44" t="s">
        <v>1484</v>
      </c>
      <c r="M86" s="44">
        <v>2.0</v>
      </c>
      <c r="N86" s="44">
        <v>-2.0</v>
      </c>
      <c r="O86" s="44" t="s">
        <v>141</v>
      </c>
      <c r="P86" s="45"/>
      <c r="Q86" s="45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</row>
    <row r="87">
      <c r="A87" s="41">
        <v>84.0</v>
      </c>
      <c r="B87" s="41" t="s">
        <v>1573</v>
      </c>
      <c r="C87" s="42">
        <f t="array" ref="C87">INDEX(SkillBoxes!A86:D662,MATCH(E87,SkillBoxes!A86:A662,0),2)</f>
        <v>4</v>
      </c>
      <c r="D87" s="42" t="str">
        <f t="array" ref="D87">INDEX(SkillBoxes!A86:D662,MATCH(E87,SkillBoxes!A86:A662,0),3)</f>
        <v>Guard Knight</v>
      </c>
      <c r="E87" s="42">
        <v>84.0</v>
      </c>
      <c r="F87" s="42" t="str">
        <f t="array" ref="F87">INDEX(SkillBoxes!A86:D662,MATCH(E87,SkillBoxes!A86:A662,0),4)</f>
        <v>Lunge IV</v>
      </c>
      <c r="G87" s="41">
        <v>12.0</v>
      </c>
      <c r="H87" s="41" t="s">
        <v>159</v>
      </c>
      <c r="I87" s="41" t="s">
        <v>1479</v>
      </c>
      <c r="J87" s="41" t="s">
        <v>1480</v>
      </c>
      <c r="K87" s="41">
        <v>1.6</v>
      </c>
      <c r="L87" s="41" t="s">
        <v>1489</v>
      </c>
      <c r="M87" s="41">
        <v>2.0</v>
      </c>
      <c r="N87" s="42"/>
      <c r="O87" s="42"/>
      <c r="P87" s="42"/>
      <c r="Q87" s="42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</row>
    <row r="88">
      <c r="A88" s="44">
        <v>85.0</v>
      </c>
      <c r="B88" s="44" t="s">
        <v>1574</v>
      </c>
      <c r="C88" s="45">
        <f t="array" ref="C88">INDEX(SkillBoxes!A87:D663,MATCH(E88,SkillBoxes!A87:A663,0),2)</f>
        <v>4</v>
      </c>
      <c r="D88" s="45" t="str">
        <f t="array" ref="D88">INDEX(SkillBoxes!A87:D663,MATCH(E88,SkillBoxes!A87:A663,0),3)</f>
        <v>Guard Knight</v>
      </c>
      <c r="E88" s="45">
        <v>85.0</v>
      </c>
      <c r="F88" s="45" t="str">
        <f t="array" ref="F88">INDEX(SkillBoxes!A87:D663,MATCH(E88,SkillBoxes!A87:A663,0),4)</f>
        <v>Defense Techniques I</v>
      </c>
      <c r="G88" s="44">
        <v>5.0</v>
      </c>
      <c r="H88" s="44" t="s">
        <v>125</v>
      </c>
      <c r="I88" s="44" t="s">
        <v>1479</v>
      </c>
      <c r="J88" s="44" t="s">
        <v>1495</v>
      </c>
      <c r="K88" s="44">
        <v>0.0</v>
      </c>
      <c r="L88" s="44" t="s">
        <v>1496</v>
      </c>
      <c r="M88" s="44">
        <v>2.0</v>
      </c>
      <c r="N88" s="45"/>
      <c r="O88" s="45"/>
      <c r="P88" s="45"/>
      <c r="Q88" s="45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r="89">
      <c r="A89" s="41">
        <v>86.0</v>
      </c>
      <c r="B89" s="41" t="s">
        <v>1575</v>
      </c>
      <c r="C89" s="42">
        <f t="array" ref="C89">INDEX(SkillBoxes!A88:D664,MATCH(E89,SkillBoxes!A88:A664,0),2)</f>
        <v>4</v>
      </c>
      <c r="D89" s="42" t="str">
        <f t="array" ref="D89">INDEX(SkillBoxes!A88:D664,MATCH(E89,SkillBoxes!A88:A664,0),3)</f>
        <v>Guard Knight</v>
      </c>
      <c r="E89" s="42">
        <v>86.0</v>
      </c>
      <c r="F89" s="42" t="str">
        <f t="array" ref="F89">INDEX(SkillBoxes!A88:D664,MATCH(E89,SkillBoxes!A88:A664,0),4)</f>
        <v>Defense Techniques II</v>
      </c>
      <c r="G89" s="41">
        <v>7.0</v>
      </c>
      <c r="H89" s="41" t="s">
        <v>125</v>
      </c>
      <c r="I89" s="41" t="s">
        <v>1479</v>
      </c>
      <c r="J89" s="41" t="s">
        <v>1495</v>
      </c>
      <c r="K89" s="41">
        <v>0.0</v>
      </c>
      <c r="L89" s="41" t="s">
        <v>1496</v>
      </c>
      <c r="M89" s="41">
        <v>3.0</v>
      </c>
      <c r="N89" s="42"/>
      <c r="O89" s="42"/>
      <c r="P89" s="42"/>
      <c r="Q89" s="42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</row>
    <row r="90">
      <c r="A90" s="44">
        <v>87.0</v>
      </c>
      <c r="B90" s="44" t="s">
        <v>1576</v>
      </c>
      <c r="C90" s="45">
        <f t="array" ref="C90">INDEX(SkillBoxes!A89:D665,MATCH(E90,SkillBoxes!A89:A665,0),2)</f>
        <v>4</v>
      </c>
      <c r="D90" s="45" t="str">
        <f t="array" ref="D90">INDEX(SkillBoxes!A89:D665,MATCH(E90,SkillBoxes!A89:A665,0),3)</f>
        <v>Guard Knight</v>
      </c>
      <c r="E90" s="45">
        <v>87.0</v>
      </c>
      <c r="F90" s="45" t="str">
        <f t="array" ref="F90">INDEX(SkillBoxes!A89:D665,MATCH(E90,SkillBoxes!A89:A665,0),4)</f>
        <v>Defense Techniques III</v>
      </c>
      <c r="G90" s="44">
        <v>9.0</v>
      </c>
      <c r="H90" s="44" t="s">
        <v>159</v>
      </c>
      <c r="I90" s="44" t="s">
        <v>1479</v>
      </c>
      <c r="J90" s="44" t="s">
        <v>1480</v>
      </c>
      <c r="K90" s="44">
        <v>1.1</v>
      </c>
      <c r="L90" s="44" t="s">
        <v>1489</v>
      </c>
      <c r="M90" s="44">
        <v>1.0</v>
      </c>
      <c r="N90" s="45"/>
      <c r="O90" s="45"/>
      <c r="P90" s="45"/>
      <c r="Q90" s="45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</row>
    <row r="91">
      <c r="A91" s="41">
        <v>88.0</v>
      </c>
      <c r="B91" s="41" t="s">
        <v>1577</v>
      </c>
      <c r="C91" s="42">
        <f t="array" ref="C91">INDEX(SkillBoxes!A90:D666,MATCH(E91,SkillBoxes!A90:A666,0),2)</f>
        <v>4</v>
      </c>
      <c r="D91" s="42" t="str">
        <f t="array" ref="D91">INDEX(SkillBoxes!A90:D666,MATCH(E91,SkillBoxes!A90:A666,0),3)</f>
        <v>Guard Knight</v>
      </c>
      <c r="E91" s="42">
        <v>88.0</v>
      </c>
      <c r="F91" s="42" t="str">
        <f t="array" ref="F91">INDEX(SkillBoxes!A90:D666,MATCH(E91,SkillBoxes!A90:A666,0),4)</f>
        <v>Defense Techniques IV</v>
      </c>
      <c r="G91" s="41">
        <v>11.0</v>
      </c>
      <c r="H91" s="41" t="s">
        <v>159</v>
      </c>
      <c r="I91" s="41" t="s">
        <v>1479</v>
      </c>
      <c r="J91" s="41" t="s">
        <v>1480</v>
      </c>
      <c r="K91" s="41">
        <v>1.3</v>
      </c>
      <c r="L91" s="41" t="s">
        <v>1489</v>
      </c>
      <c r="M91" s="41">
        <v>2.0</v>
      </c>
      <c r="N91" s="42"/>
      <c r="O91" s="42"/>
      <c r="P91" s="42"/>
      <c r="Q91" s="42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>
      <c r="A92" s="44">
        <v>89.0</v>
      </c>
      <c r="B92" s="44" t="s">
        <v>1578</v>
      </c>
      <c r="C92" s="45">
        <f t="array" ref="C92">INDEX(SkillBoxes!A91:D667,MATCH(E92,SkillBoxes!A91:A667,0),2)</f>
        <v>4</v>
      </c>
      <c r="D92" s="45" t="str">
        <f t="array" ref="D92">INDEX(SkillBoxes!A91:D667,MATCH(E92,SkillBoxes!A91:A667,0),3)</f>
        <v>Guard Knight</v>
      </c>
      <c r="E92" s="45">
        <v>89.0</v>
      </c>
      <c r="F92" s="45" t="str">
        <f t="array" ref="F92">INDEX(SkillBoxes!A91:D667,MATCH(E92,SkillBoxes!A91:A667,0),4)</f>
        <v>Master Guard Knight</v>
      </c>
      <c r="G92" s="44">
        <v>16.0</v>
      </c>
      <c r="H92" s="44" t="s">
        <v>159</v>
      </c>
      <c r="I92" s="44" t="s">
        <v>1479</v>
      </c>
      <c r="J92" s="44" t="s">
        <v>1491</v>
      </c>
      <c r="K92" s="44">
        <v>0.9</v>
      </c>
      <c r="L92" s="44" t="s">
        <v>410</v>
      </c>
      <c r="M92" s="44">
        <v>3.0</v>
      </c>
      <c r="N92" s="44">
        <v>0.15</v>
      </c>
      <c r="O92" s="44" t="s">
        <v>133</v>
      </c>
      <c r="P92" s="45"/>
      <c r="Q92" s="45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r="93">
      <c r="A93" s="41">
        <v>90.0</v>
      </c>
      <c r="B93" s="41" t="s">
        <v>1579</v>
      </c>
      <c r="C93" s="42">
        <f t="array" ref="C93">INDEX(SkillBoxes!A92:D668,MATCH(E93,SkillBoxes!A92:A668,0),2)</f>
        <v>5</v>
      </c>
      <c r="D93" s="42" t="str">
        <f t="array" ref="D93">INDEX(SkillBoxes!A92:D668,MATCH(E93,SkillBoxes!A92:A668,0),3)</f>
        <v>Branded Barbarian</v>
      </c>
      <c r="E93" s="42">
        <v>90.0</v>
      </c>
      <c r="F93" s="42" t="str">
        <f t="array" ref="F93">INDEX(SkillBoxes!A92:D668,MATCH(E93,SkillBoxes!A92:A668,0),4)</f>
        <v>Novice Branded Barbarian</v>
      </c>
      <c r="G93" s="41">
        <v>6.0</v>
      </c>
      <c r="H93" s="41" t="s">
        <v>125</v>
      </c>
      <c r="I93" s="41" t="s">
        <v>1479</v>
      </c>
      <c r="J93" s="41" t="s">
        <v>1480</v>
      </c>
      <c r="K93" s="41">
        <v>1.1</v>
      </c>
      <c r="L93" s="42"/>
      <c r="M93" s="42"/>
      <c r="N93" s="42"/>
      <c r="O93" s="42"/>
      <c r="P93" s="42"/>
      <c r="Q93" s="42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</row>
    <row r="94">
      <c r="A94" s="41">
        <v>91.0</v>
      </c>
      <c r="B94" s="44" t="s">
        <v>1580</v>
      </c>
      <c r="C94" s="45">
        <f t="array" ref="C94">INDEX(SkillBoxes!A93:D669,MATCH(E94,SkillBoxes!A93:A669,0),2)</f>
        <v>5</v>
      </c>
      <c r="D94" s="45" t="str">
        <f t="array" ref="D94">INDEX(SkillBoxes!A93:D669,MATCH(E94,SkillBoxes!A93:A669,0),3)</f>
        <v>Branded Barbarian</v>
      </c>
      <c r="E94" s="45">
        <v>91.0</v>
      </c>
      <c r="F94" s="45" t="str">
        <f t="array" ref="F94">INDEX(SkillBoxes!A93:D669,MATCH(E94,SkillBoxes!A93:A669,0),4)</f>
        <v>2H Mastery I</v>
      </c>
      <c r="G94" s="44">
        <v>6.0</v>
      </c>
      <c r="H94" s="44" t="s">
        <v>125</v>
      </c>
      <c r="I94" s="44" t="s">
        <v>1479</v>
      </c>
      <c r="J94" s="44" t="s">
        <v>1480</v>
      </c>
      <c r="K94" s="44">
        <v>1.2</v>
      </c>
      <c r="L94" s="45"/>
      <c r="M94" s="45"/>
      <c r="N94" s="45"/>
      <c r="O94" s="45"/>
      <c r="P94" s="45"/>
      <c r="Q94" s="45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>
      <c r="A95" s="44">
        <v>92.0</v>
      </c>
      <c r="B95" s="41" t="s">
        <v>1581</v>
      </c>
      <c r="C95" s="42">
        <f t="array" ref="C95">INDEX(SkillBoxes!A94:D670,MATCH(E95,SkillBoxes!A94:A670,0),2)</f>
        <v>5</v>
      </c>
      <c r="D95" s="42" t="str">
        <f t="array" ref="D95">INDEX(SkillBoxes!A94:D670,MATCH(E95,SkillBoxes!A94:A670,0),3)</f>
        <v>Branded Barbarian</v>
      </c>
      <c r="E95" s="42">
        <v>92.0</v>
      </c>
      <c r="F95" s="42" t="str">
        <f t="array" ref="F95">INDEX(SkillBoxes!A94:D670,MATCH(E95,SkillBoxes!A94:A670,0),4)</f>
        <v>2H Mastery II</v>
      </c>
      <c r="G95" s="41">
        <v>8.0</v>
      </c>
      <c r="H95" s="41" t="s">
        <v>125</v>
      </c>
      <c r="I95" s="41" t="s">
        <v>1479</v>
      </c>
      <c r="J95" s="41" t="s">
        <v>1480</v>
      </c>
      <c r="K95" s="41">
        <v>1.35</v>
      </c>
      <c r="L95" s="42"/>
      <c r="M95" s="42"/>
      <c r="N95" s="42"/>
      <c r="O95" s="42"/>
      <c r="P95" s="42"/>
      <c r="Q95" s="42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r="96">
      <c r="A96" s="41">
        <v>93.0</v>
      </c>
      <c r="B96" s="44" t="s">
        <v>1582</v>
      </c>
      <c r="C96" s="45">
        <f t="array" ref="C96">INDEX(SkillBoxes!A95:D671,MATCH(E96,SkillBoxes!A95:A671,0),2)</f>
        <v>5</v>
      </c>
      <c r="D96" s="45" t="str">
        <f t="array" ref="D96">INDEX(SkillBoxes!A95:D671,MATCH(E96,SkillBoxes!A95:A671,0),3)</f>
        <v>Branded Barbarian</v>
      </c>
      <c r="E96" s="45">
        <v>93.0</v>
      </c>
      <c r="F96" s="45" t="str">
        <f t="array" ref="F96">INDEX(SkillBoxes!A95:D671,MATCH(E96,SkillBoxes!A95:A671,0),4)</f>
        <v>2H Mastery III</v>
      </c>
      <c r="G96" s="44">
        <v>10.0</v>
      </c>
      <c r="H96" s="44" t="s">
        <v>125</v>
      </c>
      <c r="I96" s="44" t="s">
        <v>1479</v>
      </c>
      <c r="J96" s="44" t="s">
        <v>1480</v>
      </c>
      <c r="K96" s="44">
        <v>1.5</v>
      </c>
      <c r="L96" s="44" t="s">
        <v>1489</v>
      </c>
      <c r="M96" s="44">
        <v>1.0</v>
      </c>
      <c r="N96" s="45"/>
      <c r="O96" s="45"/>
      <c r="P96" s="45"/>
      <c r="Q96" s="45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</row>
    <row r="97">
      <c r="A97" s="44">
        <v>94.0</v>
      </c>
      <c r="B97" s="41" t="s">
        <v>1583</v>
      </c>
      <c r="C97" s="42">
        <f t="array" ref="C97">INDEX(SkillBoxes!A96:D672,MATCH(E97,SkillBoxes!A96:A672,0),2)</f>
        <v>5</v>
      </c>
      <c r="D97" s="42" t="str">
        <f t="array" ref="D97">INDEX(SkillBoxes!A96:D672,MATCH(E97,SkillBoxes!A96:A672,0),3)</f>
        <v>Branded Barbarian</v>
      </c>
      <c r="E97" s="42">
        <v>94.0</v>
      </c>
      <c r="F97" s="42" t="str">
        <f t="array" ref="F97">INDEX(SkillBoxes!A96:D672,MATCH(E97,SkillBoxes!A96:A672,0),4)</f>
        <v>2H Mastery IV</v>
      </c>
      <c r="G97" s="41">
        <v>12.0</v>
      </c>
      <c r="H97" s="41" t="s">
        <v>125</v>
      </c>
      <c r="I97" s="41" t="s">
        <v>1479</v>
      </c>
      <c r="J97" s="41" t="s">
        <v>1480</v>
      </c>
      <c r="K97" s="41">
        <v>1.7</v>
      </c>
      <c r="L97" s="41" t="s">
        <v>1489</v>
      </c>
      <c r="M97" s="41">
        <v>2.0</v>
      </c>
      <c r="N97" s="42"/>
      <c r="O97" s="42"/>
      <c r="P97" s="42"/>
      <c r="Q97" s="42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</row>
    <row r="98">
      <c r="A98" s="41">
        <v>95.0</v>
      </c>
      <c r="B98" s="44" t="s">
        <v>1584</v>
      </c>
      <c r="C98" s="45">
        <f t="array" ref="C98">INDEX(SkillBoxes!A97:D673,MATCH(E98,SkillBoxes!A97:A673,0),2)</f>
        <v>5</v>
      </c>
      <c r="D98" s="45" t="str">
        <f t="array" ref="D98">INDEX(SkillBoxes!A97:D673,MATCH(E98,SkillBoxes!A97:A673,0),3)</f>
        <v>Branded Barbarian</v>
      </c>
      <c r="E98" s="45">
        <v>95.0</v>
      </c>
      <c r="F98" s="45" t="str">
        <f t="array" ref="F98">INDEX(SkillBoxes!A97:D673,MATCH(E98,SkillBoxes!A97:A673,0),4)</f>
        <v>Fury I</v>
      </c>
      <c r="G98" s="44">
        <v>6.0</v>
      </c>
      <c r="H98" s="44" t="s">
        <v>125</v>
      </c>
      <c r="I98" s="44" t="s">
        <v>1479</v>
      </c>
      <c r="J98" s="44" t="s">
        <v>1480</v>
      </c>
      <c r="K98" s="44">
        <v>1.1</v>
      </c>
      <c r="L98" s="44" t="s">
        <v>1513</v>
      </c>
      <c r="M98" s="44">
        <v>1.0</v>
      </c>
      <c r="N98" s="44">
        <v>0.1</v>
      </c>
      <c r="O98" s="44" t="s">
        <v>129</v>
      </c>
      <c r="P98" s="45"/>
      <c r="Q98" s="45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</row>
    <row r="99">
      <c r="A99" s="44">
        <v>96.0</v>
      </c>
      <c r="B99" s="41" t="s">
        <v>1585</v>
      </c>
      <c r="C99" s="42">
        <f t="array" ref="C99">INDEX(SkillBoxes!A98:D674,MATCH(E99,SkillBoxes!A98:A674,0),2)</f>
        <v>5</v>
      </c>
      <c r="D99" s="42" t="str">
        <f t="array" ref="D99">INDEX(SkillBoxes!A98:D674,MATCH(E99,SkillBoxes!A98:A674,0),3)</f>
        <v>Branded Barbarian</v>
      </c>
      <c r="E99" s="42">
        <v>96.0</v>
      </c>
      <c r="F99" s="42" t="str">
        <f t="array" ref="F99">INDEX(SkillBoxes!A98:D674,MATCH(E99,SkillBoxes!A98:A674,0),4)</f>
        <v>Fury II</v>
      </c>
      <c r="G99" s="41">
        <v>8.0</v>
      </c>
      <c r="H99" s="41" t="s">
        <v>125</v>
      </c>
      <c r="I99" s="41" t="s">
        <v>1479</v>
      </c>
      <c r="J99" s="41" t="s">
        <v>1480</v>
      </c>
      <c r="K99" s="41">
        <v>1.2</v>
      </c>
      <c r="L99" s="41" t="s">
        <v>1513</v>
      </c>
      <c r="M99" s="41">
        <v>2.0</v>
      </c>
      <c r="N99" s="41">
        <v>0.1</v>
      </c>
      <c r="O99" s="41" t="s">
        <v>129</v>
      </c>
      <c r="P99" s="42"/>
      <c r="Q99" s="42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</row>
    <row r="100">
      <c r="A100" s="41">
        <v>97.0</v>
      </c>
      <c r="B100" s="44" t="s">
        <v>1586</v>
      </c>
      <c r="C100" s="45">
        <f t="array" ref="C100">INDEX(SkillBoxes!A99:D675,MATCH(E100,SkillBoxes!A99:A675,0),2)</f>
        <v>5</v>
      </c>
      <c r="D100" s="45" t="str">
        <f t="array" ref="D100">INDEX(SkillBoxes!A99:D675,MATCH(E100,SkillBoxes!A99:A675,0),3)</f>
        <v>Branded Barbarian</v>
      </c>
      <c r="E100" s="45">
        <v>97.0</v>
      </c>
      <c r="F100" s="45" t="str">
        <f t="array" ref="F100">INDEX(SkillBoxes!A99:D675,MATCH(E100,SkillBoxes!A99:A675,0),4)</f>
        <v>Fury III</v>
      </c>
      <c r="G100" s="44">
        <v>10.0</v>
      </c>
      <c r="H100" s="44" t="s">
        <v>159</v>
      </c>
      <c r="I100" s="44" t="s">
        <v>1479</v>
      </c>
      <c r="J100" s="44" t="s">
        <v>1495</v>
      </c>
      <c r="K100" s="44">
        <v>0.0</v>
      </c>
      <c r="L100" s="44" t="s">
        <v>1513</v>
      </c>
      <c r="M100" s="44">
        <v>3.0</v>
      </c>
      <c r="N100" s="44">
        <v>0.2</v>
      </c>
      <c r="O100" s="44" t="s">
        <v>129</v>
      </c>
      <c r="P100" s="45"/>
      <c r="Q100" s="45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</row>
    <row r="101">
      <c r="A101" s="41">
        <v>98.0</v>
      </c>
      <c r="B101" s="41" t="s">
        <v>1587</v>
      </c>
      <c r="C101" s="42">
        <f t="array" ref="C101">INDEX(SkillBoxes!A100:D676,MATCH(E101,SkillBoxes!A100:A676,0),2)</f>
        <v>5</v>
      </c>
      <c r="D101" s="42" t="str">
        <f t="array" ref="D101">INDEX(SkillBoxes!A100:D676,MATCH(E101,SkillBoxes!A100:A676,0),3)</f>
        <v>Branded Barbarian</v>
      </c>
      <c r="E101" s="42">
        <v>98.0</v>
      </c>
      <c r="F101" s="42" t="str">
        <f t="array" ref="F101">INDEX(SkillBoxes!A100:D676,MATCH(E101,SkillBoxes!A100:A676,0),4)</f>
        <v>Fury IV</v>
      </c>
      <c r="G101" s="41">
        <v>12.0</v>
      </c>
      <c r="H101" s="41" t="s">
        <v>159</v>
      </c>
      <c r="I101" s="41" t="s">
        <v>1479</v>
      </c>
      <c r="J101" s="41" t="s">
        <v>1491</v>
      </c>
      <c r="K101" s="41">
        <v>1.0</v>
      </c>
      <c r="L101" s="41" t="s">
        <v>1484</v>
      </c>
      <c r="M101" s="41">
        <v>2.0</v>
      </c>
      <c r="N101" s="41">
        <v>-2.0</v>
      </c>
      <c r="O101" s="41" t="s">
        <v>141</v>
      </c>
      <c r="P101" s="42"/>
      <c r="Q101" s="42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</row>
    <row r="102">
      <c r="A102" s="44">
        <v>99.0</v>
      </c>
      <c r="B102" s="44" t="s">
        <v>1588</v>
      </c>
      <c r="C102" s="45">
        <f t="array" ref="C102">INDEX(SkillBoxes!A101:D677,MATCH(E102,SkillBoxes!A101:A677,0),2)</f>
        <v>5</v>
      </c>
      <c r="D102" s="45" t="str">
        <f t="array" ref="D102">INDEX(SkillBoxes!A101:D677,MATCH(E102,SkillBoxes!A101:A677,0),3)</f>
        <v>Branded Barbarian</v>
      </c>
      <c r="E102" s="45">
        <v>99.0</v>
      </c>
      <c r="F102" s="45" t="str">
        <f t="array" ref="F102">INDEX(SkillBoxes!A101:D677,MATCH(E102,SkillBoxes!A101:A677,0),4)</f>
        <v>Ferocious Strike I</v>
      </c>
      <c r="G102" s="44">
        <v>6.0</v>
      </c>
      <c r="H102" s="44" t="s">
        <v>125</v>
      </c>
      <c r="I102" s="44" t="s">
        <v>1479</v>
      </c>
      <c r="J102" s="44" t="s">
        <v>1480</v>
      </c>
      <c r="K102" s="44">
        <v>1.3</v>
      </c>
      <c r="L102" s="45"/>
      <c r="M102" s="45"/>
      <c r="N102" s="45"/>
      <c r="O102" s="45"/>
      <c r="P102" s="45"/>
      <c r="Q102" s="45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>
      <c r="A103" s="41">
        <v>100.0</v>
      </c>
      <c r="B103" s="41" t="s">
        <v>1589</v>
      </c>
      <c r="C103" s="42">
        <f t="array" ref="C103">INDEX(SkillBoxes!A102:D678,MATCH(E103,SkillBoxes!A102:A678,0),2)</f>
        <v>5</v>
      </c>
      <c r="D103" s="42" t="str">
        <f t="array" ref="D103">INDEX(SkillBoxes!A102:D678,MATCH(E103,SkillBoxes!A102:A678,0),3)</f>
        <v>Branded Barbarian</v>
      </c>
      <c r="E103" s="42">
        <v>100.0</v>
      </c>
      <c r="F103" s="42" t="str">
        <f t="array" ref="F103">INDEX(SkillBoxes!A102:D678,MATCH(E103,SkillBoxes!A102:A678,0),4)</f>
        <v>Ferocious Strike II</v>
      </c>
      <c r="G103" s="41">
        <v>8.0</v>
      </c>
      <c r="H103" s="41" t="s">
        <v>125</v>
      </c>
      <c r="I103" s="41" t="s">
        <v>1479</v>
      </c>
      <c r="J103" s="41" t="s">
        <v>1480</v>
      </c>
      <c r="K103" s="41">
        <v>1.45</v>
      </c>
      <c r="L103" s="42"/>
      <c r="M103" s="42"/>
      <c r="N103" s="42"/>
      <c r="O103" s="42"/>
      <c r="P103" s="42"/>
      <c r="Q103" s="42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>
      <c r="A104" s="44">
        <v>101.0</v>
      </c>
      <c r="B104" s="44" t="s">
        <v>1590</v>
      </c>
      <c r="C104" s="45">
        <f t="array" ref="C104">INDEX(SkillBoxes!A103:D679,MATCH(E104,SkillBoxes!A103:A679,0),2)</f>
        <v>5</v>
      </c>
      <c r="D104" s="45" t="str">
        <f t="array" ref="D104">INDEX(SkillBoxes!A103:D679,MATCH(E104,SkillBoxes!A103:A679,0),3)</f>
        <v>Branded Barbarian</v>
      </c>
      <c r="E104" s="45">
        <v>101.0</v>
      </c>
      <c r="F104" s="45" t="str">
        <f t="array" ref="F104">INDEX(SkillBoxes!A103:D679,MATCH(E104,SkillBoxes!A103:A679,0),4)</f>
        <v>Ferocious Strike III</v>
      </c>
      <c r="G104" s="44">
        <v>10.0</v>
      </c>
      <c r="H104" s="44" t="s">
        <v>125</v>
      </c>
      <c r="I104" s="44" t="s">
        <v>1479</v>
      </c>
      <c r="J104" s="44" t="s">
        <v>1480</v>
      </c>
      <c r="K104" s="44">
        <v>1.6</v>
      </c>
      <c r="L104" s="44" t="s">
        <v>1484</v>
      </c>
      <c r="M104" s="44">
        <v>2.0</v>
      </c>
      <c r="N104" s="44">
        <v>-2.0</v>
      </c>
      <c r="O104" s="44" t="s">
        <v>141</v>
      </c>
      <c r="P104" s="45"/>
      <c r="Q104" s="45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</row>
    <row r="105">
      <c r="A105" s="41">
        <v>102.0</v>
      </c>
      <c r="B105" s="41" t="s">
        <v>1591</v>
      </c>
      <c r="C105" s="42">
        <f t="array" ref="C105">INDEX(SkillBoxes!A104:D680,MATCH(E105,SkillBoxes!A104:A680,0),2)</f>
        <v>5</v>
      </c>
      <c r="D105" s="42" t="str">
        <f t="array" ref="D105">INDEX(SkillBoxes!A104:D680,MATCH(E105,SkillBoxes!A104:A680,0),3)</f>
        <v>Branded Barbarian</v>
      </c>
      <c r="E105" s="42">
        <v>102.0</v>
      </c>
      <c r="F105" s="42" t="str">
        <f t="array" ref="F105">INDEX(SkillBoxes!A104:D680,MATCH(E105,SkillBoxes!A104:A680,0),4)</f>
        <v>Ferocious Strike IV</v>
      </c>
      <c r="G105" s="41">
        <v>12.0</v>
      </c>
      <c r="H105" s="41" t="s">
        <v>159</v>
      </c>
      <c r="I105" s="41" t="s">
        <v>1479</v>
      </c>
      <c r="J105" s="41" t="s">
        <v>1480</v>
      </c>
      <c r="K105" s="41">
        <v>1.8</v>
      </c>
      <c r="L105" s="41" t="s">
        <v>1484</v>
      </c>
      <c r="M105" s="41">
        <v>4.0</v>
      </c>
      <c r="N105" s="41">
        <v>-4.0</v>
      </c>
      <c r="O105" s="41" t="s">
        <v>141</v>
      </c>
      <c r="P105" s="42"/>
      <c r="Q105" s="42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r="106">
      <c r="A106" s="44">
        <v>103.0</v>
      </c>
      <c r="B106" s="44" t="s">
        <v>1592</v>
      </c>
      <c r="C106" s="45">
        <f t="array" ref="C106">INDEX(SkillBoxes!A105:D681,MATCH(E106,SkillBoxes!A105:A681,0),2)</f>
        <v>5</v>
      </c>
      <c r="D106" s="45" t="str">
        <f t="array" ref="D106">INDEX(SkillBoxes!A105:D681,MATCH(E106,SkillBoxes!A105:A681,0),3)</f>
        <v>Branded Barbarian</v>
      </c>
      <c r="E106" s="45">
        <v>103.0</v>
      </c>
      <c r="F106" s="45" t="str">
        <f t="array" ref="F106">INDEX(SkillBoxes!A105:D681,MATCH(E106,SkillBoxes!A105:A681,0),4)</f>
        <v>Vital Arts I</v>
      </c>
      <c r="G106" s="44">
        <v>5.0</v>
      </c>
      <c r="H106" s="44" t="s">
        <v>125</v>
      </c>
      <c r="I106" s="44" t="s">
        <v>1479</v>
      </c>
      <c r="J106" s="44" t="s">
        <v>1495</v>
      </c>
      <c r="K106" s="44">
        <v>0.0</v>
      </c>
      <c r="L106" s="44" t="s">
        <v>1513</v>
      </c>
      <c r="M106" s="44">
        <v>2.0</v>
      </c>
      <c r="N106" s="44">
        <v>0.1</v>
      </c>
      <c r="O106" s="44" t="s">
        <v>141</v>
      </c>
      <c r="P106" s="45"/>
      <c r="Q106" s="45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>
      <c r="A107" s="41">
        <v>104.0</v>
      </c>
      <c r="B107" s="41" t="s">
        <v>1593</v>
      </c>
      <c r="C107" s="42">
        <f t="array" ref="C107">INDEX(SkillBoxes!A106:D682,MATCH(E107,SkillBoxes!A106:A682,0),2)</f>
        <v>5</v>
      </c>
      <c r="D107" s="42" t="str">
        <f t="array" ref="D107">INDEX(SkillBoxes!A106:D682,MATCH(E107,SkillBoxes!A106:A682,0),3)</f>
        <v>Branded Barbarian</v>
      </c>
      <c r="E107" s="42">
        <v>104.0</v>
      </c>
      <c r="F107" s="42" t="str">
        <f t="array" ref="F107">INDEX(SkillBoxes!A106:D682,MATCH(E107,SkillBoxes!A106:A682,0),4)</f>
        <v>Vital Arts II</v>
      </c>
      <c r="G107" s="41">
        <v>7.0</v>
      </c>
      <c r="H107" s="41" t="s">
        <v>125</v>
      </c>
      <c r="I107" s="41" t="s">
        <v>1479</v>
      </c>
      <c r="J107" s="41" t="s">
        <v>1495</v>
      </c>
      <c r="K107" s="41">
        <v>0.0</v>
      </c>
      <c r="L107" s="41" t="s">
        <v>1513</v>
      </c>
      <c r="M107" s="41">
        <v>3.0</v>
      </c>
      <c r="N107" s="41">
        <v>0.15</v>
      </c>
      <c r="O107" s="41" t="s">
        <v>141</v>
      </c>
      <c r="P107" s="42"/>
      <c r="Q107" s="42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>
      <c r="A108" s="41">
        <v>105.0</v>
      </c>
      <c r="B108" s="44" t="s">
        <v>1594</v>
      </c>
      <c r="C108" s="45">
        <f t="array" ref="C108">INDEX(SkillBoxes!A107:D683,MATCH(E108,SkillBoxes!A107:A683,0),2)</f>
        <v>5</v>
      </c>
      <c r="D108" s="45" t="str">
        <f t="array" ref="D108">INDEX(SkillBoxes!A107:D683,MATCH(E108,SkillBoxes!A107:A683,0),3)</f>
        <v>Branded Barbarian</v>
      </c>
      <c r="E108" s="45">
        <v>105.0</v>
      </c>
      <c r="F108" s="45" t="str">
        <f t="array" ref="F108">INDEX(SkillBoxes!A107:D683,MATCH(E108,SkillBoxes!A107:A683,0),4)</f>
        <v>Vital Arts III</v>
      </c>
      <c r="G108" s="44">
        <v>9.0</v>
      </c>
      <c r="H108" s="44" t="s">
        <v>159</v>
      </c>
      <c r="I108" s="44" t="s">
        <v>1479</v>
      </c>
      <c r="J108" s="44" t="s">
        <v>1495</v>
      </c>
      <c r="K108" s="44">
        <v>0.0</v>
      </c>
      <c r="L108" s="44" t="s">
        <v>1513</v>
      </c>
      <c r="M108" s="44">
        <v>3.0</v>
      </c>
      <c r="N108" s="44">
        <v>0.15</v>
      </c>
      <c r="O108" s="44" t="s">
        <v>133</v>
      </c>
      <c r="P108" s="45"/>
      <c r="Q108" s="45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r="109">
      <c r="A109" s="44">
        <v>106.0</v>
      </c>
      <c r="B109" s="41" t="s">
        <v>1595</v>
      </c>
      <c r="C109" s="42">
        <f t="array" ref="C109">INDEX(SkillBoxes!A108:D684,MATCH(E109,SkillBoxes!A108:A684,0),2)</f>
        <v>5</v>
      </c>
      <c r="D109" s="42" t="str">
        <f t="array" ref="D109">INDEX(SkillBoxes!A108:D684,MATCH(E109,SkillBoxes!A108:A684,0),3)</f>
        <v>Branded Barbarian</v>
      </c>
      <c r="E109" s="42">
        <v>106.0</v>
      </c>
      <c r="F109" s="42" t="str">
        <f t="array" ref="F109">INDEX(SkillBoxes!A108:D684,MATCH(E109,SkillBoxes!A108:A684,0),4)</f>
        <v>Vital Arts IV</v>
      </c>
      <c r="G109" s="41">
        <v>11.0</v>
      </c>
      <c r="H109" s="41" t="s">
        <v>159</v>
      </c>
      <c r="I109" s="41" t="s">
        <v>1479</v>
      </c>
      <c r="J109" s="41" t="s">
        <v>1495</v>
      </c>
      <c r="K109" s="41">
        <v>0.0</v>
      </c>
      <c r="L109" s="41" t="s">
        <v>1513</v>
      </c>
      <c r="M109" s="41">
        <v>4.0</v>
      </c>
      <c r="N109" s="41">
        <v>0.2</v>
      </c>
      <c r="O109" s="41" t="s">
        <v>133</v>
      </c>
      <c r="P109" s="42"/>
      <c r="Q109" s="42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</row>
    <row r="110">
      <c r="A110" s="41">
        <v>107.0</v>
      </c>
      <c r="B110" s="44" t="s">
        <v>1596</v>
      </c>
      <c r="C110" s="45">
        <f t="array" ref="C110">INDEX(SkillBoxes!A109:D685,MATCH(E110,SkillBoxes!A109:A685,0),2)</f>
        <v>5</v>
      </c>
      <c r="D110" s="45" t="str">
        <f t="array" ref="D110">INDEX(SkillBoxes!A109:D685,MATCH(E110,SkillBoxes!A109:A685,0),3)</f>
        <v>Branded Barbarian</v>
      </c>
      <c r="E110" s="45">
        <v>107.0</v>
      </c>
      <c r="F110" s="45" t="str">
        <f t="array" ref="F110">INDEX(SkillBoxes!A109:D685,MATCH(E110,SkillBoxes!A109:A685,0),4)</f>
        <v>Master Branded Barbarian</v>
      </c>
      <c r="G110" s="44">
        <v>16.0</v>
      </c>
      <c r="H110" s="44" t="s">
        <v>159</v>
      </c>
      <c r="I110" s="44" t="s">
        <v>1479</v>
      </c>
      <c r="J110" s="44" t="s">
        <v>1491</v>
      </c>
      <c r="K110" s="44">
        <v>1.1</v>
      </c>
      <c r="L110" s="44" t="s">
        <v>1489</v>
      </c>
      <c r="M110" s="44">
        <v>2.0</v>
      </c>
      <c r="N110" s="45"/>
      <c r="O110" s="45"/>
      <c r="P110" s="45"/>
      <c r="Q110" s="45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</row>
    <row r="111">
      <c r="A111" s="44">
        <v>108.0</v>
      </c>
      <c r="B111" s="41" t="s">
        <v>1597</v>
      </c>
      <c r="C111" s="42">
        <f t="array" ref="C111">INDEX(SkillBoxes!A110:D686,MATCH(E111,SkillBoxes!A110:A686,0),2)</f>
        <v>6</v>
      </c>
      <c r="D111" s="42" t="str">
        <f t="array" ref="D111">INDEX(SkillBoxes!A110:D686,MATCH(E111,SkillBoxes!A110:A686,0),3)</f>
        <v>Curse Knight</v>
      </c>
      <c r="E111" s="42">
        <v>108.0</v>
      </c>
      <c r="F111" s="42" t="str">
        <f t="array" ref="F111">INDEX(SkillBoxes!A110:D686,MATCH(E111,SkillBoxes!A110:A686,0),4)</f>
        <v>Novice Curse Knight</v>
      </c>
      <c r="G111" s="41">
        <v>6.0</v>
      </c>
      <c r="H111" s="41" t="s">
        <v>125</v>
      </c>
      <c r="I111" s="41" t="s">
        <v>1498</v>
      </c>
      <c r="J111" s="41" t="s">
        <v>1480</v>
      </c>
      <c r="K111" s="41">
        <v>1.0</v>
      </c>
      <c r="L111" s="41" t="s">
        <v>410</v>
      </c>
      <c r="M111" s="41">
        <v>1.0</v>
      </c>
      <c r="N111" s="41">
        <v>0.05</v>
      </c>
      <c r="O111" s="41" t="s">
        <v>133</v>
      </c>
      <c r="P111" s="41" t="s">
        <v>1518</v>
      </c>
      <c r="Q111" s="42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</row>
    <row r="112">
      <c r="A112" s="41">
        <v>109.0</v>
      </c>
      <c r="B112" s="44" t="s">
        <v>1598</v>
      </c>
      <c r="C112" s="45">
        <f t="array" ref="C112">INDEX(SkillBoxes!A111:D687,MATCH(E112,SkillBoxes!A111:A687,0),2)</f>
        <v>6</v>
      </c>
      <c r="D112" s="45" t="str">
        <f t="array" ref="D112">INDEX(SkillBoxes!A111:D687,MATCH(E112,SkillBoxes!A111:A687,0),3)</f>
        <v>Curse Knight</v>
      </c>
      <c r="E112" s="45">
        <v>109.0</v>
      </c>
      <c r="F112" s="45" t="str">
        <f t="array" ref="F112">INDEX(SkillBoxes!A111:D687,MATCH(E112,SkillBoxes!A111:A687,0),4)</f>
        <v>Dark Techniques I</v>
      </c>
      <c r="G112" s="44">
        <v>5.0</v>
      </c>
      <c r="H112" s="44" t="s">
        <v>160</v>
      </c>
      <c r="I112" s="44" t="s">
        <v>1498</v>
      </c>
      <c r="J112" s="44" t="s">
        <v>1480</v>
      </c>
      <c r="K112" s="44">
        <v>1.1</v>
      </c>
      <c r="L112" s="45"/>
      <c r="M112" s="45"/>
      <c r="N112" s="45"/>
      <c r="O112" s="45"/>
      <c r="P112" s="44" t="s">
        <v>1518</v>
      </c>
      <c r="Q112" s="45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</row>
    <row r="113">
      <c r="A113" s="44">
        <v>110.0</v>
      </c>
      <c r="B113" s="41" t="s">
        <v>1599</v>
      </c>
      <c r="C113" s="42">
        <f t="array" ref="C113">INDEX(SkillBoxes!A112:D688,MATCH(E113,SkillBoxes!A112:A688,0),2)</f>
        <v>6</v>
      </c>
      <c r="D113" s="42" t="str">
        <f t="array" ref="D113">INDEX(SkillBoxes!A112:D688,MATCH(E113,SkillBoxes!A112:A688,0),3)</f>
        <v>Curse Knight</v>
      </c>
      <c r="E113" s="42">
        <v>110.0</v>
      </c>
      <c r="F113" s="42" t="str">
        <f t="array" ref="F113">INDEX(SkillBoxes!A112:D688,MATCH(E113,SkillBoxes!A112:A688,0),4)</f>
        <v>Dark Techniques II</v>
      </c>
      <c r="G113" s="41">
        <v>7.0</v>
      </c>
      <c r="H113" s="41" t="s">
        <v>160</v>
      </c>
      <c r="I113" s="41" t="s">
        <v>1498</v>
      </c>
      <c r="J113" s="41" t="s">
        <v>1480</v>
      </c>
      <c r="K113" s="41">
        <v>1.2</v>
      </c>
      <c r="L113" s="42"/>
      <c r="M113" s="42"/>
      <c r="N113" s="42"/>
      <c r="O113" s="42"/>
      <c r="P113" s="41" t="s">
        <v>1518</v>
      </c>
      <c r="Q113" s="42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</row>
    <row r="114">
      <c r="A114" s="41">
        <v>111.0</v>
      </c>
      <c r="B114" s="44" t="s">
        <v>1600</v>
      </c>
      <c r="C114" s="45">
        <f t="array" ref="C114">INDEX(SkillBoxes!A113:D689,MATCH(E114,SkillBoxes!A113:A689,0),2)</f>
        <v>6</v>
      </c>
      <c r="D114" s="45" t="str">
        <f t="array" ref="D114">INDEX(SkillBoxes!A113:D689,MATCH(E114,SkillBoxes!A113:A689,0),3)</f>
        <v>Curse Knight</v>
      </c>
      <c r="E114" s="45">
        <v>111.0</v>
      </c>
      <c r="F114" s="45" t="str">
        <f t="array" ref="F114">INDEX(SkillBoxes!A113:D689,MATCH(E114,SkillBoxes!A113:A689,0),4)</f>
        <v>Dark Techniques III</v>
      </c>
      <c r="G114" s="44">
        <v>9.0</v>
      </c>
      <c r="H114" s="44" t="s">
        <v>160</v>
      </c>
      <c r="I114" s="44" t="s">
        <v>1498</v>
      </c>
      <c r="J114" s="44" t="s">
        <v>1480</v>
      </c>
      <c r="K114" s="44">
        <v>1.35</v>
      </c>
      <c r="L114" s="44" t="s">
        <v>410</v>
      </c>
      <c r="M114" s="44">
        <v>2.0</v>
      </c>
      <c r="N114" s="44">
        <v>0.05</v>
      </c>
      <c r="O114" s="44" t="s">
        <v>161</v>
      </c>
      <c r="P114" s="44" t="s">
        <v>1518</v>
      </c>
      <c r="Q114" s="45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</row>
    <row r="115">
      <c r="A115" s="41">
        <v>112.0</v>
      </c>
      <c r="B115" s="41" t="s">
        <v>1601</v>
      </c>
      <c r="C115" s="42">
        <f t="array" ref="C115">INDEX(SkillBoxes!A114:D690,MATCH(E115,SkillBoxes!A114:A690,0),2)</f>
        <v>6</v>
      </c>
      <c r="D115" s="42" t="str">
        <f t="array" ref="D115">INDEX(SkillBoxes!A114:D690,MATCH(E115,SkillBoxes!A114:A690,0),3)</f>
        <v>Curse Knight</v>
      </c>
      <c r="E115" s="42">
        <v>112.0</v>
      </c>
      <c r="F115" s="42" t="str">
        <f t="array" ref="F115">INDEX(SkillBoxes!A114:D690,MATCH(E115,SkillBoxes!A114:A690,0),4)</f>
        <v>Dark Techniques IV</v>
      </c>
      <c r="G115" s="41">
        <v>11.0</v>
      </c>
      <c r="H115" s="41" t="s">
        <v>160</v>
      </c>
      <c r="I115" s="41" t="s">
        <v>1498</v>
      </c>
      <c r="J115" s="41" t="s">
        <v>1480</v>
      </c>
      <c r="K115" s="41">
        <v>1.5</v>
      </c>
      <c r="L115" s="41" t="s">
        <v>410</v>
      </c>
      <c r="M115" s="41">
        <v>3.0</v>
      </c>
      <c r="N115" s="41">
        <v>0.1</v>
      </c>
      <c r="O115" s="41" t="s">
        <v>161</v>
      </c>
      <c r="P115" s="41" t="s">
        <v>1518</v>
      </c>
      <c r="Q115" s="42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</row>
    <row r="116">
      <c r="A116" s="44">
        <v>113.0</v>
      </c>
      <c r="B116" s="44" t="s">
        <v>1602</v>
      </c>
      <c r="C116" s="45">
        <f t="array" ref="C116">INDEX(SkillBoxes!A115:D691,MATCH(E116,SkillBoxes!A115:A691,0),2)</f>
        <v>6</v>
      </c>
      <c r="D116" s="45" t="str">
        <f t="array" ref="D116">INDEX(SkillBoxes!A115:D691,MATCH(E116,SkillBoxes!A115:A691,0),3)</f>
        <v>Curse Knight</v>
      </c>
      <c r="E116" s="45">
        <v>113.0</v>
      </c>
      <c r="F116" s="45" t="str">
        <f t="array" ref="F116">INDEX(SkillBoxes!A115:D691,MATCH(E116,SkillBoxes!A115:A691,0),4)</f>
        <v>Curse I</v>
      </c>
      <c r="G116" s="44">
        <v>5.0</v>
      </c>
      <c r="H116" s="44" t="s">
        <v>160</v>
      </c>
      <c r="I116" s="44" t="s">
        <v>1498</v>
      </c>
      <c r="J116" s="44" t="s">
        <v>1480</v>
      </c>
      <c r="K116" s="44">
        <v>1.0</v>
      </c>
      <c r="L116" s="44" t="s">
        <v>410</v>
      </c>
      <c r="M116" s="44">
        <v>2.0</v>
      </c>
      <c r="N116" s="44">
        <v>0.05</v>
      </c>
      <c r="O116" s="44" t="s">
        <v>129</v>
      </c>
      <c r="P116" s="45"/>
      <c r="Q116" s="45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</row>
    <row r="117">
      <c r="A117" s="41">
        <v>114.0</v>
      </c>
      <c r="B117" s="41" t="s">
        <v>1603</v>
      </c>
      <c r="C117" s="42">
        <f t="array" ref="C117">INDEX(SkillBoxes!A116:D692,MATCH(E117,SkillBoxes!A116:A692,0),2)</f>
        <v>6</v>
      </c>
      <c r="D117" s="42" t="str">
        <f t="array" ref="D117">INDEX(SkillBoxes!A116:D692,MATCH(E117,SkillBoxes!A116:A692,0),3)</f>
        <v>Curse Knight</v>
      </c>
      <c r="E117" s="42">
        <v>114.0</v>
      </c>
      <c r="F117" s="42" t="str">
        <f t="array" ref="F117">INDEX(SkillBoxes!A116:D692,MATCH(E117,SkillBoxes!A116:A692,0),4)</f>
        <v>Curse II</v>
      </c>
      <c r="G117" s="41">
        <v>7.0</v>
      </c>
      <c r="H117" s="41" t="s">
        <v>160</v>
      </c>
      <c r="I117" s="41" t="s">
        <v>1498</v>
      </c>
      <c r="J117" s="41" t="s">
        <v>1480</v>
      </c>
      <c r="K117" s="41">
        <v>1.1</v>
      </c>
      <c r="L117" s="41" t="s">
        <v>410</v>
      </c>
      <c r="M117" s="41">
        <v>3.0</v>
      </c>
      <c r="N117" s="41">
        <v>0.1</v>
      </c>
      <c r="O117" s="41" t="s">
        <v>129</v>
      </c>
      <c r="P117" s="42"/>
      <c r="Q117" s="42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</row>
    <row r="118">
      <c r="A118" s="44">
        <v>115.0</v>
      </c>
      <c r="B118" s="44" t="s">
        <v>1604</v>
      </c>
      <c r="C118" s="45">
        <f t="array" ref="C118">INDEX(SkillBoxes!A117:D693,MATCH(E118,SkillBoxes!A117:A693,0),2)</f>
        <v>6</v>
      </c>
      <c r="D118" s="45" t="str">
        <f t="array" ref="D118">INDEX(SkillBoxes!A117:D693,MATCH(E118,SkillBoxes!A117:A693,0),3)</f>
        <v>Curse Knight</v>
      </c>
      <c r="E118" s="45">
        <v>115.0</v>
      </c>
      <c r="F118" s="45" t="str">
        <f t="array" ref="F118">INDEX(SkillBoxes!A117:D693,MATCH(E118,SkillBoxes!A117:A693,0),4)</f>
        <v>Curse III</v>
      </c>
      <c r="G118" s="44">
        <v>9.0</v>
      </c>
      <c r="H118" s="44" t="s">
        <v>160</v>
      </c>
      <c r="I118" s="44" t="s">
        <v>1498</v>
      </c>
      <c r="J118" s="44" t="s">
        <v>1480</v>
      </c>
      <c r="K118" s="44">
        <v>0.9</v>
      </c>
      <c r="L118" s="44" t="s">
        <v>410</v>
      </c>
      <c r="M118" s="44">
        <v>3.0</v>
      </c>
      <c r="N118" s="44">
        <v>0.1</v>
      </c>
      <c r="O118" s="44" t="s">
        <v>133</v>
      </c>
      <c r="P118" s="45"/>
      <c r="Q118" s="45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</row>
    <row r="119">
      <c r="A119" s="41">
        <v>116.0</v>
      </c>
      <c r="B119" s="41" t="s">
        <v>1605</v>
      </c>
      <c r="C119" s="42">
        <f t="array" ref="C119">INDEX(SkillBoxes!A118:D694,MATCH(E119,SkillBoxes!A118:A694,0),2)</f>
        <v>6</v>
      </c>
      <c r="D119" s="42" t="str">
        <f t="array" ref="D119">INDEX(SkillBoxes!A118:D694,MATCH(E119,SkillBoxes!A118:A694,0),3)</f>
        <v>Curse Knight</v>
      </c>
      <c r="E119" s="42">
        <v>116.0</v>
      </c>
      <c r="F119" s="42" t="str">
        <f t="array" ref="F119">INDEX(SkillBoxes!A118:D694,MATCH(E119,SkillBoxes!A118:A694,0),4)</f>
        <v>Curse IV</v>
      </c>
      <c r="G119" s="41">
        <v>11.0</v>
      </c>
      <c r="H119" s="41" t="s">
        <v>160</v>
      </c>
      <c r="I119" s="41" t="s">
        <v>1498</v>
      </c>
      <c r="J119" s="41" t="s">
        <v>1491</v>
      </c>
      <c r="K119" s="41">
        <v>0.7</v>
      </c>
      <c r="L119" s="41" t="s">
        <v>410</v>
      </c>
      <c r="M119" s="41">
        <v>3.0</v>
      </c>
      <c r="N119" s="41">
        <v>0.1</v>
      </c>
      <c r="O119" s="41" t="s">
        <v>126</v>
      </c>
      <c r="P119" s="41" t="s">
        <v>1518</v>
      </c>
      <c r="Q119" s="42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</row>
    <row r="120">
      <c r="A120" s="44">
        <v>117.0</v>
      </c>
      <c r="B120" s="44" t="s">
        <v>1606</v>
      </c>
      <c r="C120" s="45">
        <f t="array" ref="C120">INDEX(SkillBoxes!A119:D695,MATCH(E120,SkillBoxes!A119:A695,0),2)</f>
        <v>6</v>
      </c>
      <c r="D120" s="45" t="str">
        <f t="array" ref="D120">INDEX(SkillBoxes!A119:D695,MATCH(E120,SkillBoxes!A119:A695,0),3)</f>
        <v>Curse Knight</v>
      </c>
      <c r="E120" s="45">
        <v>117.0</v>
      </c>
      <c r="F120" s="45" t="str">
        <f t="array" ref="F120">INDEX(SkillBoxes!A119:D695,MATCH(E120,SkillBoxes!A119:A695,0),4)</f>
        <v>Elemental Blade I</v>
      </c>
      <c r="G120" s="44">
        <v>5.0</v>
      </c>
      <c r="H120" s="44" t="s">
        <v>160</v>
      </c>
      <c r="I120" s="44" t="s">
        <v>1479</v>
      </c>
      <c r="J120" s="44" t="s">
        <v>1480</v>
      </c>
      <c r="K120" s="44">
        <v>1.2</v>
      </c>
      <c r="L120" s="45"/>
      <c r="M120" s="45"/>
      <c r="N120" s="45"/>
      <c r="O120" s="45"/>
      <c r="P120" s="44" t="s">
        <v>1534</v>
      </c>
      <c r="Q120" s="45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</row>
    <row r="121">
      <c r="A121" s="41">
        <v>118.0</v>
      </c>
      <c r="B121" s="41" t="s">
        <v>1607</v>
      </c>
      <c r="C121" s="42">
        <f t="array" ref="C121">INDEX(SkillBoxes!A120:D696,MATCH(E121,SkillBoxes!A120:A696,0),2)</f>
        <v>6</v>
      </c>
      <c r="D121" s="42" t="str">
        <f t="array" ref="D121">INDEX(SkillBoxes!A120:D696,MATCH(E121,SkillBoxes!A120:A696,0),3)</f>
        <v>Curse Knight</v>
      </c>
      <c r="E121" s="42">
        <v>118.0</v>
      </c>
      <c r="F121" s="42" t="str">
        <f t="array" ref="F121">INDEX(SkillBoxes!A120:D696,MATCH(E121,SkillBoxes!A120:A696,0),4)</f>
        <v>Elemental Blade II</v>
      </c>
      <c r="G121" s="41">
        <v>7.0</v>
      </c>
      <c r="H121" s="41" t="s">
        <v>160</v>
      </c>
      <c r="I121" s="41" t="s">
        <v>1479</v>
      </c>
      <c r="J121" s="41" t="s">
        <v>1480</v>
      </c>
      <c r="K121" s="41">
        <v>1.3</v>
      </c>
      <c r="L121" s="42"/>
      <c r="M121" s="42"/>
      <c r="N121" s="42"/>
      <c r="O121" s="42"/>
      <c r="P121" s="41" t="s">
        <v>1536</v>
      </c>
      <c r="Q121" s="42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r="122">
      <c r="A122" s="41">
        <v>119.0</v>
      </c>
      <c r="B122" s="44" t="s">
        <v>1608</v>
      </c>
      <c r="C122" s="45">
        <f t="array" ref="C122">INDEX(SkillBoxes!A121:D697,MATCH(E122,SkillBoxes!A121:A697,0),2)</f>
        <v>6</v>
      </c>
      <c r="D122" s="45" t="str">
        <f t="array" ref="D122">INDEX(SkillBoxes!A121:D697,MATCH(E122,SkillBoxes!A121:A697,0),3)</f>
        <v>Curse Knight</v>
      </c>
      <c r="E122" s="45">
        <v>119.0</v>
      </c>
      <c r="F122" s="45" t="str">
        <f t="array" ref="F122">INDEX(SkillBoxes!A121:D697,MATCH(E122,SkillBoxes!A121:A697,0),4)</f>
        <v>Elemental Blade III</v>
      </c>
      <c r="G122" s="44">
        <v>9.0</v>
      </c>
      <c r="H122" s="44" t="s">
        <v>160</v>
      </c>
      <c r="I122" s="44" t="s">
        <v>1498</v>
      </c>
      <c r="J122" s="44" t="s">
        <v>1480</v>
      </c>
      <c r="K122" s="44">
        <v>1.3</v>
      </c>
      <c r="L122" s="44" t="s">
        <v>1484</v>
      </c>
      <c r="M122" s="44">
        <v>2.0</v>
      </c>
      <c r="N122" s="44">
        <v>-2.0</v>
      </c>
      <c r="O122" s="44" t="s">
        <v>141</v>
      </c>
      <c r="P122" s="44" t="s">
        <v>1538</v>
      </c>
      <c r="Q122" s="45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</row>
    <row r="123">
      <c r="A123" s="44">
        <v>120.0</v>
      </c>
      <c r="B123" s="41" t="s">
        <v>1609</v>
      </c>
      <c r="C123" s="42">
        <f t="array" ref="C123">INDEX(SkillBoxes!A122:D698,MATCH(E123,SkillBoxes!A122:A698,0),2)</f>
        <v>6</v>
      </c>
      <c r="D123" s="42" t="str">
        <f t="array" ref="D123">INDEX(SkillBoxes!A122:D698,MATCH(E123,SkillBoxes!A122:A698,0),3)</f>
        <v>Curse Knight</v>
      </c>
      <c r="E123" s="42">
        <v>120.0</v>
      </c>
      <c r="F123" s="42" t="str">
        <f t="array" ref="F123">INDEX(SkillBoxes!A122:D698,MATCH(E123,SkillBoxes!A122:A698,0),4)</f>
        <v>Elemental Blade IV</v>
      </c>
      <c r="G123" s="41">
        <v>11.0</v>
      </c>
      <c r="H123" s="41" t="s">
        <v>160</v>
      </c>
      <c r="I123" s="41" t="s">
        <v>1498</v>
      </c>
      <c r="J123" s="41" t="s">
        <v>1480</v>
      </c>
      <c r="K123" s="41">
        <v>1.5</v>
      </c>
      <c r="L123" s="41" t="s">
        <v>1484</v>
      </c>
      <c r="M123" s="41">
        <v>3.0</v>
      </c>
      <c r="N123" s="41">
        <v>-3.0</v>
      </c>
      <c r="O123" s="41" t="s">
        <v>141</v>
      </c>
      <c r="P123" s="41" t="s">
        <v>1540</v>
      </c>
      <c r="Q123" s="42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</row>
    <row r="124">
      <c r="A124" s="41">
        <v>121.0</v>
      </c>
      <c r="B124" s="44" t="s">
        <v>1610</v>
      </c>
      <c r="C124" s="45">
        <f t="array" ref="C124">INDEX(SkillBoxes!A123:D699,MATCH(E124,SkillBoxes!A123:A699,0),2)</f>
        <v>6</v>
      </c>
      <c r="D124" s="45" t="str">
        <f t="array" ref="D124">INDEX(SkillBoxes!A123:D699,MATCH(E124,SkillBoxes!A123:A699,0),3)</f>
        <v>Curse Knight</v>
      </c>
      <c r="E124" s="45">
        <v>121.0</v>
      </c>
      <c r="F124" s="45" t="str">
        <f t="array" ref="F124">INDEX(SkillBoxes!A123:D699,MATCH(E124,SkillBoxes!A123:A699,0),4)</f>
        <v>Blade Arts I</v>
      </c>
      <c r="G124" s="44">
        <v>5.0</v>
      </c>
      <c r="H124" s="44" t="s">
        <v>125</v>
      </c>
      <c r="I124" s="44" t="s">
        <v>1479</v>
      </c>
      <c r="J124" s="44" t="s">
        <v>1480</v>
      </c>
      <c r="K124" s="44">
        <v>1.2</v>
      </c>
      <c r="L124" s="45"/>
      <c r="M124" s="45"/>
      <c r="N124" s="45"/>
      <c r="O124" s="45"/>
      <c r="P124" s="44" t="s">
        <v>1518</v>
      </c>
      <c r="Q124" s="45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</row>
    <row r="125">
      <c r="A125" s="44">
        <v>122.0</v>
      </c>
      <c r="B125" s="41" t="s">
        <v>1611</v>
      </c>
      <c r="C125" s="42">
        <f t="array" ref="C125">INDEX(SkillBoxes!A124:D700,MATCH(E125,SkillBoxes!A124:A700,0),2)</f>
        <v>6</v>
      </c>
      <c r="D125" s="42" t="str">
        <f t="array" ref="D125">INDEX(SkillBoxes!A124:D700,MATCH(E125,SkillBoxes!A124:A700,0),3)</f>
        <v>Curse Knight</v>
      </c>
      <c r="E125" s="42">
        <v>122.0</v>
      </c>
      <c r="F125" s="42" t="str">
        <f t="array" ref="F125">INDEX(SkillBoxes!A124:D700,MATCH(E125,SkillBoxes!A124:A700,0),4)</f>
        <v>Blade Arts II</v>
      </c>
      <c r="G125" s="41">
        <v>7.0</v>
      </c>
      <c r="H125" s="41" t="s">
        <v>125</v>
      </c>
      <c r="I125" s="41" t="s">
        <v>1479</v>
      </c>
      <c r="J125" s="41" t="s">
        <v>1480</v>
      </c>
      <c r="K125" s="41">
        <v>1.3</v>
      </c>
      <c r="L125" s="42"/>
      <c r="M125" s="42"/>
      <c r="N125" s="42"/>
      <c r="O125" s="42"/>
      <c r="P125" s="41" t="s">
        <v>1518</v>
      </c>
      <c r="Q125" s="42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</row>
    <row r="126">
      <c r="A126" s="41">
        <v>123.0</v>
      </c>
      <c r="B126" s="44" t="s">
        <v>1612</v>
      </c>
      <c r="C126" s="45">
        <f t="array" ref="C126">INDEX(SkillBoxes!A125:D701,MATCH(E126,SkillBoxes!A125:A701,0),2)</f>
        <v>6</v>
      </c>
      <c r="D126" s="45" t="str">
        <f t="array" ref="D126">INDEX(SkillBoxes!A125:D701,MATCH(E126,SkillBoxes!A125:A701,0),3)</f>
        <v>Curse Knight</v>
      </c>
      <c r="E126" s="45">
        <v>123.0</v>
      </c>
      <c r="F126" s="45" t="str">
        <f t="array" ref="F126">INDEX(SkillBoxes!A125:D701,MATCH(E126,SkillBoxes!A125:A701,0),4)</f>
        <v>Blade Arts III</v>
      </c>
      <c r="G126" s="44">
        <v>9.0</v>
      </c>
      <c r="H126" s="44" t="s">
        <v>125</v>
      </c>
      <c r="I126" s="44" t="s">
        <v>1479</v>
      </c>
      <c r="J126" s="44" t="s">
        <v>1480</v>
      </c>
      <c r="K126" s="44">
        <v>1.4</v>
      </c>
      <c r="L126" s="44" t="s">
        <v>410</v>
      </c>
      <c r="M126" s="44">
        <v>2.0</v>
      </c>
      <c r="N126" s="44">
        <v>0.05</v>
      </c>
      <c r="O126" s="44" t="s">
        <v>161</v>
      </c>
      <c r="P126" s="45"/>
      <c r="Q126" s="45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</row>
    <row r="127">
      <c r="A127" s="44">
        <v>124.0</v>
      </c>
      <c r="B127" s="41" t="s">
        <v>1613</v>
      </c>
      <c r="C127" s="42">
        <f t="array" ref="C127">INDEX(SkillBoxes!A126:D702,MATCH(E127,SkillBoxes!A126:A702,0),2)</f>
        <v>6</v>
      </c>
      <c r="D127" s="42" t="str">
        <f t="array" ref="D127">INDEX(SkillBoxes!A126:D702,MATCH(E127,SkillBoxes!A126:A702,0),3)</f>
        <v>Curse Knight</v>
      </c>
      <c r="E127" s="42">
        <v>124.0</v>
      </c>
      <c r="F127" s="42" t="str">
        <f t="array" ref="F127">INDEX(SkillBoxes!A126:D702,MATCH(E127,SkillBoxes!A126:A702,0),4)</f>
        <v>Blade Arts IV</v>
      </c>
      <c r="G127" s="41">
        <v>11.0</v>
      </c>
      <c r="H127" s="41" t="s">
        <v>159</v>
      </c>
      <c r="I127" s="41" t="s">
        <v>1498</v>
      </c>
      <c r="J127" s="41" t="s">
        <v>1480</v>
      </c>
      <c r="K127" s="41">
        <v>1.6</v>
      </c>
      <c r="L127" s="41" t="s">
        <v>410</v>
      </c>
      <c r="M127" s="41">
        <v>3.0</v>
      </c>
      <c r="N127" s="41">
        <v>0.1</v>
      </c>
      <c r="O127" s="41" t="s">
        <v>161</v>
      </c>
      <c r="P127" s="41" t="s">
        <v>1518</v>
      </c>
      <c r="Q127" s="42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</row>
    <row r="128">
      <c r="A128" s="41">
        <v>125.0</v>
      </c>
      <c r="B128" s="44" t="s">
        <v>1614</v>
      </c>
      <c r="C128" s="45">
        <f t="array" ref="C128">INDEX(SkillBoxes!A127:D703,MATCH(E128,SkillBoxes!A127:A703,0),2)</f>
        <v>6</v>
      </c>
      <c r="D128" s="45" t="str">
        <f t="array" ref="D128">INDEX(SkillBoxes!A127:D703,MATCH(E128,SkillBoxes!A127:A703,0),3)</f>
        <v>Curse Knight</v>
      </c>
      <c r="E128" s="45">
        <v>125.0</v>
      </c>
      <c r="F128" s="45" t="str">
        <f t="array" ref="F128">INDEX(SkillBoxes!A127:D703,MATCH(E128,SkillBoxes!A127:A703,0),4)</f>
        <v>Master Curse Knight</v>
      </c>
      <c r="G128" s="44">
        <v>16.0</v>
      </c>
      <c r="H128" s="44" t="s">
        <v>159</v>
      </c>
      <c r="I128" s="44" t="s">
        <v>1498</v>
      </c>
      <c r="J128" s="44" t="s">
        <v>1491</v>
      </c>
      <c r="K128" s="44">
        <v>1.0</v>
      </c>
      <c r="L128" s="44" t="s">
        <v>410</v>
      </c>
      <c r="M128" s="44">
        <v>4.0</v>
      </c>
      <c r="N128" s="44">
        <v>0.15</v>
      </c>
      <c r="O128" s="44" t="s">
        <v>161</v>
      </c>
      <c r="P128" s="44" t="s">
        <v>1518</v>
      </c>
      <c r="Q128" s="45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</row>
    <row r="129">
      <c r="A129" s="41">
        <v>126.0</v>
      </c>
      <c r="B129" s="41" t="s">
        <v>1615</v>
      </c>
      <c r="C129" s="42">
        <f t="array" ref="C129">INDEX(SkillBoxes!A128:D704,MATCH(E129,SkillBoxes!A128:A704,0),2)</f>
        <v>7</v>
      </c>
      <c r="D129" s="42" t="str">
        <f t="array" ref="D129">INDEX(SkillBoxes!A128:D704,MATCH(E129,SkillBoxes!A128:A704,0),3)</f>
        <v>Acro Archer</v>
      </c>
      <c r="E129" s="42">
        <v>126.0</v>
      </c>
      <c r="F129" s="42" t="str">
        <f t="array" ref="F129">INDEX(SkillBoxes!A128:D704,MATCH(E129,SkillBoxes!A128:A704,0),4)</f>
        <v>Novice Acro Archer</v>
      </c>
      <c r="G129" s="41">
        <v>5.0</v>
      </c>
      <c r="H129" s="41" t="s">
        <v>125</v>
      </c>
      <c r="I129" s="41" t="s">
        <v>1479</v>
      </c>
      <c r="J129" s="41" t="s">
        <v>1480</v>
      </c>
      <c r="K129" s="41">
        <v>1.0</v>
      </c>
      <c r="L129" s="42"/>
      <c r="M129" s="42"/>
      <c r="N129" s="42"/>
      <c r="O129" s="42"/>
      <c r="P129" s="42"/>
      <c r="Q129" s="42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</row>
    <row r="130">
      <c r="A130" s="44">
        <v>127.0</v>
      </c>
      <c r="B130" s="44" t="s">
        <v>1616</v>
      </c>
      <c r="C130" s="45">
        <f t="array" ref="C130">INDEX(SkillBoxes!A129:D705,MATCH(E130,SkillBoxes!A129:A705,0),2)</f>
        <v>7</v>
      </c>
      <c r="D130" s="45" t="str">
        <f t="array" ref="D130">INDEX(SkillBoxes!A129:D705,MATCH(E130,SkillBoxes!A129:A705,0),3)</f>
        <v>Acro Archer</v>
      </c>
      <c r="E130" s="45">
        <v>127.0</v>
      </c>
      <c r="F130" s="45" t="str">
        <f t="array" ref="F130">INDEX(SkillBoxes!A129:D705,MATCH(E130,SkillBoxes!A129:A705,0),4)</f>
        <v>Agility I</v>
      </c>
      <c r="G130" s="44">
        <v>5.0</v>
      </c>
      <c r="H130" s="44" t="s">
        <v>125</v>
      </c>
      <c r="I130" s="44" t="s">
        <v>1479</v>
      </c>
      <c r="J130" s="44" t="s">
        <v>1480</v>
      </c>
      <c r="K130" s="44">
        <v>1.1</v>
      </c>
      <c r="L130" s="45"/>
      <c r="M130" s="45"/>
      <c r="N130" s="45"/>
      <c r="O130" s="45"/>
      <c r="P130" s="45"/>
      <c r="Q130" s="45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</row>
    <row r="131">
      <c r="A131" s="41">
        <v>128.0</v>
      </c>
      <c r="B131" s="41" t="s">
        <v>1617</v>
      </c>
      <c r="C131" s="42">
        <f t="array" ref="C131">INDEX(SkillBoxes!A130:D706,MATCH(E131,SkillBoxes!A130:A706,0),2)</f>
        <v>7</v>
      </c>
      <c r="D131" s="42" t="str">
        <f t="array" ref="D131">INDEX(SkillBoxes!A130:D706,MATCH(E131,SkillBoxes!A130:A706,0),3)</f>
        <v>Acro Archer</v>
      </c>
      <c r="E131" s="42">
        <v>128.0</v>
      </c>
      <c r="F131" s="42" t="str">
        <f t="array" ref="F131">INDEX(SkillBoxes!A130:D706,MATCH(E131,SkillBoxes!A130:A706,0),4)</f>
        <v>Agility II</v>
      </c>
      <c r="G131" s="41">
        <v>7.0</v>
      </c>
      <c r="H131" s="41" t="s">
        <v>125</v>
      </c>
      <c r="I131" s="41" t="s">
        <v>1479</v>
      </c>
      <c r="J131" s="41" t="s">
        <v>1480</v>
      </c>
      <c r="K131" s="41">
        <v>1.2</v>
      </c>
      <c r="L131" s="42"/>
      <c r="M131" s="42"/>
      <c r="N131" s="42"/>
      <c r="O131" s="42"/>
      <c r="P131" s="42"/>
      <c r="Q131" s="42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</row>
    <row r="132">
      <c r="A132" s="44">
        <v>129.0</v>
      </c>
      <c r="B132" s="44" t="s">
        <v>1618</v>
      </c>
      <c r="C132" s="45">
        <f t="array" ref="C132">INDEX(SkillBoxes!A131:D707,MATCH(E132,SkillBoxes!A131:A707,0),2)</f>
        <v>7</v>
      </c>
      <c r="D132" s="45" t="str">
        <f t="array" ref="D132">INDEX(SkillBoxes!A131:D707,MATCH(E132,SkillBoxes!A131:A707,0),3)</f>
        <v>Acro Archer</v>
      </c>
      <c r="E132" s="45">
        <v>129.0</v>
      </c>
      <c r="F132" s="45" t="str">
        <f t="array" ref="F132">INDEX(SkillBoxes!A131:D707,MATCH(E132,SkillBoxes!A131:A707,0),4)</f>
        <v>Agility III</v>
      </c>
      <c r="G132" s="44">
        <v>9.0</v>
      </c>
      <c r="H132" s="44" t="s">
        <v>125</v>
      </c>
      <c r="I132" s="44" t="s">
        <v>1479</v>
      </c>
      <c r="J132" s="44" t="s">
        <v>1480</v>
      </c>
      <c r="K132" s="44">
        <v>1.3</v>
      </c>
      <c r="L132" s="44" t="s">
        <v>1513</v>
      </c>
      <c r="M132" s="44">
        <v>1.0</v>
      </c>
      <c r="N132" s="44">
        <v>0.1</v>
      </c>
      <c r="O132" s="44" t="s">
        <v>137</v>
      </c>
      <c r="P132" s="45"/>
      <c r="Q132" s="45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</row>
    <row r="133">
      <c r="A133" s="41">
        <v>130.0</v>
      </c>
      <c r="B133" s="41" t="s">
        <v>1619</v>
      </c>
      <c r="C133" s="42">
        <f t="array" ref="C133">INDEX(SkillBoxes!A132:D708,MATCH(E133,SkillBoxes!A132:A708,0),2)</f>
        <v>7</v>
      </c>
      <c r="D133" s="42" t="str">
        <f t="array" ref="D133">INDEX(SkillBoxes!A132:D708,MATCH(E133,SkillBoxes!A132:A708,0),3)</f>
        <v>Acro Archer</v>
      </c>
      <c r="E133" s="42">
        <v>130.0</v>
      </c>
      <c r="F133" s="42" t="str">
        <f t="array" ref="F133">INDEX(SkillBoxes!A132:D708,MATCH(E133,SkillBoxes!A132:A708,0),4)</f>
        <v>Agility IV</v>
      </c>
      <c r="G133" s="41">
        <v>11.0</v>
      </c>
      <c r="H133" s="41" t="s">
        <v>159</v>
      </c>
      <c r="I133" s="41" t="s">
        <v>1479</v>
      </c>
      <c r="J133" s="41" t="s">
        <v>1480</v>
      </c>
      <c r="K133" s="41">
        <v>1.5</v>
      </c>
      <c r="L133" s="41" t="s">
        <v>1513</v>
      </c>
      <c r="M133" s="41">
        <v>2.0</v>
      </c>
      <c r="N133" s="41">
        <v>0.15</v>
      </c>
      <c r="O133" s="41" t="s">
        <v>137</v>
      </c>
      <c r="P133" s="41" t="s">
        <v>1540</v>
      </c>
      <c r="Q133" s="42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r="134">
      <c r="A134" s="44">
        <v>131.0</v>
      </c>
      <c r="B134" s="44" t="s">
        <v>1620</v>
      </c>
      <c r="C134" s="45">
        <f t="array" ref="C134">INDEX(SkillBoxes!A133:D709,MATCH(E134,SkillBoxes!A133:A709,0),2)</f>
        <v>7</v>
      </c>
      <c r="D134" s="45" t="str">
        <f t="array" ref="D134">INDEX(SkillBoxes!A133:D709,MATCH(E134,SkillBoxes!A133:A709,0),3)</f>
        <v>Acro Archer</v>
      </c>
      <c r="E134" s="45">
        <v>131.0</v>
      </c>
      <c r="F134" s="45" t="str">
        <f t="array" ref="F134">INDEX(SkillBoxes!A133:D709,MATCH(E134,SkillBoxes!A133:A709,0),4)</f>
        <v>Evade I</v>
      </c>
      <c r="G134" s="44">
        <v>5.0</v>
      </c>
      <c r="H134" s="44" t="s">
        <v>125</v>
      </c>
      <c r="I134" s="44" t="s">
        <v>1479</v>
      </c>
      <c r="J134" s="44" t="s">
        <v>1480</v>
      </c>
      <c r="K134" s="44">
        <v>1.1</v>
      </c>
      <c r="L134" s="45"/>
      <c r="M134" s="45"/>
      <c r="N134" s="45"/>
      <c r="O134" s="45"/>
      <c r="P134" s="45"/>
      <c r="Q134" s="45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</row>
    <row r="135">
      <c r="A135" s="41">
        <v>132.0</v>
      </c>
      <c r="B135" s="41" t="s">
        <v>1621</v>
      </c>
      <c r="C135" s="42">
        <f t="array" ref="C135">INDEX(SkillBoxes!A134:D710,MATCH(E135,SkillBoxes!A134:A710,0),2)</f>
        <v>7</v>
      </c>
      <c r="D135" s="42" t="str">
        <f t="array" ref="D135">INDEX(SkillBoxes!A134:D710,MATCH(E135,SkillBoxes!A134:A710,0),3)</f>
        <v>Acro Archer</v>
      </c>
      <c r="E135" s="42">
        <v>132.0</v>
      </c>
      <c r="F135" s="42" t="str">
        <f t="array" ref="F135">INDEX(SkillBoxes!A134:D710,MATCH(E135,SkillBoxes!A134:A710,0),4)</f>
        <v>Evade II</v>
      </c>
      <c r="G135" s="41">
        <v>7.0</v>
      </c>
      <c r="H135" s="41" t="s">
        <v>125</v>
      </c>
      <c r="I135" s="41" t="s">
        <v>1479</v>
      </c>
      <c r="J135" s="41" t="s">
        <v>1480</v>
      </c>
      <c r="K135" s="41">
        <v>1.2</v>
      </c>
      <c r="L135" s="42"/>
      <c r="M135" s="42"/>
      <c r="N135" s="42"/>
      <c r="O135" s="42"/>
      <c r="P135" s="42"/>
      <c r="Q135" s="42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</row>
    <row r="136">
      <c r="A136" s="41">
        <v>133.0</v>
      </c>
      <c r="B136" s="44" t="s">
        <v>1622</v>
      </c>
      <c r="C136" s="45">
        <f t="array" ref="C136">INDEX(SkillBoxes!A135:D711,MATCH(E136,SkillBoxes!A135:A711,0),2)</f>
        <v>7</v>
      </c>
      <c r="D136" s="45" t="str">
        <f t="array" ref="D136">INDEX(SkillBoxes!A135:D711,MATCH(E136,SkillBoxes!A135:A711,0),3)</f>
        <v>Acro Archer</v>
      </c>
      <c r="E136" s="45">
        <v>133.0</v>
      </c>
      <c r="F136" s="45" t="str">
        <f t="array" ref="F136">INDEX(SkillBoxes!A135:D711,MATCH(E136,SkillBoxes!A135:A711,0),4)</f>
        <v>Evade III</v>
      </c>
      <c r="G136" s="44">
        <v>9.0</v>
      </c>
      <c r="H136" s="44" t="s">
        <v>125</v>
      </c>
      <c r="I136" s="44" t="s">
        <v>1479</v>
      </c>
      <c r="J136" s="44" t="s">
        <v>1480</v>
      </c>
      <c r="K136" s="44">
        <v>1.3</v>
      </c>
      <c r="L136" s="44" t="s">
        <v>1513</v>
      </c>
      <c r="M136" s="44">
        <v>2.0</v>
      </c>
      <c r="N136" s="44">
        <v>0.1</v>
      </c>
      <c r="O136" s="44" t="s">
        <v>137</v>
      </c>
      <c r="P136" s="45"/>
      <c r="Q136" s="45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</row>
    <row r="137">
      <c r="A137" s="44">
        <v>134.0</v>
      </c>
      <c r="B137" s="41" t="s">
        <v>1623</v>
      </c>
      <c r="C137" s="42">
        <f t="array" ref="C137">INDEX(SkillBoxes!A136:D712,MATCH(E137,SkillBoxes!A136:A712,0),2)</f>
        <v>7</v>
      </c>
      <c r="D137" s="42" t="str">
        <f t="array" ref="D137">INDEX(SkillBoxes!A136:D712,MATCH(E137,SkillBoxes!A136:A712,0),3)</f>
        <v>Acro Archer</v>
      </c>
      <c r="E137" s="42">
        <v>134.0</v>
      </c>
      <c r="F137" s="42" t="str">
        <f t="array" ref="F137">INDEX(SkillBoxes!A136:D712,MATCH(E137,SkillBoxes!A136:A712,0),4)</f>
        <v>Evade IV</v>
      </c>
      <c r="G137" s="41">
        <v>11.0</v>
      </c>
      <c r="H137" s="41" t="s">
        <v>159</v>
      </c>
      <c r="I137" s="41" t="s">
        <v>1479</v>
      </c>
      <c r="J137" s="41" t="s">
        <v>1491</v>
      </c>
      <c r="K137" s="41">
        <v>0.85</v>
      </c>
      <c r="L137" s="41" t="s">
        <v>1513</v>
      </c>
      <c r="M137" s="41">
        <v>2.0</v>
      </c>
      <c r="N137" s="41">
        <v>0.15</v>
      </c>
      <c r="O137" s="41" t="s">
        <v>137</v>
      </c>
      <c r="P137" s="42"/>
      <c r="Q137" s="42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</row>
    <row r="138">
      <c r="A138" s="41">
        <v>135.0</v>
      </c>
      <c r="B138" s="44" t="s">
        <v>1624</v>
      </c>
      <c r="C138" s="45">
        <f t="array" ref="C138">INDEX(SkillBoxes!A137:D713,MATCH(E138,SkillBoxes!A137:A713,0),2)</f>
        <v>7</v>
      </c>
      <c r="D138" s="45" t="str">
        <f t="array" ref="D138">INDEX(SkillBoxes!A137:D713,MATCH(E138,SkillBoxes!A137:A713,0),3)</f>
        <v>Acro Archer</v>
      </c>
      <c r="E138" s="45">
        <v>135.0</v>
      </c>
      <c r="F138" s="45" t="str">
        <f t="array" ref="F138">INDEX(SkillBoxes!A137:D713,MATCH(E138,SkillBoxes!A137:A713,0),4)</f>
        <v>Ranged Strike I</v>
      </c>
      <c r="G138" s="44">
        <v>6.0</v>
      </c>
      <c r="H138" s="44" t="s">
        <v>125</v>
      </c>
      <c r="I138" s="44" t="s">
        <v>1479</v>
      </c>
      <c r="J138" s="44" t="s">
        <v>1480</v>
      </c>
      <c r="K138" s="44">
        <v>1.2</v>
      </c>
      <c r="L138" s="45"/>
      <c r="M138" s="45"/>
      <c r="N138" s="45"/>
      <c r="O138" s="45"/>
      <c r="P138" s="45"/>
      <c r="Q138" s="45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</row>
    <row r="139">
      <c r="A139" s="44">
        <v>136.0</v>
      </c>
      <c r="B139" s="41" t="s">
        <v>1625</v>
      </c>
      <c r="C139" s="42">
        <f t="array" ref="C139">INDEX(SkillBoxes!A138:D714,MATCH(E139,SkillBoxes!A138:A714,0),2)</f>
        <v>7</v>
      </c>
      <c r="D139" s="42" t="str">
        <f t="array" ref="D139">INDEX(SkillBoxes!A138:D714,MATCH(E139,SkillBoxes!A138:A714,0),3)</f>
        <v>Acro Archer</v>
      </c>
      <c r="E139" s="42">
        <v>136.0</v>
      </c>
      <c r="F139" s="42" t="str">
        <f t="array" ref="F139">INDEX(SkillBoxes!A138:D714,MATCH(E139,SkillBoxes!A138:A714,0),4)</f>
        <v>Ranged Strike II</v>
      </c>
      <c r="G139" s="41">
        <v>8.0</v>
      </c>
      <c r="H139" s="41" t="s">
        <v>125</v>
      </c>
      <c r="I139" s="41" t="s">
        <v>1479</v>
      </c>
      <c r="J139" s="41" t="s">
        <v>1480</v>
      </c>
      <c r="K139" s="41">
        <v>1.35</v>
      </c>
      <c r="L139" s="42"/>
      <c r="M139" s="42"/>
      <c r="N139" s="42"/>
      <c r="O139" s="42"/>
      <c r="P139" s="42"/>
      <c r="Q139" s="42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</row>
    <row r="140">
      <c r="A140" s="41">
        <v>137.0</v>
      </c>
      <c r="B140" s="44" t="s">
        <v>1626</v>
      </c>
      <c r="C140" s="45">
        <f t="array" ref="C140">INDEX(SkillBoxes!A139:D715,MATCH(E140,SkillBoxes!A139:A715,0),2)</f>
        <v>7</v>
      </c>
      <c r="D140" s="45" t="str">
        <f t="array" ref="D140">INDEX(SkillBoxes!A139:D715,MATCH(E140,SkillBoxes!A139:A715,0),3)</f>
        <v>Acro Archer</v>
      </c>
      <c r="E140" s="45">
        <v>137.0</v>
      </c>
      <c r="F140" s="45" t="str">
        <f t="array" ref="F140">INDEX(SkillBoxes!A139:D715,MATCH(E140,SkillBoxes!A139:A715,0),4)</f>
        <v>Ranged Strike III</v>
      </c>
      <c r="G140" s="44">
        <v>10.0</v>
      </c>
      <c r="H140" s="44" t="s">
        <v>125</v>
      </c>
      <c r="I140" s="44" t="s">
        <v>1479</v>
      </c>
      <c r="J140" s="44" t="s">
        <v>1480</v>
      </c>
      <c r="K140" s="44">
        <v>1.5</v>
      </c>
      <c r="L140" s="44" t="s">
        <v>1484</v>
      </c>
      <c r="M140" s="44">
        <v>2.0</v>
      </c>
      <c r="N140" s="44">
        <v>-2.0</v>
      </c>
      <c r="O140" s="44" t="s">
        <v>141</v>
      </c>
      <c r="P140" s="45"/>
      <c r="Q140" s="45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</row>
    <row r="141">
      <c r="A141" s="44">
        <v>138.0</v>
      </c>
      <c r="B141" s="41" t="s">
        <v>1627</v>
      </c>
      <c r="C141" s="42">
        <f t="array" ref="C141">INDEX(SkillBoxes!A140:D716,MATCH(E141,SkillBoxes!A140:A716,0),2)</f>
        <v>7</v>
      </c>
      <c r="D141" s="42" t="str">
        <f t="array" ref="D141">INDEX(SkillBoxes!A140:D716,MATCH(E141,SkillBoxes!A140:A716,0),3)</f>
        <v>Acro Archer</v>
      </c>
      <c r="E141" s="42">
        <v>138.0</v>
      </c>
      <c r="F141" s="42" t="str">
        <f t="array" ref="F141">INDEX(SkillBoxes!A140:D716,MATCH(E141,SkillBoxes!A140:A716,0),4)</f>
        <v>Ranged Strike IV</v>
      </c>
      <c r="G141" s="41">
        <v>12.0</v>
      </c>
      <c r="H141" s="41" t="s">
        <v>159</v>
      </c>
      <c r="I141" s="41" t="s">
        <v>1479</v>
      </c>
      <c r="J141" s="41" t="s">
        <v>1480</v>
      </c>
      <c r="K141" s="41">
        <v>1.7</v>
      </c>
      <c r="L141" s="41" t="s">
        <v>1484</v>
      </c>
      <c r="M141" s="41">
        <v>3.0</v>
      </c>
      <c r="N141" s="41">
        <v>-3.0</v>
      </c>
      <c r="O141" s="41" t="s">
        <v>141</v>
      </c>
      <c r="P141" s="42"/>
      <c r="Q141" s="42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</row>
    <row r="142">
      <c r="A142" s="41">
        <v>139.0</v>
      </c>
      <c r="B142" s="44" t="s">
        <v>1628</v>
      </c>
      <c r="C142" s="45">
        <f t="array" ref="C142">INDEX(SkillBoxes!A141:D717,MATCH(E142,SkillBoxes!A141:A717,0),2)</f>
        <v>7</v>
      </c>
      <c r="D142" s="45" t="str">
        <f t="array" ref="D142">INDEX(SkillBoxes!A141:D717,MATCH(E142,SkillBoxes!A141:A717,0),3)</f>
        <v>Acro Archer</v>
      </c>
      <c r="E142" s="45">
        <v>139.0</v>
      </c>
      <c r="F142" s="45" t="str">
        <f t="array" ref="F142">INDEX(SkillBoxes!A141:D717,MATCH(E142,SkillBoxes!A141:A717,0),4)</f>
        <v>Controlled Breathing I</v>
      </c>
      <c r="G142" s="44">
        <v>4.0</v>
      </c>
      <c r="H142" s="44" t="s">
        <v>1557</v>
      </c>
      <c r="I142" s="44" t="s">
        <v>1479</v>
      </c>
      <c r="J142" s="44" t="s">
        <v>1495</v>
      </c>
      <c r="K142" s="44">
        <v>0.0</v>
      </c>
      <c r="L142" s="44" t="s">
        <v>1513</v>
      </c>
      <c r="M142" s="44">
        <v>2.0</v>
      </c>
      <c r="N142" s="44">
        <v>0.1</v>
      </c>
      <c r="O142" s="44" t="s">
        <v>145</v>
      </c>
      <c r="P142" s="45"/>
      <c r="Q142" s="45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>
      <c r="A143" s="41">
        <v>140.0</v>
      </c>
      <c r="B143" s="41" t="s">
        <v>1629</v>
      </c>
      <c r="C143" s="42">
        <f t="array" ref="C143">INDEX(SkillBoxes!A142:D718,MATCH(E143,SkillBoxes!A142:A718,0),2)</f>
        <v>7</v>
      </c>
      <c r="D143" s="42" t="str">
        <f t="array" ref="D143">INDEX(SkillBoxes!A142:D718,MATCH(E143,SkillBoxes!A142:A718,0),3)</f>
        <v>Acro Archer</v>
      </c>
      <c r="E143" s="42">
        <v>140.0</v>
      </c>
      <c r="F143" s="42" t="str">
        <f t="array" ref="F143">INDEX(SkillBoxes!A142:D718,MATCH(E143,SkillBoxes!A142:A718,0),4)</f>
        <v>Controlled Breathing II</v>
      </c>
      <c r="G143" s="41">
        <v>6.0</v>
      </c>
      <c r="H143" s="41" t="s">
        <v>1557</v>
      </c>
      <c r="I143" s="41" t="s">
        <v>1479</v>
      </c>
      <c r="J143" s="41" t="s">
        <v>1495</v>
      </c>
      <c r="K143" s="41">
        <v>0.0</v>
      </c>
      <c r="L143" s="41" t="s">
        <v>1513</v>
      </c>
      <c r="M143" s="41">
        <v>3.0</v>
      </c>
      <c r="N143" s="41">
        <v>0.15</v>
      </c>
      <c r="O143" s="41" t="s">
        <v>145</v>
      </c>
      <c r="P143" s="42"/>
      <c r="Q143" s="42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</row>
    <row r="144">
      <c r="A144" s="44">
        <v>141.0</v>
      </c>
      <c r="B144" s="44" t="s">
        <v>1630</v>
      </c>
      <c r="C144" s="45">
        <f t="array" ref="C144">INDEX(SkillBoxes!A143:D719,MATCH(E144,SkillBoxes!A143:A719,0),2)</f>
        <v>7</v>
      </c>
      <c r="D144" s="45" t="str">
        <f t="array" ref="D144">INDEX(SkillBoxes!A143:D719,MATCH(E144,SkillBoxes!A143:A719,0),3)</f>
        <v>Acro Archer</v>
      </c>
      <c r="E144" s="45">
        <v>141.0</v>
      </c>
      <c r="F144" s="45" t="str">
        <f t="array" ref="F144">INDEX(SkillBoxes!A143:D719,MATCH(E144,SkillBoxes!A143:A719,0),4)</f>
        <v>Controlled Breathing III</v>
      </c>
      <c r="G144" s="44">
        <v>8.0</v>
      </c>
      <c r="H144" s="44" t="s">
        <v>125</v>
      </c>
      <c r="I144" s="44" t="s">
        <v>1479</v>
      </c>
      <c r="J144" s="44" t="s">
        <v>1480</v>
      </c>
      <c r="K144" s="44">
        <v>1.3</v>
      </c>
      <c r="L144" s="44" t="s">
        <v>1513</v>
      </c>
      <c r="M144" s="44">
        <v>2.0</v>
      </c>
      <c r="N144" s="44">
        <v>0.1</v>
      </c>
      <c r="O144" s="44" t="s">
        <v>145</v>
      </c>
      <c r="P144" s="45"/>
      <c r="Q144" s="45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</row>
    <row r="145">
      <c r="A145" s="41">
        <v>142.0</v>
      </c>
      <c r="B145" s="41" t="s">
        <v>1631</v>
      </c>
      <c r="C145" s="42">
        <f t="array" ref="C145">INDEX(SkillBoxes!A144:D720,MATCH(E145,SkillBoxes!A144:A720,0),2)</f>
        <v>7</v>
      </c>
      <c r="D145" s="42" t="str">
        <f t="array" ref="D145">INDEX(SkillBoxes!A144:D720,MATCH(E145,SkillBoxes!A144:A720,0),3)</f>
        <v>Acro Archer</v>
      </c>
      <c r="E145" s="42">
        <v>142.0</v>
      </c>
      <c r="F145" s="42" t="str">
        <f t="array" ref="F145">INDEX(SkillBoxes!A144:D720,MATCH(E145,SkillBoxes!A144:A720,0),4)</f>
        <v>Controlled Breathing IV</v>
      </c>
      <c r="G145" s="41">
        <v>10.0</v>
      </c>
      <c r="H145" s="41" t="s">
        <v>125</v>
      </c>
      <c r="I145" s="41" t="s">
        <v>1479</v>
      </c>
      <c r="J145" s="41" t="s">
        <v>1480</v>
      </c>
      <c r="K145" s="41">
        <v>1.5</v>
      </c>
      <c r="L145" s="41" t="s">
        <v>1513</v>
      </c>
      <c r="M145" s="41">
        <v>3.0</v>
      </c>
      <c r="N145" s="41">
        <v>0.15</v>
      </c>
      <c r="O145" s="41" t="s">
        <v>145</v>
      </c>
      <c r="P145" s="42"/>
      <c r="Q145" s="42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</row>
    <row r="146">
      <c r="A146" s="44">
        <v>143.0</v>
      </c>
      <c r="B146" s="44" t="s">
        <v>1632</v>
      </c>
      <c r="C146" s="45">
        <f t="array" ref="C146">INDEX(SkillBoxes!A145:D721,MATCH(E146,SkillBoxes!A145:A721,0),2)</f>
        <v>7</v>
      </c>
      <c r="D146" s="45" t="str">
        <f t="array" ref="D146">INDEX(SkillBoxes!A145:D721,MATCH(E146,SkillBoxes!A145:A721,0),3)</f>
        <v>Acro Archer</v>
      </c>
      <c r="E146" s="45">
        <v>143.0</v>
      </c>
      <c r="F146" s="45" t="str">
        <f t="array" ref="F146">INDEX(SkillBoxes!A145:D721,MATCH(E146,SkillBoxes!A145:A721,0),4)</f>
        <v>Master Acro Archer</v>
      </c>
      <c r="G146" s="44">
        <v>16.0</v>
      </c>
      <c r="H146" s="44" t="s">
        <v>159</v>
      </c>
      <c r="I146" s="44" t="s">
        <v>1479</v>
      </c>
      <c r="J146" s="44" t="s">
        <v>1491</v>
      </c>
      <c r="K146" s="44">
        <v>1.0</v>
      </c>
      <c r="L146" s="44" t="s">
        <v>1484</v>
      </c>
      <c r="M146" s="44">
        <v>3.0</v>
      </c>
      <c r="N146" s="44">
        <v>-3.0</v>
      </c>
      <c r="O146" s="44" t="s">
        <v>141</v>
      </c>
      <c r="P146" s="45"/>
      <c r="Q146" s="45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</row>
    <row r="147">
      <c r="A147" s="41">
        <v>144.0</v>
      </c>
      <c r="B147" s="41" t="s">
        <v>1633</v>
      </c>
      <c r="C147" s="42">
        <f t="array" ref="C147">INDEX(SkillBoxes!A146:D722,MATCH(E147,SkillBoxes!A146:A722,0),2)</f>
        <v>8</v>
      </c>
      <c r="D147" s="42" t="str">
        <f t="array" ref="D147">INDEX(SkillBoxes!A146:D722,MATCH(E147,SkillBoxes!A146:A722,0),3)</f>
        <v>Pistol Ranger</v>
      </c>
      <c r="E147" s="42">
        <v>144.0</v>
      </c>
      <c r="F147" s="42" t="str">
        <f t="array" ref="F147">INDEX(SkillBoxes!A146:D722,MATCH(E147,SkillBoxes!A146:A722,0),4)</f>
        <v>Novice Pistol Ranger</v>
      </c>
      <c r="G147" s="41">
        <v>5.0</v>
      </c>
      <c r="H147" s="41" t="s">
        <v>125</v>
      </c>
      <c r="I147" s="41" t="s">
        <v>1479</v>
      </c>
      <c r="J147" s="41" t="s">
        <v>1480</v>
      </c>
      <c r="K147" s="41">
        <v>1.0</v>
      </c>
      <c r="L147" s="42"/>
      <c r="M147" s="42"/>
      <c r="N147" s="42"/>
      <c r="O147" s="42"/>
      <c r="P147" s="42"/>
      <c r="Q147" s="42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</row>
    <row r="148">
      <c r="A148" s="44">
        <v>145.0</v>
      </c>
      <c r="B148" s="44" t="s">
        <v>1634</v>
      </c>
      <c r="C148" s="45">
        <f t="array" ref="C148">INDEX(SkillBoxes!A147:D723,MATCH(E148,SkillBoxes!A147:A723,0),2)</f>
        <v>8</v>
      </c>
      <c r="D148" s="45" t="str">
        <f t="array" ref="D148">INDEX(SkillBoxes!A147:D723,MATCH(E148,SkillBoxes!A147:A723,0),3)</f>
        <v>Pistol Ranger</v>
      </c>
      <c r="E148" s="45">
        <v>145.0</v>
      </c>
      <c r="F148" s="45" t="str">
        <f t="array" ref="F148">INDEX(SkillBoxes!A147:D723,MATCH(E148,SkillBoxes!A147:A723,0),4)</f>
        <v>Disengage I</v>
      </c>
      <c r="G148" s="44">
        <v>5.0</v>
      </c>
      <c r="H148" s="44" t="s">
        <v>125</v>
      </c>
      <c r="I148" s="44" t="s">
        <v>1479</v>
      </c>
      <c r="J148" s="44" t="s">
        <v>1480</v>
      </c>
      <c r="K148" s="44">
        <v>1.0</v>
      </c>
      <c r="L148" s="44" t="s">
        <v>1513</v>
      </c>
      <c r="M148" s="44">
        <v>1.0</v>
      </c>
      <c r="N148" s="44">
        <v>0.1</v>
      </c>
      <c r="O148" s="44" t="s">
        <v>137</v>
      </c>
      <c r="P148" s="45"/>
      <c r="Q148" s="45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</row>
    <row r="149">
      <c r="A149" s="41">
        <v>146.0</v>
      </c>
      <c r="B149" s="41" t="s">
        <v>1635</v>
      </c>
      <c r="C149" s="42">
        <f t="array" ref="C149">INDEX(SkillBoxes!A148:D724,MATCH(E149,SkillBoxes!A148:A724,0),2)</f>
        <v>8</v>
      </c>
      <c r="D149" s="42" t="str">
        <f t="array" ref="D149">INDEX(SkillBoxes!A148:D724,MATCH(E149,SkillBoxes!A148:A724,0),3)</f>
        <v>Pistol Ranger</v>
      </c>
      <c r="E149" s="42">
        <v>146.0</v>
      </c>
      <c r="F149" s="42" t="str">
        <f t="array" ref="F149">INDEX(SkillBoxes!A148:D724,MATCH(E149,SkillBoxes!A148:A724,0),4)</f>
        <v>Disengage II</v>
      </c>
      <c r="G149" s="41">
        <v>7.0</v>
      </c>
      <c r="H149" s="41" t="s">
        <v>125</v>
      </c>
      <c r="I149" s="41" t="s">
        <v>1479</v>
      </c>
      <c r="J149" s="41" t="s">
        <v>1480</v>
      </c>
      <c r="K149" s="41">
        <v>1.1</v>
      </c>
      <c r="L149" s="41" t="s">
        <v>1513</v>
      </c>
      <c r="M149" s="41">
        <v>2.0</v>
      </c>
      <c r="N149" s="41">
        <v>0.1</v>
      </c>
      <c r="O149" s="41" t="s">
        <v>137</v>
      </c>
      <c r="P149" s="42"/>
      <c r="Q149" s="42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</row>
    <row r="150">
      <c r="A150" s="41">
        <v>147.0</v>
      </c>
      <c r="B150" s="44" t="s">
        <v>1636</v>
      </c>
      <c r="C150" s="45">
        <f t="array" ref="C150">INDEX(SkillBoxes!A149:D725,MATCH(E150,SkillBoxes!A149:A725,0),2)</f>
        <v>8</v>
      </c>
      <c r="D150" s="45" t="str">
        <f t="array" ref="D150">INDEX(SkillBoxes!A149:D725,MATCH(E150,SkillBoxes!A149:A725,0),3)</f>
        <v>Pistol Ranger</v>
      </c>
      <c r="E150" s="45">
        <v>147.0</v>
      </c>
      <c r="F150" s="45" t="str">
        <f t="array" ref="F150">INDEX(SkillBoxes!A149:D725,MATCH(E150,SkillBoxes!A149:A725,0),4)</f>
        <v>Disengage III</v>
      </c>
      <c r="G150" s="44">
        <v>9.0</v>
      </c>
      <c r="H150" s="44" t="s">
        <v>125</v>
      </c>
      <c r="I150" s="44" t="s">
        <v>1479</v>
      </c>
      <c r="J150" s="44" t="s">
        <v>1495</v>
      </c>
      <c r="K150" s="44">
        <v>0.0</v>
      </c>
      <c r="L150" s="44" t="s">
        <v>1513</v>
      </c>
      <c r="M150" s="44">
        <v>2.0</v>
      </c>
      <c r="N150" s="44">
        <v>0.15</v>
      </c>
      <c r="O150" s="44" t="s">
        <v>137</v>
      </c>
      <c r="P150" s="45"/>
      <c r="Q150" s="45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</row>
    <row r="151">
      <c r="A151" s="44">
        <v>148.0</v>
      </c>
      <c r="B151" s="41" t="s">
        <v>1637</v>
      </c>
      <c r="C151" s="42">
        <f t="array" ref="C151">INDEX(SkillBoxes!A150:D726,MATCH(E151,SkillBoxes!A150:A726,0),2)</f>
        <v>8</v>
      </c>
      <c r="D151" s="42" t="str">
        <f t="array" ref="D151">INDEX(SkillBoxes!A150:D726,MATCH(E151,SkillBoxes!A150:A726,0),3)</f>
        <v>Pistol Ranger</v>
      </c>
      <c r="E151" s="42">
        <v>148.0</v>
      </c>
      <c r="F151" s="42" t="str">
        <f t="array" ref="F151">INDEX(SkillBoxes!A150:D726,MATCH(E151,SkillBoxes!A150:A726,0),4)</f>
        <v>Disengage IV</v>
      </c>
      <c r="G151" s="41">
        <v>11.0</v>
      </c>
      <c r="H151" s="41" t="s">
        <v>159</v>
      </c>
      <c r="I151" s="41" t="s">
        <v>1479</v>
      </c>
      <c r="J151" s="41" t="s">
        <v>1480</v>
      </c>
      <c r="K151" s="41">
        <v>1.2</v>
      </c>
      <c r="L151" s="41" t="s">
        <v>1513</v>
      </c>
      <c r="M151" s="41">
        <v>3.0</v>
      </c>
      <c r="N151" s="41">
        <v>0.15</v>
      </c>
      <c r="O151" s="41" t="s">
        <v>137</v>
      </c>
      <c r="P151" s="42"/>
      <c r="Q151" s="42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</row>
    <row r="152">
      <c r="A152" s="41">
        <v>149.0</v>
      </c>
      <c r="B152" s="44" t="s">
        <v>1638</v>
      </c>
      <c r="C152" s="45">
        <f t="array" ref="C152">INDEX(SkillBoxes!A151:D727,MATCH(E152,SkillBoxes!A151:A727,0),2)</f>
        <v>8</v>
      </c>
      <c r="D152" s="45" t="str">
        <f t="array" ref="D152">INDEX(SkillBoxes!A151:D727,MATCH(E152,SkillBoxes!A151:A727,0),3)</f>
        <v>Pistol Ranger</v>
      </c>
      <c r="E152" s="45">
        <v>149.0</v>
      </c>
      <c r="F152" s="45" t="str">
        <f t="array" ref="F152">INDEX(SkillBoxes!A151:D727,MATCH(E152,SkillBoxes!A151:A727,0),4)</f>
        <v>Rapid Fire I</v>
      </c>
      <c r="G152" s="44">
        <v>6.0</v>
      </c>
      <c r="H152" s="44" t="s">
        <v>125</v>
      </c>
      <c r="I152" s="44" t="s">
        <v>1479</v>
      </c>
      <c r="J152" s="44" t="s">
        <v>1480</v>
      </c>
      <c r="K152" s="44">
        <v>0.9</v>
      </c>
      <c r="L152" s="45"/>
      <c r="M152" s="45"/>
      <c r="N152" s="45"/>
      <c r="O152" s="45"/>
      <c r="P152" s="45"/>
      <c r="Q152" s="45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</row>
    <row r="153">
      <c r="A153" s="44">
        <v>150.0</v>
      </c>
      <c r="B153" s="41" t="s">
        <v>1639</v>
      </c>
      <c r="C153" s="42">
        <f t="array" ref="C153">INDEX(SkillBoxes!A152:D728,MATCH(E153,SkillBoxes!A152:A728,0),2)</f>
        <v>8</v>
      </c>
      <c r="D153" s="42" t="str">
        <f t="array" ref="D153">INDEX(SkillBoxes!A152:D728,MATCH(E153,SkillBoxes!A152:A728,0),3)</f>
        <v>Pistol Ranger</v>
      </c>
      <c r="E153" s="42">
        <v>150.0</v>
      </c>
      <c r="F153" s="42" t="str">
        <f t="array" ref="F153">INDEX(SkillBoxes!A152:D728,MATCH(E153,SkillBoxes!A152:A728,0),4)</f>
        <v>Rapid Fire II</v>
      </c>
      <c r="G153" s="41">
        <v>8.0</v>
      </c>
      <c r="H153" s="41" t="s">
        <v>125</v>
      </c>
      <c r="I153" s="41" t="s">
        <v>1479</v>
      </c>
      <c r="J153" s="41" t="s">
        <v>1480</v>
      </c>
      <c r="K153" s="41">
        <v>1.0</v>
      </c>
      <c r="L153" s="42"/>
      <c r="M153" s="42"/>
      <c r="N153" s="42"/>
      <c r="O153" s="42"/>
      <c r="P153" s="42"/>
      <c r="Q153" s="42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</row>
    <row r="154">
      <c r="A154" s="41">
        <v>151.0</v>
      </c>
      <c r="B154" s="44" t="s">
        <v>1640</v>
      </c>
      <c r="C154" s="45">
        <f t="array" ref="C154">INDEX(SkillBoxes!A153:D729,MATCH(E154,SkillBoxes!A153:A729,0),2)</f>
        <v>8</v>
      </c>
      <c r="D154" s="45" t="str">
        <f t="array" ref="D154">INDEX(SkillBoxes!A153:D729,MATCH(E154,SkillBoxes!A153:A729,0),3)</f>
        <v>Pistol Ranger</v>
      </c>
      <c r="E154" s="45">
        <v>151.0</v>
      </c>
      <c r="F154" s="45" t="str">
        <f t="array" ref="F154">INDEX(SkillBoxes!A153:D729,MATCH(E154,SkillBoxes!A153:A729,0),4)</f>
        <v>Rapid Fire III</v>
      </c>
      <c r="G154" s="44">
        <v>10.0</v>
      </c>
      <c r="H154" s="44" t="s">
        <v>125</v>
      </c>
      <c r="I154" s="44" t="s">
        <v>1479</v>
      </c>
      <c r="J154" s="44" t="s">
        <v>1491</v>
      </c>
      <c r="K154" s="44">
        <v>0.8</v>
      </c>
      <c r="L154" s="44" t="s">
        <v>1484</v>
      </c>
      <c r="M154" s="44">
        <v>1.0</v>
      </c>
      <c r="N154" s="44">
        <v>-1.0</v>
      </c>
      <c r="O154" s="44" t="s">
        <v>141</v>
      </c>
      <c r="P154" s="45"/>
      <c r="Q154" s="45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</row>
    <row r="155">
      <c r="A155" s="44">
        <v>152.0</v>
      </c>
      <c r="B155" s="41" t="s">
        <v>1641</v>
      </c>
      <c r="C155" s="42">
        <f t="array" ref="C155">INDEX(SkillBoxes!A154:D730,MATCH(E155,SkillBoxes!A154:A730,0),2)</f>
        <v>8</v>
      </c>
      <c r="D155" s="42" t="str">
        <f t="array" ref="D155">INDEX(SkillBoxes!A154:D730,MATCH(E155,SkillBoxes!A154:A730,0),3)</f>
        <v>Pistol Ranger</v>
      </c>
      <c r="E155" s="42">
        <v>152.0</v>
      </c>
      <c r="F155" s="42" t="str">
        <f t="array" ref="F155">INDEX(SkillBoxes!A154:D730,MATCH(E155,SkillBoxes!A154:A730,0),4)</f>
        <v>Rapid Fire IV</v>
      </c>
      <c r="G155" s="41">
        <v>12.0</v>
      </c>
      <c r="H155" s="41" t="s">
        <v>159</v>
      </c>
      <c r="I155" s="41" t="s">
        <v>1479</v>
      </c>
      <c r="J155" s="41" t="s">
        <v>1491</v>
      </c>
      <c r="K155" s="41">
        <v>0.9</v>
      </c>
      <c r="L155" s="41" t="s">
        <v>1484</v>
      </c>
      <c r="M155" s="41">
        <v>2.0</v>
      </c>
      <c r="N155" s="41">
        <v>-2.0</v>
      </c>
      <c r="O155" s="41" t="s">
        <v>141</v>
      </c>
      <c r="P155" s="42"/>
      <c r="Q155" s="42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</row>
    <row r="156">
      <c r="A156" s="41">
        <v>153.0</v>
      </c>
      <c r="B156" s="44" t="s">
        <v>1642</v>
      </c>
      <c r="C156" s="45">
        <f t="array" ref="C156">INDEX(SkillBoxes!A155:D731,MATCH(E156,SkillBoxes!A155:A731,0),2)</f>
        <v>8</v>
      </c>
      <c r="D156" s="45" t="str">
        <f t="array" ref="D156">INDEX(SkillBoxes!A155:D731,MATCH(E156,SkillBoxes!A155:A731,0),3)</f>
        <v>Pistol Ranger</v>
      </c>
      <c r="E156" s="45">
        <v>153.0</v>
      </c>
      <c r="F156" s="45" t="str">
        <f t="array" ref="F156">INDEX(SkillBoxes!A155:D731,MATCH(E156,SkillBoxes!A155:A731,0),4)</f>
        <v>Quick Draw I</v>
      </c>
      <c r="G156" s="44">
        <v>5.0</v>
      </c>
      <c r="H156" s="44" t="s">
        <v>125</v>
      </c>
      <c r="I156" s="44" t="s">
        <v>1479</v>
      </c>
      <c r="J156" s="44" t="s">
        <v>1480</v>
      </c>
      <c r="K156" s="44">
        <v>1.2</v>
      </c>
      <c r="L156" s="45"/>
      <c r="M156" s="45"/>
      <c r="N156" s="45"/>
      <c r="O156" s="45"/>
      <c r="P156" s="45"/>
      <c r="Q156" s="45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</row>
    <row r="157">
      <c r="A157" s="41">
        <v>154.0</v>
      </c>
      <c r="B157" s="41" t="s">
        <v>1643</v>
      </c>
      <c r="C157" s="42">
        <f t="array" ref="C157">INDEX(SkillBoxes!A156:D732,MATCH(E157,SkillBoxes!A156:A732,0),2)</f>
        <v>8</v>
      </c>
      <c r="D157" s="42" t="str">
        <f t="array" ref="D157">INDEX(SkillBoxes!A156:D732,MATCH(E157,SkillBoxes!A156:A732,0),3)</f>
        <v>Pistol Ranger</v>
      </c>
      <c r="E157" s="42">
        <v>154.0</v>
      </c>
      <c r="F157" s="42" t="str">
        <f t="array" ref="F157">INDEX(SkillBoxes!A156:D732,MATCH(E157,SkillBoxes!A156:A732,0),4)</f>
        <v>Quick Draw II</v>
      </c>
      <c r="G157" s="41">
        <v>7.0</v>
      </c>
      <c r="H157" s="41" t="s">
        <v>125</v>
      </c>
      <c r="I157" s="41" t="s">
        <v>1479</v>
      </c>
      <c r="J157" s="41" t="s">
        <v>1480</v>
      </c>
      <c r="K157" s="41">
        <v>1.35</v>
      </c>
      <c r="L157" s="42"/>
      <c r="M157" s="42"/>
      <c r="N157" s="42"/>
      <c r="O157" s="42"/>
      <c r="P157" s="42"/>
      <c r="Q157" s="42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</row>
    <row r="158">
      <c r="A158" s="44">
        <v>155.0</v>
      </c>
      <c r="B158" s="44" t="s">
        <v>1644</v>
      </c>
      <c r="C158" s="45">
        <f t="array" ref="C158">INDEX(SkillBoxes!A157:D733,MATCH(E158,SkillBoxes!A157:A733,0),2)</f>
        <v>8</v>
      </c>
      <c r="D158" s="45" t="str">
        <f t="array" ref="D158">INDEX(SkillBoxes!A157:D733,MATCH(E158,SkillBoxes!A157:A733,0),3)</f>
        <v>Pistol Ranger</v>
      </c>
      <c r="E158" s="45">
        <v>155.0</v>
      </c>
      <c r="F158" s="45" t="str">
        <f t="array" ref="F158">INDEX(SkillBoxes!A157:D733,MATCH(E158,SkillBoxes!A157:A733,0),4)</f>
        <v>Quick Draw III</v>
      </c>
      <c r="G158" s="44">
        <v>9.0</v>
      </c>
      <c r="H158" s="44" t="s">
        <v>159</v>
      </c>
      <c r="I158" s="44" t="s">
        <v>1479</v>
      </c>
      <c r="J158" s="44" t="s">
        <v>1480</v>
      </c>
      <c r="K158" s="44">
        <v>1.5</v>
      </c>
      <c r="L158" s="44" t="s">
        <v>1489</v>
      </c>
      <c r="M158" s="44">
        <v>1.0</v>
      </c>
      <c r="N158" s="45"/>
      <c r="O158" s="45"/>
      <c r="P158" s="45"/>
      <c r="Q158" s="45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</row>
    <row r="159">
      <c r="A159" s="41">
        <v>156.0</v>
      </c>
      <c r="B159" s="41" t="s">
        <v>1645</v>
      </c>
      <c r="C159" s="42">
        <f t="array" ref="C159">INDEX(SkillBoxes!A158:D734,MATCH(E159,SkillBoxes!A158:A734,0),2)</f>
        <v>8</v>
      </c>
      <c r="D159" s="42" t="str">
        <f t="array" ref="D159">INDEX(SkillBoxes!A158:D734,MATCH(E159,SkillBoxes!A158:A734,0),3)</f>
        <v>Pistol Ranger</v>
      </c>
      <c r="E159" s="42">
        <v>156.0</v>
      </c>
      <c r="F159" s="42" t="str">
        <f t="array" ref="F159">INDEX(SkillBoxes!A158:D734,MATCH(E159,SkillBoxes!A158:A734,0),4)</f>
        <v>Quick Draw IV</v>
      </c>
      <c r="G159" s="41">
        <v>11.0</v>
      </c>
      <c r="H159" s="41" t="s">
        <v>159</v>
      </c>
      <c r="I159" s="41" t="s">
        <v>1479</v>
      </c>
      <c r="J159" s="41" t="s">
        <v>1480</v>
      </c>
      <c r="K159" s="41">
        <v>1.7</v>
      </c>
      <c r="L159" s="41" t="s">
        <v>410</v>
      </c>
      <c r="M159" s="41">
        <v>2.0</v>
      </c>
      <c r="N159" s="41">
        <v>0.1</v>
      </c>
      <c r="O159" s="41" t="s">
        <v>133</v>
      </c>
      <c r="P159" s="42"/>
      <c r="Q159" s="42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</row>
    <row r="160">
      <c r="A160" s="44">
        <v>157.0</v>
      </c>
      <c r="B160" s="44" t="s">
        <v>1646</v>
      </c>
      <c r="C160" s="45">
        <f t="array" ref="C160">INDEX(SkillBoxes!A159:D735,MATCH(E160,SkillBoxes!A159:A735,0),2)</f>
        <v>8</v>
      </c>
      <c r="D160" s="45" t="str">
        <f t="array" ref="D160">INDEX(SkillBoxes!A159:D735,MATCH(E160,SkillBoxes!A159:A735,0),3)</f>
        <v>Pistol Ranger</v>
      </c>
      <c r="E160" s="45">
        <v>157.0</v>
      </c>
      <c r="F160" s="45" t="str">
        <f t="array" ref="F160">INDEX(SkillBoxes!A159:D735,MATCH(E160,SkillBoxes!A159:A735,0),4)</f>
        <v>Mobility I</v>
      </c>
      <c r="G160" s="44">
        <v>5.0</v>
      </c>
      <c r="H160" s="44" t="s">
        <v>125</v>
      </c>
      <c r="I160" s="44" t="s">
        <v>1479</v>
      </c>
      <c r="J160" s="44" t="s">
        <v>1480</v>
      </c>
      <c r="K160" s="44">
        <v>1.0</v>
      </c>
      <c r="L160" s="44" t="s">
        <v>1513</v>
      </c>
      <c r="M160" s="44">
        <v>1.0</v>
      </c>
      <c r="N160" s="44">
        <v>0.1</v>
      </c>
      <c r="O160" s="44" t="s">
        <v>137</v>
      </c>
      <c r="P160" s="45"/>
      <c r="Q160" s="45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</row>
    <row r="161">
      <c r="A161" s="41">
        <v>158.0</v>
      </c>
      <c r="B161" s="41" t="s">
        <v>1647</v>
      </c>
      <c r="C161" s="42">
        <f t="array" ref="C161">INDEX(SkillBoxes!A160:D736,MATCH(E161,SkillBoxes!A160:A736,0),2)</f>
        <v>8</v>
      </c>
      <c r="D161" s="42" t="str">
        <f t="array" ref="D161">INDEX(SkillBoxes!A160:D736,MATCH(E161,SkillBoxes!A160:A736,0),3)</f>
        <v>Pistol Ranger</v>
      </c>
      <c r="E161" s="42">
        <v>158.0</v>
      </c>
      <c r="F161" s="42" t="str">
        <f t="array" ref="F161">INDEX(SkillBoxes!A160:D736,MATCH(E161,SkillBoxes!A160:A736,0),4)</f>
        <v>Mobility II</v>
      </c>
      <c r="G161" s="41">
        <v>7.0</v>
      </c>
      <c r="H161" s="41" t="s">
        <v>125</v>
      </c>
      <c r="I161" s="41" t="s">
        <v>1479</v>
      </c>
      <c r="J161" s="41" t="s">
        <v>1480</v>
      </c>
      <c r="K161" s="41">
        <v>1.1</v>
      </c>
      <c r="L161" s="41" t="s">
        <v>1513</v>
      </c>
      <c r="M161" s="41">
        <v>2.0</v>
      </c>
      <c r="N161" s="41">
        <v>0.1</v>
      </c>
      <c r="O161" s="41" t="s">
        <v>137</v>
      </c>
      <c r="P161" s="42"/>
      <c r="Q161" s="42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</row>
    <row r="162">
      <c r="A162" s="44">
        <v>159.0</v>
      </c>
      <c r="B162" s="44" t="s">
        <v>1648</v>
      </c>
      <c r="C162" s="45">
        <f t="array" ref="C162">INDEX(SkillBoxes!A161:D737,MATCH(E162,SkillBoxes!A161:A737,0),2)</f>
        <v>8</v>
      </c>
      <c r="D162" s="45" t="str">
        <f t="array" ref="D162">INDEX(SkillBoxes!A161:D737,MATCH(E162,SkillBoxes!A161:A737,0),3)</f>
        <v>Pistol Ranger</v>
      </c>
      <c r="E162" s="45">
        <v>159.0</v>
      </c>
      <c r="F162" s="45" t="str">
        <f t="array" ref="F162">INDEX(SkillBoxes!A161:D737,MATCH(E162,SkillBoxes!A161:A737,0),4)</f>
        <v>Mobility III</v>
      </c>
      <c r="G162" s="44">
        <v>9.0</v>
      </c>
      <c r="H162" s="44" t="s">
        <v>125</v>
      </c>
      <c r="I162" s="44" t="s">
        <v>1479</v>
      </c>
      <c r="J162" s="44" t="s">
        <v>1480</v>
      </c>
      <c r="K162" s="44">
        <v>1.2</v>
      </c>
      <c r="L162" s="44" t="s">
        <v>1513</v>
      </c>
      <c r="M162" s="44">
        <v>2.0</v>
      </c>
      <c r="N162" s="44">
        <v>0.1</v>
      </c>
      <c r="O162" s="44" t="s">
        <v>137</v>
      </c>
      <c r="P162" s="45"/>
      <c r="Q162" s="45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</row>
    <row r="163">
      <c r="A163" s="41">
        <v>160.0</v>
      </c>
      <c r="B163" s="41" t="s">
        <v>1649</v>
      </c>
      <c r="C163" s="42">
        <f t="array" ref="C163">INDEX(SkillBoxes!A162:D738,MATCH(E163,SkillBoxes!A162:A738,0),2)</f>
        <v>8</v>
      </c>
      <c r="D163" s="42" t="str">
        <f t="array" ref="D163">INDEX(SkillBoxes!A162:D738,MATCH(E163,SkillBoxes!A162:A738,0),3)</f>
        <v>Pistol Ranger</v>
      </c>
      <c r="E163" s="42">
        <v>160.0</v>
      </c>
      <c r="F163" s="42" t="str">
        <f t="array" ref="F163">INDEX(SkillBoxes!A162:D738,MATCH(E163,SkillBoxes!A162:A738,0),4)</f>
        <v>Mobility IV</v>
      </c>
      <c r="G163" s="41">
        <v>11.0</v>
      </c>
      <c r="H163" s="41" t="s">
        <v>159</v>
      </c>
      <c r="I163" s="41" t="s">
        <v>1479</v>
      </c>
      <c r="J163" s="41" t="s">
        <v>1491</v>
      </c>
      <c r="K163" s="41">
        <v>0.9</v>
      </c>
      <c r="L163" s="41" t="s">
        <v>1489</v>
      </c>
      <c r="M163" s="41">
        <v>1.0</v>
      </c>
      <c r="N163" s="42"/>
      <c r="O163" s="42"/>
      <c r="P163" s="42"/>
      <c r="Q163" s="42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</row>
    <row r="164">
      <c r="A164" s="41">
        <v>161.0</v>
      </c>
      <c r="B164" s="44" t="s">
        <v>1650</v>
      </c>
      <c r="C164" s="45">
        <f t="array" ref="C164">INDEX(SkillBoxes!A163:D739,MATCH(E164,SkillBoxes!A163:A739,0),2)</f>
        <v>8</v>
      </c>
      <c r="D164" s="45" t="str">
        <f t="array" ref="D164">INDEX(SkillBoxes!A163:D739,MATCH(E164,SkillBoxes!A163:A739,0),3)</f>
        <v>Pistol Ranger</v>
      </c>
      <c r="E164" s="45">
        <v>161.0</v>
      </c>
      <c r="F164" s="45" t="str">
        <f t="array" ref="F164">INDEX(SkillBoxes!A163:D739,MATCH(E164,SkillBoxes!A163:A739,0),4)</f>
        <v>Master Pistol Ranger</v>
      </c>
      <c r="G164" s="44">
        <v>16.0</v>
      </c>
      <c r="H164" s="44" t="s">
        <v>159</v>
      </c>
      <c r="I164" s="44" t="s">
        <v>1479</v>
      </c>
      <c r="J164" s="44" t="s">
        <v>1491</v>
      </c>
      <c r="K164" s="44">
        <v>1.0</v>
      </c>
      <c r="L164" s="44" t="s">
        <v>1489</v>
      </c>
      <c r="M164" s="44">
        <v>2.0</v>
      </c>
      <c r="N164" s="45"/>
      <c r="O164" s="45"/>
      <c r="P164" s="45"/>
      <c r="Q164" s="45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</row>
    <row r="165">
      <c r="A165" s="44">
        <v>162.0</v>
      </c>
      <c r="B165" s="41" t="s">
        <v>1651</v>
      </c>
      <c r="C165" s="42">
        <f t="array" ref="C165">INDEX(SkillBoxes!A164:D740,MATCH(E165,SkillBoxes!A164:A740,0),2)</f>
        <v>9</v>
      </c>
      <c r="D165" s="42" t="str">
        <f t="array" ref="D165">INDEX(SkillBoxes!A164:D740,MATCH(E165,SkillBoxes!A164:A740,0),3)</f>
        <v>Umbral Assassin</v>
      </c>
      <c r="E165" s="42">
        <v>162.0</v>
      </c>
      <c r="F165" s="42" t="str">
        <f t="array" ref="F165">INDEX(SkillBoxes!A164:D740,MATCH(E165,SkillBoxes!A164:A740,0),4)</f>
        <v>Novice Umbral Assassin</v>
      </c>
      <c r="G165" s="41">
        <v>5.0</v>
      </c>
      <c r="H165" s="41" t="s">
        <v>125</v>
      </c>
      <c r="I165" s="41" t="s">
        <v>1479</v>
      </c>
      <c r="J165" s="41" t="s">
        <v>1480</v>
      </c>
      <c r="K165" s="41">
        <v>1.0</v>
      </c>
      <c r="L165" s="41" t="s">
        <v>1484</v>
      </c>
      <c r="M165" s="41">
        <v>1.0</v>
      </c>
      <c r="N165" s="41">
        <v>-1.0</v>
      </c>
      <c r="O165" s="41" t="s">
        <v>141</v>
      </c>
      <c r="P165" s="41" t="s">
        <v>1518</v>
      </c>
      <c r="Q165" s="42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</row>
    <row r="166">
      <c r="A166" s="41">
        <v>163.0</v>
      </c>
      <c r="B166" s="44" t="s">
        <v>1652</v>
      </c>
      <c r="C166" s="45">
        <f t="array" ref="C166">INDEX(SkillBoxes!A165:D741,MATCH(E166,SkillBoxes!A165:A741,0),2)</f>
        <v>9</v>
      </c>
      <c r="D166" s="45" t="str">
        <f t="array" ref="D166">INDEX(SkillBoxes!A165:D741,MATCH(E166,SkillBoxes!A165:A741,0),3)</f>
        <v>Umbral Assassin</v>
      </c>
      <c r="E166" s="45">
        <v>163.0</v>
      </c>
      <c r="F166" s="45" t="str">
        <f t="array" ref="F166">INDEX(SkillBoxes!A165:D741,MATCH(E166,SkillBoxes!A165:A741,0),4)</f>
        <v>Reflexes I</v>
      </c>
      <c r="G166" s="44">
        <v>5.0</v>
      </c>
      <c r="H166" s="44" t="s">
        <v>125</v>
      </c>
      <c r="I166" s="44" t="s">
        <v>1479</v>
      </c>
      <c r="J166" s="44" t="s">
        <v>1480</v>
      </c>
      <c r="K166" s="44">
        <v>1.1</v>
      </c>
      <c r="L166" s="45"/>
      <c r="M166" s="45"/>
      <c r="N166" s="45"/>
      <c r="O166" s="45"/>
      <c r="P166" s="45"/>
      <c r="Q166" s="45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</row>
    <row r="167">
      <c r="A167" s="44">
        <v>164.0</v>
      </c>
      <c r="B167" s="41" t="s">
        <v>1653</v>
      </c>
      <c r="C167" s="42">
        <f t="array" ref="C167">INDEX(SkillBoxes!A166:D742,MATCH(E167,SkillBoxes!A166:A742,0),2)</f>
        <v>9</v>
      </c>
      <c r="D167" s="42" t="str">
        <f t="array" ref="D167">INDEX(SkillBoxes!A166:D742,MATCH(E167,SkillBoxes!A166:A742,0),3)</f>
        <v>Umbral Assassin</v>
      </c>
      <c r="E167" s="42">
        <v>164.0</v>
      </c>
      <c r="F167" s="42" t="str">
        <f t="array" ref="F167">INDEX(SkillBoxes!A166:D742,MATCH(E167,SkillBoxes!A166:A742,0),4)</f>
        <v>Reflexes II</v>
      </c>
      <c r="G167" s="41">
        <v>7.0</v>
      </c>
      <c r="H167" s="41" t="s">
        <v>125</v>
      </c>
      <c r="I167" s="41" t="s">
        <v>1479</v>
      </c>
      <c r="J167" s="41" t="s">
        <v>1480</v>
      </c>
      <c r="K167" s="41">
        <v>1.2</v>
      </c>
      <c r="L167" s="42"/>
      <c r="M167" s="42"/>
      <c r="N167" s="42"/>
      <c r="O167" s="42"/>
      <c r="P167" s="42"/>
      <c r="Q167" s="42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</row>
    <row r="168">
      <c r="A168" s="41">
        <v>165.0</v>
      </c>
      <c r="B168" s="44" t="s">
        <v>1654</v>
      </c>
      <c r="C168" s="45">
        <f t="array" ref="C168">INDEX(SkillBoxes!A167:D743,MATCH(E168,SkillBoxes!A167:A743,0),2)</f>
        <v>9</v>
      </c>
      <c r="D168" s="45" t="str">
        <f t="array" ref="D168">INDEX(SkillBoxes!A167:D743,MATCH(E168,SkillBoxes!A167:A743,0),3)</f>
        <v>Umbral Assassin</v>
      </c>
      <c r="E168" s="45">
        <v>165.0</v>
      </c>
      <c r="F168" s="45" t="str">
        <f t="array" ref="F168">INDEX(SkillBoxes!A167:D743,MATCH(E168,SkillBoxes!A167:A743,0),4)</f>
        <v>Reflexes III</v>
      </c>
      <c r="G168" s="44">
        <v>9.0</v>
      </c>
      <c r="H168" s="44" t="s">
        <v>125</v>
      </c>
      <c r="I168" s="44" t="s">
        <v>1479</v>
      </c>
      <c r="J168" s="44" t="s">
        <v>1480</v>
      </c>
      <c r="K168" s="44">
        <v>1.3</v>
      </c>
      <c r="L168" s="44" t="s">
        <v>1513</v>
      </c>
      <c r="M168" s="44">
        <v>2.0</v>
      </c>
      <c r="N168" s="44">
        <v>0.15</v>
      </c>
      <c r="O168" s="44" t="s">
        <v>137</v>
      </c>
      <c r="P168" s="45"/>
      <c r="Q168" s="45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</row>
    <row r="169">
      <c r="A169" s="44">
        <v>166.0</v>
      </c>
      <c r="B169" s="41" t="s">
        <v>1655</v>
      </c>
      <c r="C169" s="42">
        <f t="array" ref="C169">INDEX(SkillBoxes!A168:D744,MATCH(E169,SkillBoxes!A168:A744,0),2)</f>
        <v>9</v>
      </c>
      <c r="D169" s="42" t="str">
        <f t="array" ref="D169">INDEX(SkillBoxes!A168:D744,MATCH(E169,SkillBoxes!A168:A744,0),3)</f>
        <v>Umbral Assassin</v>
      </c>
      <c r="E169" s="42">
        <v>166.0</v>
      </c>
      <c r="F169" s="42" t="str">
        <f t="array" ref="F169">INDEX(SkillBoxes!A168:D744,MATCH(E169,SkillBoxes!A168:A744,0),4)</f>
        <v>Reflexes IV</v>
      </c>
      <c r="G169" s="41">
        <v>11.0</v>
      </c>
      <c r="H169" s="41" t="s">
        <v>159</v>
      </c>
      <c r="I169" s="41" t="s">
        <v>1479</v>
      </c>
      <c r="J169" s="41" t="s">
        <v>1480</v>
      </c>
      <c r="K169" s="41">
        <v>1.4</v>
      </c>
      <c r="L169" s="41" t="s">
        <v>1513</v>
      </c>
      <c r="M169" s="41">
        <v>3.0</v>
      </c>
      <c r="N169" s="41">
        <v>0.2</v>
      </c>
      <c r="O169" s="41" t="s">
        <v>137</v>
      </c>
      <c r="P169" s="42"/>
      <c r="Q169" s="42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</row>
    <row r="170">
      <c r="A170" s="41">
        <v>167.0</v>
      </c>
      <c r="B170" s="44" t="s">
        <v>1656</v>
      </c>
      <c r="C170" s="45">
        <f t="array" ref="C170">INDEX(SkillBoxes!A169:D745,MATCH(E170,SkillBoxes!A169:A745,0),2)</f>
        <v>9</v>
      </c>
      <c r="D170" s="45" t="str">
        <f t="array" ref="D170">INDEX(SkillBoxes!A169:D745,MATCH(E170,SkillBoxes!A169:A745,0),3)</f>
        <v>Umbral Assassin</v>
      </c>
      <c r="E170" s="45">
        <v>167.0</v>
      </c>
      <c r="F170" s="45" t="str">
        <f t="array" ref="F170">INDEX(SkillBoxes!A169:D745,MATCH(E170,SkillBoxes!A169:A745,0),4)</f>
        <v>Swift Strike I</v>
      </c>
      <c r="G170" s="44">
        <v>5.0</v>
      </c>
      <c r="H170" s="44" t="s">
        <v>125</v>
      </c>
      <c r="I170" s="44" t="s">
        <v>1479</v>
      </c>
      <c r="J170" s="44" t="s">
        <v>1480</v>
      </c>
      <c r="K170" s="44">
        <v>1.1</v>
      </c>
      <c r="L170" s="44" t="s">
        <v>1484</v>
      </c>
      <c r="M170" s="44">
        <v>1.0</v>
      </c>
      <c r="N170" s="44">
        <v>-1.0</v>
      </c>
      <c r="O170" s="44" t="s">
        <v>141</v>
      </c>
      <c r="P170" s="45"/>
      <c r="Q170" s="45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</row>
    <row r="171">
      <c r="A171" s="41">
        <v>168.0</v>
      </c>
      <c r="B171" s="41" t="s">
        <v>1657</v>
      </c>
      <c r="C171" s="42">
        <f t="array" ref="C171">INDEX(SkillBoxes!A170:D746,MATCH(E171,SkillBoxes!A170:A746,0),2)</f>
        <v>9</v>
      </c>
      <c r="D171" s="42" t="str">
        <f t="array" ref="D171">INDEX(SkillBoxes!A170:D746,MATCH(E171,SkillBoxes!A170:A746,0),3)</f>
        <v>Umbral Assassin</v>
      </c>
      <c r="E171" s="42">
        <v>168.0</v>
      </c>
      <c r="F171" s="42" t="str">
        <f t="array" ref="F171">INDEX(SkillBoxes!A170:D746,MATCH(E171,SkillBoxes!A170:A746,0),4)</f>
        <v>Swift Strike II</v>
      </c>
      <c r="G171" s="41">
        <v>7.0</v>
      </c>
      <c r="H171" s="41" t="s">
        <v>125</v>
      </c>
      <c r="I171" s="41" t="s">
        <v>1479</v>
      </c>
      <c r="J171" s="41" t="s">
        <v>1480</v>
      </c>
      <c r="K171" s="41">
        <v>1.2</v>
      </c>
      <c r="L171" s="41" t="s">
        <v>1484</v>
      </c>
      <c r="M171" s="41">
        <v>2.0</v>
      </c>
      <c r="N171" s="41">
        <v>-1.0</v>
      </c>
      <c r="O171" s="41" t="s">
        <v>141</v>
      </c>
      <c r="P171" s="42"/>
      <c r="Q171" s="42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</row>
    <row r="172">
      <c r="A172" s="44">
        <v>169.0</v>
      </c>
      <c r="B172" s="44" t="s">
        <v>1658</v>
      </c>
      <c r="C172" s="45">
        <f t="array" ref="C172">INDEX(SkillBoxes!A171:D747,MATCH(E172,SkillBoxes!A171:A747,0),2)</f>
        <v>9</v>
      </c>
      <c r="D172" s="45" t="str">
        <f t="array" ref="D172">INDEX(SkillBoxes!A171:D747,MATCH(E172,SkillBoxes!A171:A747,0),3)</f>
        <v>Umbral Assassin</v>
      </c>
      <c r="E172" s="45">
        <v>169.0</v>
      </c>
      <c r="F172" s="45" t="str">
        <f t="array" ref="F172">INDEX(SkillBoxes!A171:D747,MATCH(E172,SkillBoxes!A171:A747,0),4)</f>
        <v>Swift Strike III</v>
      </c>
      <c r="G172" s="44">
        <v>9.0</v>
      </c>
      <c r="H172" s="44" t="s">
        <v>125</v>
      </c>
      <c r="I172" s="44" t="s">
        <v>1479</v>
      </c>
      <c r="J172" s="44" t="s">
        <v>1480</v>
      </c>
      <c r="K172" s="44">
        <v>1.4</v>
      </c>
      <c r="L172" s="44" t="s">
        <v>1484</v>
      </c>
      <c r="M172" s="44">
        <v>2.0</v>
      </c>
      <c r="N172" s="44">
        <v>-2.0</v>
      </c>
      <c r="O172" s="44" t="s">
        <v>141</v>
      </c>
      <c r="P172" s="45"/>
      <c r="Q172" s="45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</row>
    <row r="173">
      <c r="A173" s="41">
        <v>170.0</v>
      </c>
      <c r="B173" s="41" t="s">
        <v>1659</v>
      </c>
      <c r="C173" s="42">
        <f t="array" ref="C173">INDEX(SkillBoxes!A172:D748,MATCH(E173,SkillBoxes!A172:A748,0),2)</f>
        <v>9</v>
      </c>
      <c r="D173" s="42" t="str">
        <f t="array" ref="D173">INDEX(SkillBoxes!A172:D748,MATCH(E173,SkillBoxes!A172:A748,0),3)</f>
        <v>Umbral Assassin</v>
      </c>
      <c r="E173" s="42">
        <v>170.0</v>
      </c>
      <c r="F173" s="42" t="str">
        <f t="array" ref="F173">INDEX(SkillBoxes!A172:D748,MATCH(E173,SkillBoxes!A172:A748,0),4)</f>
        <v>Swift Strike IV</v>
      </c>
      <c r="G173" s="41">
        <v>11.0</v>
      </c>
      <c r="H173" s="41" t="s">
        <v>159</v>
      </c>
      <c r="I173" s="41" t="s">
        <v>1479</v>
      </c>
      <c r="J173" s="41" t="s">
        <v>1491</v>
      </c>
      <c r="K173" s="41">
        <v>0.9</v>
      </c>
      <c r="L173" s="41" t="s">
        <v>1484</v>
      </c>
      <c r="M173" s="41">
        <v>2.0</v>
      </c>
      <c r="N173" s="41">
        <v>-2.0</v>
      </c>
      <c r="O173" s="41" t="s">
        <v>141</v>
      </c>
      <c r="P173" s="42"/>
      <c r="Q173" s="42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</row>
    <row r="174">
      <c r="A174" s="44">
        <v>171.0</v>
      </c>
      <c r="B174" s="44" t="s">
        <v>1660</v>
      </c>
      <c r="C174" s="45">
        <f t="array" ref="C174">INDEX(SkillBoxes!A173:D749,MATCH(E174,SkillBoxes!A173:A749,0),2)</f>
        <v>9</v>
      </c>
      <c r="D174" s="45" t="str">
        <f t="array" ref="D174">INDEX(SkillBoxes!A173:D749,MATCH(E174,SkillBoxes!A173:A749,0),3)</f>
        <v>Umbral Assassin</v>
      </c>
      <c r="E174" s="45">
        <v>171.0</v>
      </c>
      <c r="F174" s="45" t="str">
        <f t="array" ref="F174">INDEX(SkillBoxes!A173:D749,MATCH(E174,SkillBoxes!A173:A749,0),4)</f>
        <v>Bladestorm I</v>
      </c>
      <c r="G174" s="44">
        <v>5.0</v>
      </c>
      <c r="H174" s="44" t="s">
        <v>125</v>
      </c>
      <c r="I174" s="44" t="s">
        <v>1479</v>
      </c>
      <c r="J174" s="44" t="s">
        <v>1480</v>
      </c>
      <c r="K174" s="44">
        <v>1.2</v>
      </c>
      <c r="L174" s="45"/>
      <c r="M174" s="45"/>
      <c r="N174" s="45"/>
      <c r="O174" s="45"/>
      <c r="P174" s="45"/>
      <c r="Q174" s="45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</row>
    <row r="175">
      <c r="A175" s="41">
        <v>172.0</v>
      </c>
      <c r="B175" s="41" t="s">
        <v>1661</v>
      </c>
      <c r="C175" s="42">
        <f t="array" ref="C175">INDEX(SkillBoxes!A174:D750,MATCH(E175,SkillBoxes!A174:A750,0),2)</f>
        <v>9</v>
      </c>
      <c r="D175" s="42" t="str">
        <f t="array" ref="D175">INDEX(SkillBoxes!A174:D750,MATCH(E175,SkillBoxes!A174:A750,0),3)</f>
        <v>Umbral Assassin</v>
      </c>
      <c r="E175" s="42">
        <v>172.0</v>
      </c>
      <c r="F175" s="42" t="str">
        <f t="array" ref="F175">INDEX(SkillBoxes!A174:D750,MATCH(E175,SkillBoxes!A174:A750,0),4)</f>
        <v>Bladestorm II</v>
      </c>
      <c r="G175" s="41">
        <v>7.0</v>
      </c>
      <c r="H175" s="41" t="s">
        <v>125</v>
      </c>
      <c r="I175" s="41" t="s">
        <v>1479</v>
      </c>
      <c r="J175" s="41" t="s">
        <v>1480</v>
      </c>
      <c r="K175" s="41">
        <v>1.3</v>
      </c>
      <c r="L175" s="42"/>
      <c r="M175" s="42"/>
      <c r="N175" s="42"/>
      <c r="O175" s="42"/>
      <c r="P175" s="42"/>
      <c r="Q175" s="42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</row>
    <row r="176">
      <c r="A176" s="44">
        <v>173.0</v>
      </c>
      <c r="B176" s="44" t="s">
        <v>1662</v>
      </c>
      <c r="C176" s="45">
        <f t="array" ref="C176">INDEX(SkillBoxes!A175:D751,MATCH(E176,SkillBoxes!A175:A751,0),2)</f>
        <v>9</v>
      </c>
      <c r="D176" s="45" t="str">
        <f t="array" ref="D176">INDEX(SkillBoxes!A175:D751,MATCH(E176,SkillBoxes!A175:A751,0),3)</f>
        <v>Umbral Assassin</v>
      </c>
      <c r="E176" s="45">
        <v>173.0</v>
      </c>
      <c r="F176" s="45" t="str">
        <f t="array" ref="F176">INDEX(SkillBoxes!A175:D751,MATCH(E176,SkillBoxes!A175:A751,0),4)</f>
        <v>Bladestorm III</v>
      </c>
      <c r="G176" s="44">
        <v>9.0</v>
      </c>
      <c r="H176" s="44" t="s">
        <v>125</v>
      </c>
      <c r="I176" s="44" t="s">
        <v>1479</v>
      </c>
      <c r="J176" s="44" t="s">
        <v>1491</v>
      </c>
      <c r="K176" s="44">
        <v>0.9</v>
      </c>
      <c r="L176" s="44" t="s">
        <v>1484</v>
      </c>
      <c r="M176" s="44">
        <v>2.0</v>
      </c>
      <c r="N176" s="44">
        <v>-1.0</v>
      </c>
      <c r="O176" s="44" t="s">
        <v>141</v>
      </c>
      <c r="P176" s="45"/>
      <c r="Q176" s="45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</row>
    <row r="177">
      <c r="A177" s="41">
        <v>174.0</v>
      </c>
      <c r="B177" s="41" t="s">
        <v>1663</v>
      </c>
      <c r="C177" s="42">
        <f t="array" ref="C177">INDEX(SkillBoxes!A176:D752,MATCH(E177,SkillBoxes!A176:A752,0),2)</f>
        <v>9</v>
      </c>
      <c r="D177" s="42" t="str">
        <f t="array" ref="D177">INDEX(SkillBoxes!A176:D752,MATCH(E177,SkillBoxes!A176:A752,0),3)</f>
        <v>Umbral Assassin</v>
      </c>
      <c r="E177" s="42">
        <v>174.0</v>
      </c>
      <c r="F177" s="42" t="str">
        <f t="array" ref="F177">INDEX(SkillBoxes!A176:D752,MATCH(E177,SkillBoxes!A176:A752,0),4)</f>
        <v>Bladestorm IV</v>
      </c>
      <c r="G177" s="41">
        <v>11.0</v>
      </c>
      <c r="H177" s="41" t="s">
        <v>159</v>
      </c>
      <c r="I177" s="41" t="s">
        <v>1479</v>
      </c>
      <c r="J177" s="41" t="s">
        <v>1491</v>
      </c>
      <c r="K177" s="41">
        <v>1.1</v>
      </c>
      <c r="L177" s="41" t="s">
        <v>1484</v>
      </c>
      <c r="M177" s="41">
        <v>3.0</v>
      </c>
      <c r="N177" s="41">
        <v>-3.0</v>
      </c>
      <c r="O177" s="41" t="s">
        <v>141</v>
      </c>
      <c r="P177" s="41" t="s">
        <v>1518</v>
      </c>
      <c r="Q177" s="42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</row>
    <row r="178">
      <c r="A178" s="41">
        <v>175.0</v>
      </c>
      <c r="B178" s="44" t="s">
        <v>1664</v>
      </c>
      <c r="C178" s="45">
        <f t="array" ref="C178">INDEX(SkillBoxes!A177:D753,MATCH(E178,SkillBoxes!A177:A753,0),2)</f>
        <v>9</v>
      </c>
      <c r="D178" s="45" t="str">
        <f t="array" ref="D178">INDEX(SkillBoxes!A177:D753,MATCH(E178,SkillBoxes!A177:A753,0),3)</f>
        <v>Umbral Assassin</v>
      </c>
      <c r="E178" s="45">
        <v>175.0</v>
      </c>
      <c r="F178" s="45" t="str">
        <f t="array" ref="F178">INDEX(SkillBoxes!A177:D753,MATCH(E178,SkillBoxes!A177:A753,0),4)</f>
        <v>Death Mark I</v>
      </c>
      <c r="G178" s="44">
        <v>6.0</v>
      </c>
      <c r="H178" s="44" t="s">
        <v>160</v>
      </c>
      <c r="I178" s="44" t="s">
        <v>1479</v>
      </c>
      <c r="J178" s="44" t="s">
        <v>1480</v>
      </c>
      <c r="K178" s="44">
        <v>1.1</v>
      </c>
      <c r="L178" s="44" t="s">
        <v>410</v>
      </c>
      <c r="M178" s="44">
        <v>2.0</v>
      </c>
      <c r="N178" s="44">
        <v>0.05</v>
      </c>
      <c r="O178" s="44" t="s">
        <v>133</v>
      </c>
      <c r="P178" s="44" t="s">
        <v>1518</v>
      </c>
      <c r="Q178" s="45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r="179">
      <c r="A179" s="44">
        <v>176.0</v>
      </c>
      <c r="B179" s="41" t="s">
        <v>1665</v>
      </c>
      <c r="C179" s="42">
        <f t="array" ref="C179">INDEX(SkillBoxes!A178:D754,MATCH(E179,SkillBoxes!A178:A754,0),2)</f>
        <v>9</v>
      </c>
      <c r="D179" s="42" t="str">
        <f t="array" ref="D179">INDEX(SkillBoxes!A178:D754,MATCH(E179,SkillBoxes!A178:A754,0),3)</f>
        <v>Umbral Assassin</v>
      </c>
      <c r="E179" s="42">
        <v>176.0</v>
      </c>
      <c r="F179" s="42" t="str">
        <f t="array" ref="F179">INDEX(SkillBoxes!A178:D754,MATCH(E179,SkillBoxes!A178:A754,0),4)</f>
        <v>Death Mark II</v>
      </c>
      <c r="G179" s="41">
        <v>8.0</v>
      </c>
      <c r="H179" s="41" t="s">
        <v>160</v>
      </c>
      <c r="I179" s="41" t="s">
        <v>1479</v>
      </c>
      <c r="J179" s="41" t="s">
        <v>1480</v>
      </c>
      <c r="K179" s="41">
        <v>1.2</v>
      </c>
      <c r="L179" s="41" t="s">
        <v>410</v>
      </c>
      <c r="M179" s="41">
        <v>3.0</v>
      </c>
      <c r="N179" s="41">
        <v>0.1</v>
      </c>
      <c r="O179" s="41" t="s">
        <v>133</v>
      </c>
      <c r="P179" s="41" t="s">
        <v>1518</v>
      </c>
      <c r="Q179" s="42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</row>
    <row r="180">
      <c r="A180" s="41">
        <v>177.0</v>
      </c>
      <c r="B180" s="44" t="s">
        <v>1666</v>
      </c>
      <c r="C180" s="45">
        <f t="array" ref="C180">INDEX(SkillBoxes!A179:D755,MATCH(E180,SkillBoxes!A179:A755,0),2)</f>
        <v>9</v>
      </c>
      <c r="D180" s="45" t="str">
        <f t="array" ref="D180">INDEX(SkillBoxes!A179:D755,MATCH(E180,SkillBoxes!A179:A755,0),3)</f>
        <v>Umbral Assassin</v>
      </c>
      <c r="E180" s="45">
        <v>177.0</v>
      </c>
      <c r="F180" s="45" t="str">
        <f t="array" ref="F180">INDEX(SkillBoxes!A179:D755,MATCH(E180,SkillBoxes!A179:A755,0),4)</f>
        <v>Death Mark III</v>
      </c>
      <c r="G180" s="44">
        <v>10.0</v>
      </c>
      <c r="H180" s="44" t="s">
        <v>160</v>
      </c>
      <c r="I180" s="44" t="s">
        <v>1498</v>
      </c>
      <c r="J180" s="44" t="s">
        <v>1480</v>
      </c>
      <c r="K180" s="44">
        <v>1.3</v>
      </c>
      <c r="L180" s="44" t="s">
        <v>410</v>
      </c>
      <c r="M180" s="44">
        <v>3.0</v>
      </c>
      <c r="N180" s="44">
        <v>0.15</v>
      </c>
      <c r="O180" s="44" t="s">
        <v>133</v>
      </c>
      <c r="P180" s="44" t="s">
        <v>1518</v>
      </c>
      <c r="Q180" s="45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</row>
    <row r="181">
      <c r="A181" s="44">
        <v>178.0</v>
      </c>
      <c r="B181" s="41" t="s">
        <v>1667</v>
      </c>
      <c r="C181" s="42">
        <f t="array" ref="C181">INDEX(SkillBoxes!A180:D756,MATCH(E181,SkillBoxes!A180:A756,0),2)</f>
        <v>9</v>
      </c>
      <c r="D181" s="42" t="str">
        <f t="array" ref="D181">INDEX(SkillBoxes!A180:D756,MATCH(E181,SkillBoxes!A180:A756,0),3)</f>
        <v>Umbral Assassin</v>
      </c>
      <c r="E181" s="42">
        <v>178.0</v>
      </c>
      <c r="F181" s="42" t="str">
        <f t="array" ref="F181">INDEX(SkillBoxes!A180:D756,MATCH(E181,SkillBoxes!A180:A756,0),4)</f>
        <v>Death Mark IV</v>
      </c>
      <c r="G181" s="41">
        <v>12.0</v>
      </c>
      <c r="H181" s="41" t="s">
        <v>159</v>
      </c>
      <c r="I181" s="41" t="s">
        <v>1498</v>
      </c>
      <c r="J181" s="41" t="s">
        <v>1480</v>
      </c>
      <c r="K181" s="41">
        <v>1.5</v>
      </c>
      <c r="L181" s="41" t="s">
        <v>410</v>
      </c>
      <c r="M181" s="41">
        <v>4.0</v>
      </c>
      <c r="N181" s="41">
        <v>0.2</v>
      </c>
      <c r="O181" s="41" t="s">
        <v>133</v>
      </c>
      <c r="P181" s="41" t="s">
        <v>1518</v>
      </c>
      <c r="Q181" s="42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</row>
    <row r="182">
      <c r="A182" s="41">
        <v>179.0</v>
      </c>
      <c r="B182" s="44" t="s">
        <v>1668</v>
      </c>
      <c r="C182" s="45">
        <f t="array" ref="C182">INDEX(SkillBoxes!A181:D757,MATCH(E182,SkillBoxes!A181:A757,0),2)</f>
        <v>9</v>
      </c>
      <c r="D182" s="45" t="str">
        <f t="array" ref="D182">INDEX(SkillBoxes!A181:D757,MATCH(E182,SkillBoxes!A181:A757,0),3)</f>
        <v>Umbral Assassin</v>
      </c>
      <c r="E182" s="45">
        <v>179.0</v>
      </c>
      <c r="F182" s="45" t="str">
        <f t="array" ref="F182">INDEX(SkillBoxes!A181:D757,MATCH(E182,SkillBoxes!A181:A757,0),4)</f>
        <v>Master Umbral Assassin</v>
      </c>
      <c r="G182" s="44">
        <v>16.0</v>
      </c>
      <c r="H182" s="44" t="s">
        <v>159</v>
      </c>
      <c r="I182" s="44" t="s">
        <v>1479</v>
      </c>
      <c r="J182" s="44" t="s">
        <v>1491</v>
      </c>
      <c r="K182" s="44">
        <v>1.1</v>
      </c>
      <c r="L182" s="44" t="s">
        <v>1484</v>
      </c>
      <c r="M182" s="44">
        <v>4.0</v>
      </c>
      <c r="N182" s="44">
        <v>-4.0</v>
      </c>
      <c r="O182" s="44" t="s">
        <v>141</v>
      </c>
      <c r="P182" s="44" t="s">
        <v>1518</v>
      </c>
      <c r="Q182" s="45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</row>
    <row r="183">
      <c r="A183" s="44">
        <v>180.0</v>
      </c>
      <c r="B183" s="41" t="s">
        <v>1669</v>
      </c>
      <c r="C183" s="42">
        <f t="array" ref="C183">INDEX(SkillBoxes!A182:D758,MATCH(E183,SkillBoxes!A182:A758,0),2)</f>
        <v>10</v>
      </c>
      <c r="D183" s="42" t="str">
        <f t="array" ref="D183">INDEX(SkillBoxes!A182:D758,MATCH(E183,SkillBoxes!A182:A758,0),3)</f>
        <v>Arcane Wavemaster</v>
      </c>
      <c r="E183" s="42">
        <v>180.0</v>
      </c>
      <c r="F183" s="42" t="str">
        <f t="array" ref="F183">INDEX(SkillBoxes!A182:D758,MATCH(E183,SkillBoxes!A182:A758,0),4)</f>
        <v>Novice Arcane Wavemaster</v>
      </c>
      <c r="G183" s="41">
        <v>6.0</v>
      </c>
      <c r="H183" s="41" t="s">
        <v>160</v>
      </c>
      <c r="I183" s="41" t="s">
        <v>1498</v>
      </c>
      <c r="J183" s="41" t="s">
        <v>1480</v>
      </c>
      <c r="K183" s="41">
        <v>1.1</v>
      </c>
      <c r="L183" s="42"/>
      <c r="M183" s="42"/>
      <c r="N183" s="42"/>
      <c r="O183" s="42"/>
      <c r="P183" s="42"/>
      <c r="Q183" s="42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</row>
    <row r="184">
      <c r="A184" s="41">
        <v>181.0</v>
      </c>
      <c r="B184" s="44" t="s">
        <v>1670</v>
      </c>
      <c r="C184" s="45">
        <f t="array" ref="C184">INDEX(SkillBoxes!A183:D759,MATCH(E184,SkillBoxes!A183:A759,0),2)</f>
        <v>10</v>
      </c>
      <c r="D184" s="45" t="str">
        <f t="array" ref="D184">INDEX(SkillBoxes!A183:D759,MATCH(E184,SkillBoxes!A183:A759,0),3)</f>
        <v>Arcane Wavemaster</v>
      </c>
      <c r="E184" s="45">
        <v>181.0</v>
      </c>
      <c r="F184" s="45" t="str">
        <f t="array" ref="F184">INDEX(SkillBoxes!A183:D759,MATCH(E184,SkillBoxes!A183:A759,0),4)</f>
        <v>Wave Channeling I</v>
      </c>
      <c r="G184" s="44">
        <v>6.0</v>
      </c>
      <c r="H184" s="44" t="s">
        <v>160</v>
      </c>
      <c r="I184" s="44" t="s">
        <v>1498</v>
      </c>
      <c r="J184" s="44" t="s">
        <v>1480</v>
      </c>
      <c r="K184" s="44">
        <v>1.2</v>
      </c>
      <c r="L184" s="45"/>
      <c r="M184" s="45"/>
      <c r="N184" s="45"/>
      <c r="O184" s="45"/>
      <c r="P184" s="45"/>
      <c r="Q184" s="45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</row>
    <row r="185">
      <c r="A185" s="41">
        <v>182.0</v>
      </c>
      <c r="B185" s="41" t="s">
        <v>1671</v>
      </c>
      <c r="C185" s="42">
        <f t="array" ref="C185">INDEX(SkillBoxes!A184:D760,MATCH(E185,SkillBoxes!A184:A760,0),2)</f>
        <v>10</v>
      </c>
      <c r="D185" s="42" t="str">
        <f t="array" ref="D185">INDEX(SkillBoxes!A184:D760,MATCH(E185,SkillBoxes!A184:A760,0),3)</f>
        <v>Arcane Wavemaster</v>
      </c>
      <c r="E185" s="42">
        <v>182.0</v>
      </c>
      <c r="F185" s="42" t="str">
        <f t="array" ref="F185">INDEX(SkillBoxes!A184:D760,MATCH(E185,SkillBoxes!A184:A760,0),4)</f>
        <v>Wave Channeling II</v>
      </c>
      <c r="G185" s="41">
        <v>8.0</v>
      </c>
      <c r="H185" s="41" t="s">
        <v>160</v>
      </c>
      <c r="I185" s="41" t="s">
        <v>1498</v>
      </c>
      <c r="J185" s="41" t="s">
        <v>1480</v>
      </c>
      <c r="K185" s="41">
        <v>1.3</v>
      </c>
      <c r="L185" s="42"/>
      <c r="M185" s="42"/>
      <c r="N185" s="42"/>
      <c r="O185" s="42"/>
      <c r="P185" s="42"/>
      <c r="Q185" s="42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</row>
    <row r="186">
      <c r="A186" s="44">
        <v>183.0</v>
      </c>
      <c r="B186" s="44" t="s">
        <v>1672</v>
      </c>
      <c r="C186" s="45">
        <f t="array" ref="C186">INDEX(SkillBoxes!A185:D761,MATCH(E186,SkillBoxes!A185:A761,0),2)</f>
        <v>10</v>
      </c>
      <c r="D186" s="45" t="str">
        <f t="array" ref="D186">INDEX(SkillBoxes!A185:D761,MATCH(E186,SkillBoxes!A185:A761,0),3)</f>
        <v>Arcane Wavemaster</v>
      </c>
      <c r="E186" s="45">
        <v>183.0</v>
      </c>
      <c r="F186" s="45" t="str">
        <f t="array" ref="F186">INDEX(SkillBoxes!A185:D761,MATCH(E186,SkillBoxes!A185:A761,0),4)</f>
        <v>Wave Channeling III</v>
      </c>
      <c r="G186" s="44">
        <v>10.0</v>
      </c>
      <c r="H186" s="44" t="s">
        <v>160</v>
      </c>
      <c r="I186" s="44" t="s">
        <v>1498</v>
      </c>
      <c r="J186" s="44" t="s">
        <v>1480</v>
      </c>
      <c r="K186" s="44">
        <v>1.4</v>
      </c>
      <c r="L186" s="44" t="s">
        <v>410</v>
      </c>
      <c r="M186" s="44">
        <v>2.0</v>
      </c>
      <c r="N186" s="44">
        <v>0.05</v>
      </c>
      <c r="O186" s="44" t="s">
        <v>161</v>
      </c>
      <c r="P186" s="45"/>
      <c r="Q186" s="45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</row>
    <row r="187">
      <c r="A187" s="41">
        <v>184.0</v>
      </c>
      <c r="B187" s="41" t="s">
        <v>1673</v>
      </c>
      <c r="C187" s="42">
        <f t="array" ref="C187">INDEX(SkillBoxes!A186:D762,MATCH(E187,SkillBoxes!A186:A762,0),2)</f>
        <v>10</v>
      </c>
      <c r="D187" s="42" t="str">
        <f t="array" ref="D187">INDEX(SkillBoxes!A186:D762,MATCH(E187,SkillBoxes!A186:A762,0),3)</f>
        <v>Arcane Wavemaster</v>
      </c>
      <c r="E187" s="42">
        <v>184.0</v>
      </c>
      <c r="F187" s="42" t="str">
        <f t="array" ref="F187">INDEX(SkillBoxes!A186:D762,MATCH(E187,SkillBoxes!A186:A762,0),4)</f>
        <v>Wave Channeling IV</v>
      </c>
      <c r="G187" s="41">
        <v>12.0</v>
      </c>
      <c r="H187" s="41" t="s">
        <v>160</v>
      </c>
      <c r="I187" s="41" t="s">
        <v>1498</v>
      </c>
      <c r="J187" s="41" t="s">
        <v>1480</v>
      </c>
      <c r="K187" s="41">
        <v>1.6</v>
      </c>
      <c r="L187" s="41" t="s">
        <v>410</v>
      </c>
      <c r="M187" s="41">
        <v>3.0</v>
      </c>
      <c r="N187" s="41">
        <v>0.1</v>
      </c>
      <c r="O187" s="41" t="s">
        <v>161</v>
      </c>
      <c r="P187" s="42"/>
      <c r="Q187" s="42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</row>
    <row r="188">
      <c r="A188" s="44">
        <v>185.0</v>
      </c>
      <c r="B188" s="44" t="s">
        <v>1674</v>
      </c>
      <c r="C188" s="45">
        <f t="array" ref="C188">INDEX(SkillBoxes!A187:D763,MATCH(E188,SkillBoxes!A187:A763,0),2)</f>
        <v>10</v>
      </c>
      <c r="D188" s="45" t="str">
        <f t="array" ref="D188">INDEX(SkillBoxes!A187:D763,MATCH(E188,SkillBoxes!A187:A763,0),3)</f>
        <v>Arcane Wavemaster</v>
      </c>
      <c r="E188" s="45">
        <v>185.0</v>
      </c>
      <c r="F188" s="45" t="str">
        <f t="array" ref="F188">INDEX(SkillBoxes!A187:D763,MATCH(E188,SkillBoxes!A187:A763,0),4)</f>
        <v>Firestorm I</v>
      </c>
      <c r="G188" s="44">
        <v>6.0</v>
      </c>
      <c r="H188" s="44" t="s">
        <v>160</v>
      </c>
      <c r="I188" s="44" t="s">
        <v>1498</v>
      </c>
      <c r="J188" s="44" t="s">
        <v>1480</v>
      </c>
      <c r="K188" s="44">
        <v>1.2</v>
      </c>
      <c r="L188" s="45"/>
      <c r="M188" s="45"/>
      <c r="N188" s="45"/>
      <c r="O188" s="45"/>
      <c r="P188" s="44" t="s">
        <v>1534</v>
      </c>
      <c r="Q188" s="45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</row>
    <row r="189">
      <c r="A189" s="41">
        <v>186.0</v>
      </c>
      <c r="B189" s="41" t="s">
        <v>1675</v>
      </c>
      <c r="C189" s="42">
        <f t="array" ref="C189">INDEX(SkillBoxes!A188:D764,MATCH(E189,SkillBoxes!A188:A764,0),2)</f>
        <v>10</v>
      </c>
      <c r="D189" s="42" t="str">
        <f t="array" ref="D189">INDEX(SkillBoxes!A188:D764,MATCH(E189,SkillBoxes!A188:A764,0),3)</f>
        <v>Arcane Wavemaster</v>
      </c>
      <c r="E189" s="42">
        <v>186.0</v>
      </c>
      <c r="F189" s="42" t="str">
        <f t="array" ref="F189">INDEX(SkillBoxes!A188:D764,MATCH(E189,SkillBoxes!A188:A764,0),4)</f>
        <v>Firestorm II</v>
      </c>
      <c r="G189" s="41">
        <v>8.0</v>
      </c>
      <c r="H189" s="41" t="s">
        <v>160</v>
      </c>
      <c r="I189" s="41" t="s">
        <v>1498</v>
      </c>
      <c r="J189" s="41" t="s">
        <v>1480</v>
      </c>
      <c r="K189" s="41">
        <v>1.3</v>
      </c>
      <c r="L189" s="42"/>
      <c r="M189" s="42"/>
      <c r="N189" s="42"/>
      <c r="O189" s="42"/>
      <c r="P189" s="41" t="s">
        <v>1534</v>
      </c>
      <c r="Q189" s="42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</row>
    <row r="190">
      <c r="A190" s="44">
        <v>187.0</v>
      </c>
      <c r="B190" s="44" t="s">
        <v>578</v>
      </c>
      <c r="C190" s="45">
        <f t="array" ref="C190">INDEX(SkillBoxes!A189:D765,MATCH(E190,SkillBoxes!A189:A765,0),2)</f>
        <v>10</v>
      </c>
      <c r="D190" s="45" t="str">
        <f t="array" ref="D190">INDEX(SkillBoxes!A189:D765,MATCH(E190,SkillBoxes!A189:A765,0),3)</f>
        <v>Arcane Wavemaster</v>
      </c>
      <c r="E190" s="45">
        <v>187.0</v>
      </c>
      <c r="F190" s="45" t="str">
        <f t="array" ref="F190">INDEX(SkillBoxes!A189:D765,MATCH(E190,SkillBoxes!A189:A765,0),4)</f>
        <v>Firestorm III</v>
      </c>
      <c r="G190" s="44">
        <v>10.0</v>
      </c>
      <c r="H190" s="44" t="s">
        <v>160</v>
      </c>
      <c r="I190" s="44" t="s">
        <v>1498</v>
      </c>
      <c r="J190" s="44" t="s">
        <v>1491</v>
      </c>
      <c r="K190" s="44">
        <v>0.9</v>
      </c>
      <c r="L190" s="44" t="s">
        <v>1484</v>
      </c>
      <c r="M190" s="44">
        <v>2.0</v>
      </c>
      <c r="N190" s="44">
        <v>-1.0</v>
      </c>
      <c r="O190" s="44" t="s">
        <v>141</v>
      </c>
      <c r="P190" s="44" t="s">
        <v>1534</v>
      </c>
      <c r="Q190" s="45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</row>
    <row r="191">
      <c r="A191" s="41">
        <v>188.0</v>
      </c>
      <c r="B191" s="41" t="s">
        <v>1676</v>
      </c>
      <c r="C191" s="42">
        <f t="array" ref="C191">INDEX(SkillBoxes!A190:D766,MATCH(E191,SkillBoxes!A190:A766,0),2)</f>
        <v>10</v>
      </c>
      <c r="D191" s="42" t="str">
        <f t="array" ref="D191">INDEX(SkillBoxes!A190:D766,MATCH(E191,SkillBoxes!A190:A766,0),3)</f>
        <v>Arcane Wavemaster</v>
      </c>
      <c r="E191" s="42">
        <v>188.0</v>
      </c>
      <c r="F191" s="42" t="str">
        <f t="array" ref="F191">INDEX(SkillBoxes!A190:D766,MATCH(E191,SkillBoxes!A190:A766,0),4)</f>
        <v>Firestorm IV</v>
      </c>
      <c r="G191" s="41">
        <v>12.0</v>
      </c>
      <c r="H191" s="41" t="s">
        <v>160</v>
      </c>
      <c r="I191" s="41" t="s">
        <v>1498</v>
      </c>
      <c r="J191" s="41" t="s">
        <v>1491</v>
      </c>
      <c r="K191" s="41">
        <v>1.1</v>
      </c>
      <c r="L191" s="41" t="s">
        <v>1484</v>
      </c>
      <c r="M191" s="41">
        <v>3.0</v>
      </c>
      <c r="N191" s="41">
        <v>-2.0</v>
      </c>
      <c r="O191" s="41" t="s">
        <v>141</v>
      </c>
      <c r="P191" s="41" t="s">
        <v>1534</v>
      </c>
      <c r="Q191" s="42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</row>
    <row r="192">
      <c r="A192" s="41">
        <v>189.0</v>
      </c>
      <c r="B192" s="44" t="s">
        <v>1677</v>
      </c>
      <c r="C192" s="45">
        <f t="array" ref="C192">INDEX(SkillBoxes!A191:D767,MATCH(E192,SkillBoxes!A191:A767,0),2)</f>
        <v>10</v>
      </c>
      <c r="D192" s="45" t="str">
        <f t="array" ref="D192">INDEX(SkillBoxes!A191:D767,MATCH(E192,SkillBoxes!A191:A767,0),3)</f>
        <v>Arcane Wavemaster</v>
      </c>
      <c r="E192" s="45">
        <v>189.0</v>
      </c>
      <c r="F192" s="45" t="str">
        <f t="array" ref="F192">INDEX(SkillBoxes!A191:D767,MATCH(E192,SkillBoxes!A191:A767,0),4)</f>
        <v>Wave Barrier I</v>
      </c>
      <c r="G192" s="44">
        <v>5.0</v>
      </c>
      <c r="H192" s="44" t="s">
        <v>160</v>
      </c>
      <c r="I192" s="44" t="s">
        <v>1498</v>
      </c>
      <c r="J192" s="44" t="s">
        <v>1543</v>
      </c>
      <c r="K192" s="44">
        <v>0.0</v>
      </c>
      <c r="L192" s="44" t="s">
        <v>1513</v>
      </c>
      <c r="M192" s="44">
        <v>2.0</v>
      </c>
      <c r="N192" s="44">
        <v>0.1</v>
      </c>
      <c r="O192" s="44" t="s">
        <v>161</v>
      </c>
      <c r="P192" s="45"/>
      <c r="Q192" s="45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</row>
    <row r="193">
      <c r="A193" s="44">
        <v>190.0</v>
      </c>
      <c r="B193" s="41" t="s">
        <v>1678</v>
      </c>
      <c r="C193" s="42">
        <f t="array" ref="C193">INDEX(SkillBoxes!A192:D768,MATCH(E193,SkillBoxes!A192:A768,0),2)</f>
        <v>10</v>
      </c>
      <c r="D193" s="42" t="str">
        <f t="array" ref="D193">INDEX(SkillBoxes!A192:D768,MATCH(E193,SkillBoxes!A192:A768,0),3)</f>
        <v>Arcane Wavemaster</v>
      </c>
      <c r="E193" s="42">
        <v>190.0</v>
      </c>
      <c r="F193" s="42" t="str">
        <f t="array" ref="F193">INDEX(SkillBoxes!A192:D768,MATCH(E193,SkillBoxes!A192:A768,0),4)</f>
        <v>Wave Barrier II</v>
      </c>
      <c r="G193" s="41">
        <v>7.0</v>
      </c>
      <c r="H193" s="41" t="s">
        <v>160</v>
      </c>
      <c r="I193" s="41" t="s">
        <v>1498</v>
      </c>
      <c r="J193" s="41" t="s">
        <v>1543</v>
      </c>
      <c r="K193" s="41">
        <v>0.0</v>
      </c>
      <c r="L193" s="41" t="s">
        <v>1513</v>
      </c>
      <c r="M193" s="41">
        <v>3.0</v>
      </c>
      <c r="N193" s="41">
        <v>0.15</v>
      </c>
      <c r="O193" s="41" t="s">
        <v>161</v>
      </c>
      <c r="P193" s="42"/>
      <c r="Q193" s="42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</row>
    <row r="194">
      <c r="A194" s="41">
        <v>191.0</v>
      </c>
      <c r="B194" s="44" t="s">
        <v>1679</v>
      </c>
      <c r="C194" s="45">
        <f t="array" ref="C194">INDEX(SkillBoxes!A193:D769,MATCH(E194,SkillBoxes!A193:A769,0),2)</f>
        <v>10</v>
      </c>
      <c r="D194" s="45" t="str">
        <f t="array" ref="D194">INDEX(SkillBoxes!A193:D769,MATCH(E194,SkillBoxes!A193:A769,0),3)</f>
        <v>Arcane Wavemaster</v>
      </c>
      <c r="E194" s="45">
        <v>191.0</v>
      </c>
      <c r="F194" s="45" t="str">
        <f t="array" ref="F194">INDEX(SkillBoxes!A193:D769,MATCH(E194,SkillBoxes!A193:A769,0),4)</f>
        <v>Wave Barrier III</v>
      </c>
      <c r="G194" s="44">
        <v>9.0</v>
      </c>
      <c r="H194" s="44" t="s">
        <v>160</v>
      </c>
      <c r="I194" s="44" t="s">
        <v>1498</v>
      </c>
      <c r="J194" s="44" t="s">
        <v>1491</v>
      </c>
      <c r="K194" s="44">
        <v>0.0</v>
      </c>
      <c r="L194" s="44" t="s">
        <v>1513</v>
      </c>
      <c r="M194" s="44">
        <v>2.0</v>
      </c>
      <c r="N194" s="44">
        <v>0.1</v>
      </c>
      <c r="O194" s="44" t="s">
        <v>161</v>
      </c>
      <c r="P194" s="45"/>
      <c r="Q194" s="45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</row>
    <row r="195">
      <c r="A195" s="44">
        <v>192.0</v>
      </c>
      <c r="B195" s="41" t="s">
        <v>1680</v>
      </c>
      <c r="C195" s="42">
        <f t="array" ref="C195">INDEX(SkillBoxes!A194:D770,MATCH(E195,SkillBoxes!A194:A770,0),2)</f>
        <v>10</v>
      </c>
      <c r="D195" s="42" t="str">
        <f t="array" ref="D195">INDEX(SkillBoxes!A194:D770,MATCH(E195,SkillBoxes!A194:A770,0),3)</f>
        <v>Arcane Wavemaster</v>
      </c>
      <c r="E195" s="42">
        <v>192.0</v>
      </c>
      <c r="F195" s="42" t="str">
        <f t="array" ref="F195">INDEX(SkillBoxes!A194:D770,MATCH(E195,SkillBoxes!A194:A770,0),4)</f>
        <v>Wave Barrier IV</v>
      </c>
      <c r="G195" s="41">
        <v>11.0</v>
      </c>
      <c r="H195" s="41" t="s">
        <v>160</v>
      </c>
      <c r="I195" s="41" t="s">
        <v>1498</v>
      </c>
      <c r="J195" s="41" t="s">
        <v>1491</v>
      </c>
      <c r="K195" s="41">
        <v>0.0</v>
      </c>
      <c r="L195" s="41" t="s">
        <v>1513</v>
      </c>
      <c r="M195" s="41">
        <v>3.0</v>
      </c>
      <c r="N195" s="41">
        <v>0.15</v>
      </c>
      <c r="O195" s="41" t="s">
        <v>161</v>
      </c>
      <c r="P195" s="42"/>
      <c r="Q195" s="42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</row>
    <row r="196">
      <c r="A196" s="41">
        <v>193.0</v>
      </c>
      <c r="B196" s="44" t="s">
        <v>1681</v>
      </c>
      <c r="C196" s="45">
        <f t="array" ref="C196">INDEX(SkillBoxes!A195:D771,MATCH(E196,SkillBoxes!A195:A771,0),2)</f>
        <v>10</v>
      </c>
      <c r="D196" s="45" t="str">
        <f t="array" ref="D196">INDEX(SkillBoxes!A195:D771,MATCH(E196,SkillBoxes!A195:A771,0),3)</f>
        <v>Arcane Wavemaster</v>
      </c>
      <c r="E196" s="45">
        <v>193.0</v>
      </c>
      <c r="F196" s="45" t="str">
        <f t="array" ref="F196">INDEX(SkillBoxes!A195:D771,MATCH(E196,SkillBoxes!A195:A771,0),4)</f>
        <v>Staff Handling I</v>
      </c>
      <c r="G196" s="44">
        <v>5.0</v>
      </c>
      <c r="H196" s="44" t="s">
        <v>125</v>
      </c>
      <c r="I196" s="44" t="s">
        <v>1479</v>
      </c>
      <c r="J196" s="44" t="s">
        <v>1480</v>
      </c>
      <c r="K196" s="44">
        <v>1.1</v>
      </c>
      <c r="L196" s="45"/>
      <c r="M196" s="45"/>
      <c r="N196" s="45"/>
      <c r="O196" s="45"/>
      <c r="P196" s="45"/>
      <c r="Q196" s="45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</row>
    <row r="197">
      <c r="A197" s="44">
        <v>194.0</v>
      </c>
      <c r="B197" s="41" t="s">
        <v>1682</v>
      </c>
      <c r="C197" s="42">
        <f t="array" ref="C197">INDEX(SkillBoxes!A196:D772,MATCH(E197,SkillBoxes!A196:A772,0),2)</f>
        <v>10</v>
      </c>
      <c r="D197" s="42" t="str">
        <f t="array" ref="D197">INDEX(SkillBoxes!A196:D772,MATCH(E197,SkillBoxes!A196:A772,0),3)</f>
        <v>Arcane Wavemaster</v>
      </c>
      <c r="E197" s="42">
        <v>194.0</v>
      </c>
      <c r="F197" s="42" t="str">
        <f t="array" ref="F197">INDEX(SkillBoxes!A196:D772,MATCH(E197,SkillBoxes!A196:A772,0),4)</f>
        <v>Staff Handling II</v>
      </c>
      <c r="G197" s="41">
        <v>7.0</v>
      </c>
      <c r="H197" s="41" t="s">
        <v>125</v>
      </c>
      <c r="I197" s="41" t="s">
        <v>1479</v>
      </c>
      <c r="J197" s="41" t="s">
        <v>1480</v>
      </c>
      <c r="K197" s="41">
        <v>1.2</v>
      </c>
      <c r="L197" s="42"/>
      <c r="M197" s="42"/>
      <c r="N197" s="42"/>
      <c r="O197" s="42"/>
      <c r="P197" s="42"/>
      <c r="Q197" s="42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</row>
    <row r="198">
      <c r="A198" s="41">
        <v>195.0</v>
      </c>
      <c r="B198" s="44" t="s">
        <v>1683</v>
      </c>
      <c r="C198" s="45">
        <f t="array" ref="C198">INDEX(SkillBoxes!A197:D773,MATCH(E198,SkillBoxes!A197:A773,0),2)</f>
        <v>10</v>
      </c>
      <c r="D198" s="45" t="str">
        <f t="array" ref="D198">INDEX(SkillBoxes!A197:D773,MATCH(E198,SkillBoxes!A197:A773,0),3)</f>
        <v>Arcane Wavemaster</v>
      </c>
      <c r="E198" s="45">
        <v>195.0</v>
      </c>
      <c r="F198" s="45" t="str">
        <f t="array" ref="F198">INDEX(SkillBoxes!A197:D773,MATCH(E198,SkillBoxes!A197:A773,0),4)</f>
        <v>Staff Handling III</v>
      </c>
      <c r="G198" s="44">
        <v>9.0</v>
      </c>
      <c r="H198" s="44" t="s">
        <v>125</v>
      </c>
      <c r="I198" s="44" t="s">
        <v>1479</v>
      </c>
      <c r="J198" s="44" t="s">
        <v>1491</v>
      </c>
      <c r="K198" s="44">
        <v>0.8</v>
      </c>
      <c r="L198" s="44" t="s">
        <v>1489</v>
      </c>
      <c r="M198" s="44">
        <v>1.0</v>
      </c>
      <c r="N198" s="45"/>
      <c r="O198" s="45"/>
      <c r="P198" s="45"/>
      <c r="Q198" s="45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</row>
    <row r="199">
      <c r="A199" s="41">
        <v>196.0</v>
      </c>
      <c r="B199" s="41" t="s">
        <v>1684</v>
      </c>
      <c r="C199" s="42">
        <f t="array" ref="C199">INDEX(SkillBoxes!A198:D774,MATCH(E199,SkillBoxes!A198:A774,0),2)</f>
        <v>10</v>
      </c>
      <c r="D199" s="42" t="str">
        <f t="array" ref="D199">INDEX(SkillBoxes!A198:D774,MATCH(E199,SkillBoxes!A198:A774,0),3)</f>
        <v>Arcane Wavemaster</v>
      </c>
      <c r="E199" s="42">
        <v>196.0</v>
      </c>
      <c r="F199" s="42" t="str">
        <f t="array" ref="F199">INDEX(SkillBoxes!A198:D774,MATCH(E199,SkillBoxes!A198:A774,0),4)</f>
        <v>Staff Handling IV</v>
      </c>
      <c r="G199" s="41">
        <v>11.0</v>
      </c>
      <c r="H199" s="41" t="s">
        <v>125</v>
      </c>
      <c r="I199" s="41" t="s">
        <v>1479</v>
      </c>
      <c r="J199" s="41" t="s">
        <v>1480</v>
      </c>
      <c r="K199" s="41">
        <v>1.5</v>
      </c>
      <c r="L199" s="41" t="s">
        <v>1489</v>
      </c>
      <c r="M199" s="41">
        <v>2.0</v>
      </c>
      <c r="N199" s="42"/>
      <c r="O199" s="42"/>
      <c r="P199" s="42"/>
      <c r="Q199" s="42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</row>
    <row r="200">
      <c r="A200" s="44">
        <v>197.0</v>
      </c>
      <c r="B200" s="44" t="s">
        <v>1685</v>
      </c>
      <c r="C200" s="45">
        <f t="array" ref="C200">INDEX(SkillBoxes!A199:D775,MATCH(E200,SkillBoxes!A199:A775,0),2)</f>
        <v>10</v>
      </c>
      <c r="D200" s="45" t="str">
        <f t="array" ref="D200">INDEX(SkillBoxes!A199:D775,MATCH(E200,SkillBoxes!A199:A775,0),3)</f>
        <v>Arcane Wavemaster</v>
      </c>
      <c r="E200" s="45">
        <v>197.0</v>
      </c>
      <c r="F200" s="45" t="str">
        <f t="array" ref="F200">INDEX(SkillBoxes!A199:D775,MATCH(E200,SkillBoxes!A199:A775,0),4)</f>
        <v>Master Arcane Wavemaster</v>
      </c>
      <c r="G200" s="44">
        <v>16.0</v>
      </c>
      <c r="H200" s="44" t="s">
        <v>160</v>
      </c>
      <c r="I200" s="44" t="s">
        <v>1498</v>
      </c>
      <c r="J200" s="44" t="s">
        <v>1491</v>
      </c>
      <c r="K200" s="44">
        <v>1.1</v>
      </c>
      <c r="L200" s="44" t="s">
        <v>410</v>
      </c>
      <c r="M200" s="44">
        <v>3.0</v>
      </c>
      <c r="N200" s="44">
        <v>0.15</v>
      </c>
      <c r="O200" s="44" t="s">
        <v>161</v>
      </c>
      <c r="P200" s="45"/>
      <c r="Q200" s="45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</row>
    <row r="201">
      <c r="A201" s="41">
        <v>198.0</v>
      </c>
      <c r="B201" s="41" t="s">
        <v>1686</v>
      </c>
      <c r="C201" s="42">
        <f t="array" ref="C201">INDEX(SkillBoxes!A200:D776,MATCH(E201,SkillBoxes!A200:A776,0),2)</f>
        <v>11</v>
      </c>
      <c r="D201" s="42" t="str">
        <f t="array" ref="D201">INDEX(SkillBoxes!A200:D776,MATCH(E201,SkillBoxes!A200:A776,0),3)</f>
        <v>Summoner</v>
      </c>
      <c r="E201" s="42">
        <v>198.0</v>
      </c>
      <c r="F201" s="42" t="str">
        <f t="array" ref="F201">INDEX(SkillBoxes!A200:D776,MATCH(E201,SkillBoxes!A200:A776,0),4)</f>
        <v>Novice Summoner</v>
      </c>
      <c r="G201" s="41">
        <v>5.0</v>
      </c>
      <c r="H201" s="41" t="s">
        <v>160</v>
      </c>
      <c r="I201" s="41" t="s">
        <v>1498</v>
      </c>
      <c r="J201" s="41" t="s">
        <v>1480</v>
      </c>
      <c r="K201" s="41">
        <v>1.0</v>
      </c>
      <c r="L201" s="42"/>
      <c r="M201" s="42"/>
      <c r="N201" s="42"/>
      <c r="O201" s="42"/>
      <c r="P201" s="42"/>
      <c r="Q201" s="42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</row>
    <row r="202">
      <c r="A202" s="44">
        <v>199.0</v>
      </c>
      <c r="B202" s="44" t="s">
        <v>1687</v>
      </c>
      <c r="C202" s="45">
        <f t="array" ref="C202">INDEX(SkillBoxes!A201:D777,MATCH(E202,SkillBoxes!A201:A777,0),2)</f>
        <v>11</v>
      </c>
      <c r="D202" s="45" t="str">
        <f t="array" ref="D202">INDEX(SkillBoxes!A201:D777,MATCH(E202,SkillBoxes!A201:A777,0),3)</f>
        <v>Summoner</v>
      </c>
      <c r="E202" s="45">
        <v>199.0</v>
      </c>
      <c r="F202" s="45" t="str">
        <f t="array" ref="F202">INDEX(SkillBoxes!A201:D777,MATCH(E202,SkillBoxes!A201:A777,0),4)</f>
        <v>Rune Carving I</v>
      </c>
      <c r="G202" s="44">
        <v>5.0</v>
      </c>
      <c r="H202" s="44" t="s">
        <v>160</v>
      </c>
      <c r="I202" s="44" t="s">
        <v>1498</v>
      </c>
      <c r="J202" s="44" t="s">
        <v>1480</v>
      </c>
      <c r="K202" s="44">
        <v>1.1</v>
      </c>
      <c r="L202" s="45"/>
      <c r="M202" s="45"/>
      <c r="N202" s="45"/>
      <c r="O202" s="45"/>
      <c r="P202" s="45"/>
      <c r="Q202" s="45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</row>
    <row r="203">
      <c r="A203" s="41">
        <v>200.0</v>
      </c>
      <c r="B203" s="41" t="s">
        <v>1688</v>
      </c>
      <c r="C203" s="42">
        <f t="array" ref="C203">INDEX(SkillBoxes!A202:D778,MATCH(E203,SkillBoxes!A202:A778,0),2)</f>
        <v>11</v>
      </c>
      <c r="D203" s="42" t="str">
        <f t="array" ref="D203">INDEX(SkillBoxes!A202:D778,MATCH(E203,SkillBoxes!A202:A778,0),3)</f>
        <v>Summoner</v>
      </c>
      <c r="E203" s="42">
        <v>200.0</v>
      </c>
      <c r="F203" s="42" t="str">
        <f t="array" ref="F203">INDEX(SkillBoxes!A202:D778,MATCH(E203,SkillBoxes!A202:A778,0),4)</f>
        <v>Rune Carving II</v>
      </c>
      <c r="G203" s="41">
        <v>7.0</v>
      </c>
      <c r="H203" s="41" t="s">
        <v>160</v>
      </c>
      <c r="I203" s="41" t="s">
        <v>1498</v>
      </c>
      <c r="J203" s="41" t="s">
        <v>1480</v>
      </c>
      <c r="K203" s="41">
        <v>1.2</v>
      </c>
      <c r="L203" s="42"/>
      <c r="M203" s="42"/>
      <c r="N203" s="42"/>
      <c r="O203" s="42"/>
      <c r="P203" s="42"/>
      <c r="Q203" s="42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</row>
    <row r="204">
      <c r="A204" s="44">
        <v>201.0</v>
      </c>
      <c r="B204" s="44" t="s">
        <v>1689</v>
      </c>
      <c r="C204" s="45">
        <f t="array" ref="C204">INDEX(SkillBoxes!A203:D779,MATCH(E204,SkillBoxes!A203:A779,0),2)</f>
        <v>11</v>
      </c>
      <c r="D204" s="45" t="str">
        <f t="array" ref="D204">INDEX(SkillBoxes!A203:D779,MATCH(E204,SkillBoxes!A203:A779,0),3)</f>
        <v>Summoner</v>
      </c>
      <c r="E204" s="45">
        <v>201.0</v>
      </c>
      <c r="F204" s="45" t="str">
        <f t="array" ref="F204">INDEX(SkillBoxes!A203:D779,MATCH(E204,SkillBoxes!A203:A779,0),4)</f>
        <v>Rune Carving III</v>
      </c>
      <c r="G204" s="44">
        <v>9.0</v>
      </c>
      <c r="H204" s="44" t="s">
        <v>160</v>
      </c>
      <c r="I204" s="44" t="s">
        <v>1498</v>
      </c>
      <c r="J204" s="44" t="s">
        <v>1491</v>
      </c>
      <c r="K204" s="44">
        <v>0.8</v>
      </c>
      <c r="L204" s="45"/>
      <c r="M204" s="45"/>
      <c r="N204" s="45"/>
      <c r="O204" s="45"/>
      <c r="P204" s="45"/>
      <c r="Q204" s="45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</row>
    <row r="205">
      <c r="A205" s="41">
        <v>202.0</v>
      </c>
      <c r="B205" s="41" t="s">
        <v>1690</v>
      </c>
      <c r="C205" s="42">
        <f t="array" ref="C205">INDEX(SkillBoxes!A204:D780,MATCH(E205,SkillBoxes!A204:A780,0),2)</f>
        <v>11</v>
      </c>
      <c r="D205" s="42" t="str">
        <f t="array" ref="D205">INDEX(SkillBoxes!A204:D780,MATCH(E205,SkillBoxes!A204:A780,0),3)</f>
        <v>Summoner</v>
      </c>
      <c r="E205" s="42">
        <v>202.0</v>
      </c>
      <c r="F205" s="42" t="str">
        <f t="array" ref="F205">INDEX(SkillBoxes!A204:D780,MATCH(E205,SkillBoxes!A204:A780,0),4)</f>
        <v>Rune Carving IV</v>
      </c>
      <c r="G205" s="41">
        <v>11.0</v>
      </c>
      <c r="H205" s="41" t="s">
        <v>160</v>
      </c>
      <c r="I205" s="41" t="s">
        <v>1498</v>
      </c>
      <c r="J205" s="41" t="s">
        <v>1480</v>
      </c>
      <c r="K205" s="41">
        <v>1.5</v>
      </c>
      <c r="L205" s="41" t="s">
        <v>410</v>
      </c>
      <c r="M205" s="41">
        <v>2.0</v>
      </c>
      <c r="N205" s="41">
        <v>0.1</v>
      </c>
      <c r="O205" s="41" t="s">
        <v>161</v>
      </c>
      <c r="P205" s="42"/>
      <c r="Q205" s="42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</row>
    <row r="206">
      <c r="A206" s="41">
        <v>203.0</v>
      </c>
      <c r="B206" s="44" t="s">
        <v>1691</v>
      </c>
      <c r="C206" s="45">
        <f t="array" ref="C206">INDEX(SkillBoxes!A205:D781,MATCH(E206,SkillBoxes!A205:A781,0),2)</f>
        <v>11</v>
      </c>
      <c r="D206" s="45" t="str">
        <f t="array" ref="D206">INDEX(SkillBoxes!A205:D781,MATCH(E206,SkillBoxes!A205:A781,0),3)</f>
        <v>Summoner</v>
      </c>
      <c r="E206" s="45">
        <v>203.0</v>
      </c>
      <c r="F206" s="45" t="str">
        <f t="array" ref="F206">INDEX(SkillBoxes!A205:D781,MATCH(E206,SkillBoxes!A205:A781,0),4)</f>
        <v>Elemental Summons I</v>
      </c>
      <c r="G206" s="44">
        <v>6.0</v>
      </c>
      <c r="H206" s="44" t="s">
        <v>160</v>
      </c>
      <c r="I206" s="44" t="s">
        <v>1498</v>
      </c>
      <c r="J206" s="44" t="s">
        <v>1480</v>
      </c>
      <c r="K206" s="44">
        <v>1.2</v>
      </c>
      <c r="L206" s="45"/>
      <c r="M206" s="45"/>
      <c r="N206" s="45"/>
      <c r="O206" s="45"/>
      <c r="P206" s="44" t="s">
        <v>1534</v>
      </c>
      <c r="Q206" s="45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</row>
    <row r="207">
      <c r="A207" s="44">
        <v>204.0</v>
      </c>
      <c r="B207" s="41" t="s">
        <v>1692</v>
      </c>
      <c r="C207" s="42">
        <f t="array" ref="C207">INDEX(SkillBoxes!A206:D782,MATCH(E207,SkillBoxes!A206:A782,0),2)</f>
        <v>11</v>
      </c>
      <c r="D207" s="42" t="str">
        <f t="array" ref="D207">INDEX(SkillBoxes!A206:D782,MATCH(E207,SkillBoxes!A206:A782,0),3)</f>
        <v>Summoner</v>
      </c>
      <c r="E207" s="42">
        <v>204.0</v>
      </c>
      <c r="F207" s="42" t="str">
        <f t="array" ref="F207">INDEX(SkillBoxes!A206:D782,MATCH(E207,SkillBoxes!A206:A782,0),4)</f>
        <v>Elemental Summons II</v>
      </c>
      <c r="G207" s="41">
        <v>8.0</v>
      </c>
      <c r="H207" s="41" t="s">
        <v>160</v>
      </c>
      <c r="I207" s="41" t="s">
        <v>1498</v>
      </c>
      <c r="J207" s="41" t="s">
        <v>1480</v>
      </c>
      <c r="K207" s="41">
        <v>1.2</v>
      </c>
      <c r="L207" s="42"/>
      <c r="M207" s="42"/>
      <c r="N207" s="42"/>
      <c r="O207" s="42"/>
      <c r="P207" s="41" t="s">
        <v>1536</v>
      </c>
      <c r="Q207" s="42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</row>
    <row r="208">
      <c r="A208" s="41">
        <v>205.0</v>
      </c>
      <c r="B208" s="44" t="s">
        <v>1693</v>
      </c>
      <c r="C208" s="45">
        <f t="array" ref="C208">INDEX(SkillBoxes!A207:D783,MATCH(E208,SkillBoxes!A207:A783,0),2)</f>
        <v>11</v>
      </c>
      <c r="D208" s="45" t="str">
        <f t="array" ref="D208">INDEX(SkillBoxes!A207:D783,MATCH(E208,SkillBoxes!A207:A783,0),3)</f>
        <v>Summoner</v>
      </c>
      <c r="E208" s="45">
        <v>205.0</v>
      </c>
      <c r="F208" s="45" t="str">
        <f t="array" ref="F208">INDEX(SkillBoxes!A207:D783,MATCH(E208,SkillBoxes!A207:A783,0),4)</f>
        <v>Elemental Summons III</v>
      </c>
      <c r="G208" s="44">
        <v>10.0</v>
      </c>
      <c r="H208" s="44" t="s">
        <v>160</v>
      </c>
      <c r="I208" s="44" t="s">
        <v>1498</v>
      </c>
      <c r="J208" s="44" t="s">
        <v>1491</v>
      </c>
      <c r="K208" s="44">
        <v>0.9</v>
      </c>
      <c r="L208" s="44" t="s">
        <v>1484</v>
      </c>
      <c r="M208" s="44">
        <v>1.0</v>
      </c>
      <c r="N208" s="44">
        <v>-1.0</v>
      </c>
      <c r="O208" s="44" t="s">
        <v>141</v>
      </c>
      <c r="P208" s="44" t="s">
        <v>1540</v>
      </c>
      <c r="Q208" s="45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r="209">
      <c r="A209" s="44">
        <v>206.0</v>
      </c>
      <c r="B209" s="41" t="s">
        <v>1694</v>
      </c>
      <c r="C209" s="42">
        <f t="array" ref="C209">INDEX(SkillBoxes!A208:D784,MATCH(E209,SkillBoxes!A208:A784,0),2)</f>
        <v>11</v>
      </c>
      <c r="D209" s="42" t="str">
        <f t="array" ref="D209">INDEX(SkillBoxes!A208:D784,MATCH(E209,SkillBoxes!A208:A784,0),3)</f>
        <v>Summoner</v>
      </c>
      <c r="E209" s="42">
        <v>206.0</v>
      </c>
      <c r="F209" s="42" t="str">
        <f t="array" ref="F209">INDEX(SkillBoxes!A208:D784,MATCH(E209,SkillBoxes!A208:A784,0),4)</f>
        <v>Elemental Summons IV</v>
      </c>
      <c r="G209" s="41">
        <v>12.0</v>
      </c>
      <c r="H209" s="41" t="s">
        <v>160</v>
      </c>
      <c r="I209" s="41" t="s">
        <v>1498</v>
      </c>
      <c r="J209" s="41" t="s">
        <v>1491</v>
      </c>
      <c r="K209" s="41">
        <v>1.0</v>
      </c>
      <c r="L209" s="41" t="s">
        <v>410</v>
      </c>
      <c r="M209" s="41">
        <v>2.0</v>
      </c>
      <c r="N209" s="41">
        <v>0.1</v>
      </c>
      <c r="O209" s="41" t="s">
        <v>161</v>
      </c>
      <c r="P209" s="42"/>
      <c r="Q209" s="42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</row>
    <row r="210">
      <c r="A210" s="41">
        <v>207.0</v>
      </c>
      <c r="B210" s="44" t="s">
        <v>1695</v>
      </c>
      <c r="C210" s="45">
        <f t="array" ref="C210">INDEX(SkillBoxes!A209:D785,MATCH(E210,SkillBoxes!A209:A785,0),2)</f>
        <v>11</v>
      </c>
      <c r="D210" s="45" t="str">
        <f t="array" ref="D210">INDEX(SkillBoxes!A209:D785,MATCH(E210,SkillBoxes!A209:A785,0),3)</f>
        <v>Summoner</v>
      </c>
      <c r="E210" s="45">
        <v>207.0</v>
      </c>
      <c r="F210" s="45" t="str">
        <f t="array" ref="F210">INDEX(SkillBoxes!A209:D785,MATCH(E210,SkillBoxes!A209:A785,0),4)</f>
        <v>Dark Summons I</v>
      </c>
      <c r="G210" s="44">
        <v>6.0</v>
      </c>
      <c r="H210" s="44" t="s">
        <v>160</v>
      </c>
      <c r="I210" s="44" t="s">
        <v>1498</v>
      </c>
      <c r="J210" s="44" t="s">
        <v>1480</v>
      </c>
      <c r="K210" s="44">
        <v>1.2</v>
      </c>
      <c r="L210" s="45"/>
      <c r="M210" s="45"/>
      <c r="N210" s="45"/>
      <c r="O210" s="45"/>
      <c r="P210" s="44" t="s">
        <v>1518</v>
      </c>
      <c r="Q210" s="45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</row>
    <row r="211">
      <c r="A211" s="44">
        <v>208.0</v>
      </c>
      <c r="B211" s="41" t="s">
        <v>1696</v>
      </c>
      <c r="C211" s="42">
        <f t="array" ref="C211">INDEX(SkillBoxes!A210:D786,MATCH(E211,SkillBoxes!A210:A786,0),2)</f>
        <v>11</v>
      </c>
      <c r="D211" s="42" t="str">
        <f t="array" ref="D211">INDEX(SkillBoxes!A210:D786,MATCH(E211,SkillBoxes!A210:A786,0),3)</f>
        <v>Summoner</v>
      </c>
      <c r="E211" s="42">
        <v>208.0</v>
      </c>
      <c r="F211" s="42" t="str">
        <f t="array" ref="F211">INDEX(SkillBoxes!A210:D786,MATCH(E211,SkillBoxes!A210:A786,0),4)</f>
        <v>Dark Summons II</v>
      </c>
      <c r="G211" s="41">
        <v>8.0</v>
      </c>
      <c r="H211" s="41" t="s">
        <v>160</v>
      </c>
      <c r="I211" s="41" t="s">
        <v>1498</v>
      </c>
      <c r="J211" s="41" t="s">
        <v>1480</v>
      </c>
      <c r="K211" s="41">
        <v>1.35</v>
      </c>
      <c r="L211" s="42"/>
      <c r="M211" s="42"/>
      <c r="N211" s="42"/>
      <c r="O211" s="42"/>
      <c r="P211" s="41" t="s">
        <v>1518</v>
      </c>
      <c r="Q211" s="42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</row>
    <row r="212">
      <c r="A212" s="41">
        <v>209.0</v>
      </c>
      <c r="B212" s="44" t="s">
        <v>1697</v>
      </c>
      <c r="C212" s="45">
        <f t="array" ref="C212">INDEX(SkillBoxes!A211:D787,MATCH(E212,SkillBoxes!A211:A787,0),2)</f>
        <v>11</v>
      </c>
      <c r="D212" s="45" t="str">
        <f t="array" ref="D212">INDEX(SkillBoxes!A211:D787,MATCH(E212,SkillBoxes!A211:A787,0),3)</f>
        <v>Summoner</v>
      </c>
      <c r="E212" s="45">
        <v>209.0</v>
      </c>
      <c r="F212" s="45" t="str">
        <f t="array" ref="F212">INDEX(SkillBoxes!A211:D787,MATCH(E212,SkillBoxes!A211:A787,0),4)</f>
        <v>Dark Summons III</v>
      </c>
      <c r="G212" s="44">
        <v>10.0</v>
      </c>
      <c r="H212" s="44" t="s">
        <v>160</v>
      </c>
      <c r="I212" s="44" t="s">
        <v>1498</v>
      </c>
      <c r="J212" s="44" t="s">
        <v>1480</v>
      </c>
      <c r="K212" s="44">
        <v>1.5</v>
      </c>
      <c r="L212" s="44" t="s">
        <v>1484</v>
      </c>
      <c r="M212" s="44">
        <v>2.0</v>
      </c>
      <c r="N212" s="44">
        <v>-2.0</v>
      </c>
      <c r="O212" s="44" t="s">
        <v>141</v>
      </c>
      <c r="P212" s="44" t="s">
        <v>1518</v>
      </c>
      <c r="Q212" s="45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</row>
    <row r="213">
      <c r="A213" s="41">
        <v>210.0</v>
      </c>
      <c r="B213" s="41" t="s">
        <v>1698</v>
      </c>
      <c r="C213" s="42">
        <f t="array" ref="C213">INDEX(SkillBoxes!A212:D788,MATCH(E213,SkillBoxes!A212:A788,0),2)</f>
        <v>11</v>
      </c>
      <c r="D213" s="42" t="str">
        <f t="array" ref="D213">INDEX(SkillBoxes!A212:D788,MATCH(E213,SkillBoxes!A212:A788,0),3)</f>
        <v>Summoner</v>
      </c>
      <c r="E213" s="42">
        <v>210.0</v>
      </c>
      <c r="F213" s="42" t="str">
        <f t="array" ref="F213">INDEX(SkillBoxes!A212:D788,MATCH(E213,SkillBoxes!A212:A788,0),4)</f>
        <v>Dark Summons IV</v>
      </c>
      <c r="G213" s="41">
        <v>12.0</v>
      </c>
      <c r="H213" s="41" t="s">
        <v>160</v>
      </c>
      <c r="I213" s="41" t="s">
        <v>1498</v>
      </c>
      <c r="J213" s="41" t="s">
        <v>1491</v>
      </c>
      <c r="K213" s="41">
        <v>1.0</v>
      </c>
      <c r="L213" s="41" t="s">
        <v>1484</v>
      </c>
      <c r="M213" s="41">
        <v>3.0</v>
      </c>
      <c r="N213" s="41">
        <v>-2.0</v>
      </c>
      <c r="O213" s="41" t="s">
        <v>141</v>
      </c>
      <c r="P213" s="41" t="s">
        <v>1518</v>
      </c>
      <c r="Q213" s="42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</row>
    <row r="214">
      <c r="A214" s="44">
        <v>211.0</v>
      </c>
      <c r="B214" s="44" t="s">
        <v>1699</v>
      </c>
      <c r="C214" s="45">
        <f t="array" ref="C214">INDEX(SkillBoxes!A213:D789,MATCH(E214,SkillBoxes!A213:A789,0),2)</f>
        <v>11</v>
      </c>
      <c r="D214" s="45" t="str">
        <f t="array" ref="D214">INDEX(SkillBoxes!A213:D789,MATCH(E214,SkillBoxes!A213:A789,0),3)</f>
        <v>Summoner</v>
      </c>
      <c r="E214" s="45">
        <v>211.0</v>
      </c>
      <c r="F214" s="45" t="str">
        <f t="array" ref="F214">INDEX(SkillBoxes!A213:D789,MATCH(E214,SkillBoxes!A213:A789,0),4)</f>
        <v>Dark Knowledge I</v>
      </c>
      <c r="G214" s="44">
        <v>5.0</v>
      </c>
      <c r="H214" s="44" t="s">
        <v>160</v>
      </c>
      <c r="I214" s="44" t="s">
        <v>1498</v>
      </c>
      <c r="J214" s="44" t="s">
        <v>1480</v>
      </c>
      <c r="K214" s="44">
        <v>1.1</v>
      </c>
      <c r="L214" s="44" t="s">
        <v>410</v>
      </c>
      <c r="M214" s="44">
        <v>2.0</v>
      </c>
      <c r="N214" s="44">
        <v>0.05</v>
      </c>
      <c r="O214" s="44" t="s">
        <v>161</v>
      </c>
      <c r="P214" s="44" t="s">
        <v>1518</v>
      </c>
      <c r="Q214" s="45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</row>
    <row r="215">
      <c r="A215" s="41">
        <v>212.0</v>
      </c>
      <c r="B215" s="41" t="s">
        <v>1700</v>
      </c>
      <c r="C215" s="42">
        <f t="array" ref="C215">INDEX(SkillBoxes!A214:D790,MATCH(E215,SkillBoxes!A214:A790,0),2)</f>
        <v>11</v>
      </c>
      <c r="D215" s="42" t="str">
        <f t="array" ref="D215">INDEX(SkillBoxes!A214:D790,MATCH(E215,SkillBoxes!A214:A790,0),3)</f>
        <v>Summoner</v>
      </c>
      <c r="E215" s="42">
        <v>212.0</v>
      </c>
      <c r="F215" s="42" t="str">
        <f t="array" ref="F215">INDEX(SkillBoxes!A214:D790,MATCH(E215,SkillBoxes!A214:A790,0),4)</f>
        <v>Dark Knowledge II</v>
      </c>
      <c r="G215" s="41">
        <v>7.0</v>
      </c>
      <c r="H215" s="41" t="s">
        <v>160</v>
      </c>
      <c r="I215" s="41" t="s">
        <v>1498</v>
      </c>
      <c r="J215" s="41" t="s">
        <v>1480</v>
      </c>
      <c r="K215" s="41">
        <v>1.2</v>
      </c>
      <c r="L215" s="41" t="s">
        <v>410</v>
      </c>
      <c r="M215" s="41">
        <v>2.0</v>
      </c>
      <c r="N215" s="41">
        <v>0.1</v>
      </c>
      <c r="O215" s="41" t="s">
        <v>161</v>
      </c>
      <c r="P215" s="41" t="s">
        <v>1518</v>
      </c>
      <c r="Q215" s="42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</row>
    <row r="216">
      <c r="A216" s="44">
        <v>213.0</v>
      </c>
      <c r="B216" s="44" t="s">
        <v>1701</v>
      </c>
      <c r="C216" s="45">
        <f t="array" ref="C216">INDEX(SkillBoxes!A215:D791,MATCH(E216,SkillBoxes!A215:A791,0),2)</f>
        <v>11</v>
      </c>
      <c r="D216" s="45" t="str">
        <f t="array" ref="D216">INDEX(SkillBoxes!A215:D791,MATCH(E216,SkillBoxes!A215:A791,0),3)</f>
        <v>Summoner</v>
      </c>
      <c r="E216" s="45">
        <v>213.0</v>
      </c>
      <c r="F216" s="45" t="str">
        <f t="array" ref="F216">INDEX(SkillBoxes!A215:D791,MATCH(E216,SkillBoxes!A215:A791,0),4)</f>
        <v>Dark Knowledge III</v>
      </c>
      <c r="G216" s="44">
        <v>9.0</v>
      </c>
      <c r="H216" s="44" t="s">
        <v>160</v>
      </c>
      <c r="I216" s="44" t="s">
        <v>1498</v>
      </c>
      <c r="J216" s="44" t="s">
        <v>1491</v>
      </c>
      <c r="K216" s="44">
        <v>0.8</v>
      </c>
      <c r="L216" s="44" t="s">
        <v>410</v>
      </c>
      <c r="M216" s="44">
        <v>3.0</v>
      </c>
      <c r="N216" s="44">
        <v>0.1</v>
      </c>
      <c r="O216" s="44" t="s">
        <v>161</v>
      </c>
      <c r="P216" s="44" t="s">
        <v>1518</v>
      </c>
      <c r="Q216" s="45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</row>
    <row r="217">
      <c r="A217" s="41">
        <v>214.0</v>
      </c>
      <c r="B217" s="41" t="s">
        <v>1702</v>
      </c>
      <c r="C217" s="42">
        <f t="array" ref="C217">INDEX(SkillBoxes!A216:D792,MATCH(E217,SkillBoxes!A216:A792,0),2)</f>
        <v>11</v>
      </c>
      <c r="D217" s="42" t="str">
        <f t="array" ref="D217">INDEX(SkillBoxes!A216:D792,MATCH(E217,SkillBoxes!A216:A792,0),3)</f>
        <v>Summoner</v>
      </c>
      <c r="E217" s="42">
        <v>214.0</v>
      </c>
      <c r="F217" s="42" t="str">
        <f t="array" ref="F217">INDEX(SkillBoxes!A216:D792,MATCH(E217,SkillBoxes!A216:A792,0),4)</f>
        <v>Dark Knowledge IV</v>
      </c>
      <c r="G217" s="41">
        <v>11.0</v>
      </c>
      <c r="H217" s="41" t="s">
        <v>159</v>
      </c>
      <c r="I217" s="41" t="s">
        <v>1498</v>
      </c>
      <c r="J217" s="41" t="s">
        <v>1491</v>
      </c>
      <c r="K217" s="41">
        <v>1.0</v>
      </c>
      <c r="L217" s="41" t="s">
        <v>410</v>
      </c>
      <c r="M217" s="41">
        <v>4.0</v>
      </c>
      <c r="N217" s="41">
        <v>0.15</v>
      </c>
      <c r="O217" s="41" t="s">
        <v>161</v>
      </c>
      <c r="P217" s="41" t="s">
        <v>1518</v>
      </c>
      <c r="Q217" s="42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</row>
    <row r="218">
      <c r="A218" s="44">
        <v>215.0</v>
      </c>
      <c r="B218" s="44" t="s">
        <v>1703</v>
      </c>
      <c r="C218" s="45">
        <f t="array" ref="C218">INDEX(SkillBoxes!A217:D793,MATCH(E218,SkillBoxes!A217:A793,0),2)</f>
        <v>11</v>
      </c>
      <c r="D218" s="45" t="str">
        <f t="array" ref="D218">INDEX(SkillBoxes!A217:D793,MATCH(E218,SkillBoxes!A217:A793,0),3)</f>
        <v>Summoner</v>
      </c>
      <c r="E218" s="45">
        <v>215.0</v>
      </c>
      <c r="F218" s="45" t="str">
        <f t="array" ref="F218">INDEX(SkillBoxes!A217:D793,MATCH(E218,SkillBoxes!A217:A793,0),4)</f>
        <v>Master Summoner</v>
      </c>
      <c r="G218" s="44">
        <v>16.0</v>
      </c>
      <c r="H218" s="44" t="s">
        <v>160</v>
      </c>
      <c r="I218" s="44" t="s">
        <v>1498</v>
      </c>
      <c r="J218" s="44" t="s">
        <v>1491</v>
      </c>
      <c r="K218" s="44">
        <v>1.1</v>
      </c>
      <c r="L218" s="44" t="s">
        <v>410</v>
      </c>
      <c r="M218" s="44">
        <v>4.0</v>
      </c>
      <c r="N218" s="44">
        <v>0.2</v>
      </c>
      <c r="O218" s="44" t="s">
        <v>161</v>
      </c>
      <c r="P218" s="44" t="s">
        <v>1518</v>
      </c>
      <c r="Q218" s="45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</row>
    <row r="219">
      <c r="A219" s="41">
        <v>216.0</v>
      </c>
      <c r="B219" s="41" t="s">
        <v>1704</v>
      </c>
      <c r="C219" s="42">
        <f t="array" ref="C219">INDEX(SkillBoxes!A218:D794,MATCH(E219,SkillBoxes!A218:A794,0),2)</f>
        <v>12</v>
      </c>
      <c r="D219" s="42" t="str">
        <f t="array" ref="D219">INDEX(SkillBoxes!A218:D794,MATCH(E219,SkillBoxes!A218:A794,0),3)</f>
        <v>Aura Priest</v>
      </c>
      <c r="E219" s="42">
        <v>216.0</v>
      </c>
      <c r="F219" s="42" t="str">
        <f t="array" ref="F219">INDEX(SkillBoxes!A218:D794,MATCH(E219,SkillBoxes!A218:A794,0),4)</f>
        <v>Novice Aura Priest</v>
      </c>
      <c r="G219" s="41">
        <v>5.0</v>
      </c>
      <c r="H219" s="41" t="s">
        <v>160</v>
      </c>
      <c r="I219" s="41" t="s">
        <v>1498</v>
      </c>
      <c r="J219" s="41" t="s">
        <v>1543</v>
      </c>
      <c r="K219" s="41">
        <v>0.0</v>
      </c>
      <c r="L219" s="41" t="s">
        <v>1513</v>
      </c>
      <c r="M219" s="41">
        <v>2.0</v>
      </c>
      <c r="N219" s="41">
        <v>0.1</v>
      </c>
      <c r="O219" s="41" t="s">
        <v>161</v>
      </c>
      <c r="P219" s="41" t="s">
        <v>41</v>
      </c>
      <c r="Q219" s="42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</row>
    <row r="220">
      <c r="A220" s="41">
        <v>217.0</v>
      </c>
      <c r="B220" s="44" t="s">
        <v>1705</v>
      </c>
      <c r="C220" s="45">
        <f t="array" ref="C220">INDEX(SkillBoxes!A219:D795,MATCH(E220,SkillBoxes!A219:A795,0),2)</f>
        <v>12</v>
      </c>
      <c r="D220" s="45" t="str">
        <f t="array" ref="D220">INDEX(SkillBoxes!A219:D795,MATCH(E220,SkillBoxes!A219:A795,0),3)</f>
        <v>Aura Priest</v>
      </c>
      <c r="E220" s="45">
        <v>217.0</v>
      </c>
      <c r="F220" s="45" t="str">
        <f t="array" ref="F220">INDEX(SkillBoxes!A219:D795,MATCH(E220,SkillBoxes!A219:A795,0),4)</f>
        <v>Aura Arts I</v>
      </c>
      <c r="G220" s="44">
        <v>5.0</v>
      </c>
      <c r="H220" s="44" t="s">
        <v>160</v>
      </c>
      <c r="I220" s="44" t="s">
        <v>1498</v>
      </c>
      <c r="J220" s="44" t="s">
        <v>1543</v>
      </c>
      <c r="K220" s="44">
        <v>0.0</v>
      </c>
      <c r="L220" s="44" t="s">
        <v>1513</v>
      </c>
      <c r="M220" s="44">
        <v>2.0</v>
      </c>
      <c r="N220" s="44">
        <v>0.1</v>
      </c>
      <c r="O220" s="44" t="s">
        <v>126</v>
      </c>
      <c r="P220" s="45"/>
      <c r="Q220" s="45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</row>
    <row r="221">
      <c r="A221" s="44">
        <v>218.0</v>
      </c>
      <c r="B221" s="41" t="s">
        <v>1706</v>
      </c>
      <c r="C221" s="42">
        <f t="array" ref="C221">INDEX(SkillBoxes!A220:D796,MATCH(E221,SkillBoxes!A220:A796,0),2)</f>
        <v>12</v>
      </c>
      <c r="D221" s="42" t="str">
        <f t="array" ref="D221">INDEX(SkillBoxes!A220:D796,MATCH(E221,SkillBoxes!A220:A796,0),3)</f>
        <v>Aura Priest</v>
      </c>
      <c r="E221" s="42">
        <v>218.0</v>
      </c>
      <c r="F221" s="42" t="str">
        <f t="array" ref="F221">INDEX(SkillBoxes!A220:D796,MATCH(E221,SkillBoxes!A220:A796,0),4)</f>
        <v>Aura Arts II</v>
      </c>
      <c r="G221" s="41">
        <v>7.0</v>
      </c>
      <c r="H221" s="41" t="s">
        <v>160</v>
      </c>
      <c r="I221" s="41" t="s">
        <v>1498</v>
      </c>
      <c r="J221" s="41" t="s">
        <v>1543</v>
      </c>
      <c r="K221" s="41">
        <v>0.0</v>
      </c>
      <c r="L221" s="41" t="s">
        <v>1513</v>
      </c>
      <c r="M221" s="41">
        <v>3.0</v>
      </c>
      <c r="N221" s="41">
        <v>0.15</v>
      </c>
      <c r="O221" s="41" t="s">
        <v>126</v>
      </c>
      <c r="P221" s="42"/>
      <c r="Q221" s="42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</row>
    <row r="222">
      <c r="A222" s="41">
        <v>219.0</v>
      </c>
      <c r="B222" s="44" t="s">
        <v>1707</v>
      </c>
      <c r="C222" s="45">
        <f t="array" ref="C222">INDEX(SkillBoxes!A221:D797,MATCH(E222,SkillBoxes!A221:A797,0),2)</f>
        <v>12</v>
      </c>
      <c r="D222" s="45" t="str">
        <f t="array" ref="D222">INDEX(SkillBoxes!A221:D797,MATCH(E222,SkillBoxes!A221:A797,0),3)</f>
        <v>Aura Priest</v>
      </c>
      <c r="E222" s="45">
        <v>219.0</v>
      </c>
      <c r="F222" s="45" t="str">
        <f t="array" ref="F222">INDEX(SkillBoxes!A221:D797,MATCH(E222,SkillBoxes!A221:A797,0),4)</f>
        <v>Aura Arts III</v>
      </c>
      <c r="G222" s="44">
        <v>9.0</v>
      </c>
      <c r="H222" s="44" t="s">
        <v>160</v>
      </c>
      <c r="I222" s="44" t="s">
        <v>1498</v>
      </c>
      <c r="J222" s="44" t="s">
        <v>1491</v>
      </c>
      <c r="K222" s="44">
        <v>0.0</v>
      </c>
      <c r="L222" s="44" t="s">
        <v>1513</v>
      </c>
      <c r="M222" s="44">
        <v>2.0</v>
      </c>
      <c r="N222" s="44">
        <v>0.1</v>
      </c>
      <c r="O222" s="44" t="s">
        <v>161</v>
      </c>
      <c r="P222" s="44" t="s">
        <v>41</v>
      </c>
      <c r="Q222" s="45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</row>
    <row r="223">
      <c r="A223" s="44">
        <v>220.0</v>
      </c>
      <c r="B223" s="41" t="s">
        <v>1708</v>
      </c>
      <c r="C223" s="42">
        <f t="array" ref="C223">INDEX(SkillBoxes!A222:D798,MATCH(E223,SkillBoxes!A222:A798,0),2)</f>
        <v>12</v>
      </c>
      <c r="D223" s="42" t="str">
        <f t="array" ref="D223">INDEX(SkillBoxes!A222:D798,MATCH(E223,SkillBoxes!A222:A798,0),3)</f>
        <v>Aura Priest</v>
      </c>
      <c r="E223" s="42">
        <v>220.0</v>
      </c>
      <c r="F223" s="42" t="str">
        <f t="array" ref="F223">INDEX(SkillBoxes!A222:D798,MATCH(E223,SkillBoxes!A222:A798,0),4)</f>
        <v>Aura Arts IV</v>
      </c>
      <c r="G223" s="41">
        <v>11.0</v>
      </c>
      <c r="H223" s="41" t="s">
        <v>160</v>
      </c>
      <c r="I223" s="41" t="s">
        <v>1498</v>
      </c>
      <c r="J223" s="41" t="s">
        <v>1491</v>
      </c>
      <c r="K223" s="41">
        <v>0.0</v>
      </c>
      <c r="L223" s="41" t="s">
        <v>1513</v>
      </c>
      <c r="M223" s="41">
        <v>3.0</v>
      </c>
      <c r="N223" s="41">
        <v>0.15</v>
      </c>
      <c r="O223" s="41" t="s">
        <v>161</v>
      </c>
      <c r="P223" s="41" t="s">
        <v>41</v>
      </c>
      <c r="Q223" s="42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</row>
    <row r="224">
      <c r="A224" s="41">
        <v>221.0</v>
      </c>
      <c r="B224" s="44" t="s">
        <v>1709</v>
      </c>
      <c r="C224" s="45">
        <f t="array" ref="C224">INDEX(SkillBoxes!A223:D799,MATCH(E224,SkillBoxes!A223:A799,0),2)</f>
        <v>12</v>
      </c>
      <c r="D224" s="45" t="str">
        <f t="array" ref="D224">INDEX(SkillBoxes!A223:D799,MATCH(E224,SkillBoxes!A223:A799,0),3)</f>
        <v>Aura Priest</v>
      </c>
      <c r="E224" s="45">
        <v>221.0</v>
      </c>
      <c r="F224" s="45" t="str">
        <f t="array" ref="F224">INDEX(SkillBoxes!A223:D799,MATCH(E224,SkillBoxes!A223:A799,0),4)</f>
        <v>Rites I</v>
      </c>
      <c r="G224" s="44">
        <v>5.0</v>
      </c>
      <c r="H224" s="44" t="s">
        <v>160</v>
      </c>
      <c r="I224" s="44" t="s">
        <v>1498</v>
      </c>
      <c r="J224" s="44" t="s">
        <v>1543</v>
      </c>
      <c r="K224" s="44">
        <v>0.0</v>
      </c>
      <c r="L224" s="44" t="s">
        <v>1544</v>
      </c>
      <c r="M224" s="44">
        <v>1.0</v>
      </c>
      <c r="N224" s="44">
        <v>30.0</v>
      </c>
      <c r="O224" s="44" t="s">
        <v>141</v>
      </c>
      <c r="P224" s="45"/>
      <c r="Q224" s="45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</row>
    <row r="225">
      <c r="A225" s="44">
        <v>222.0</v>
      </c>
      <c r="B225" s="41" t="s">
        <v>1710</v>
      </c>
      <c r="C225" s="42">
        <f t="array" ref="C225">INDEX(SkillBoxes!A224:D800,MATCH(E225,SkillBoxes!A224:A800,0),2)</f>
        <v>12</v>
      </c>
      <c r="D225" s="42" t="str">
        <f t="array" ref="D225">INDEX(SkillBoxes!A224:D800,MATCH(E225,SkillBoxes!A224:A800,0),3)</f>
        <v>Aura Priest</v>
      </c>
      <c r="E225" s="42">
        <v>222.0</v>
      </c>
      <c r="F225" s="42" t="str">
        <f t="array" ref="F225">INDEX(SkillBoxes!A224:D800,MATCH(E225,SkillBoxes!A224:A800,0),4)</f>
        <v>Rites II</v>
      </c>
      <c r="G225" s="41">
        <v>7.0</v>
      </c>
      <c r="H225" s="41" t="s">
        <v>160</v>
      </c>
      <c r="I225" s="41" t="s">
        <v>1498</v>
      </c>
      <c r="J225" s="41" t="s">
        <v>1543</v>
      </c>
      <c r="K225" s="41">
        <v>0.0</v>
      </c>
      <c r="L225" s="41" t="s">
        <v>1544</v>
      </c>
      <c r="M225" s="41">
        <v>1.0</v>
      </c>
      <c r="N225" s="41">
        <v>45.0</v>
      </c>
      <c r="O225" s="41" t="s">
        <v>141</v>
      </c>
      <c r="P225" s="42"/>
      <c r="Q225" s="42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</row>
    <row r="226">
      <c r="A226" s="41">
        <v>223.0</v>
      </c>
      <c r="B226" s="44" t="s">
        <v>1711</v>
      </c>
      <c r="C226" s="45">
        <f t="array" ref="C226">INDEX(SkillBoxes!A225:D801,MATCH(E226,SkillBoxes!A225:A801,0),2)</f>
        <v>12</v>
      </c>
      <c r="D226" s="45" t="str">
        <f t="array" ref="D226">INDEX(SkillBoxes!A225:D801,MATCH(E226,SkillBoxes!A225:A801,0),3)</f>
        <v>Aura Priest</v>
      </c>
      <c r="E226" s="45">
        <v>223.0</v>
      </c>
      <c r="F226" s="45" t="str">
        <f t="array" ref="F226">INDEX(SkillBoxes!A225:D801,MATCH(E226,SkillBoxes!A225:A801,0),4)</f>
        <v>Rites III</v>
      </c>
      <c r="G226" s="44">
        <v>9.0</v>
      </c>
      <c r="H226" s="44" t="s">
        <v>160</v>
      </c>
      <c r="I226" s="44" t="s">
        <v>1498</v>
      </c>
      <c r="J226" s="44" t="s">
        <v>1491</v>
      </c>
      <c r="K226" s="44">
        <v>0.0</v>
      </c>
      <c r="L226" s="44" t="s">
        <v>1513</v>
      </c>
      <c r="M226" s="44">
        <v>2.0</v>
      </c>
      <c r="N226" s="44">
        <v>0.1</v>
      </c>
      <c r="O226" s="44" t="s">
        <v>129</v>
      </c>
      <c r="P226" s="45"/>
      <c r="Q226" s="45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</row>
    <row r="227">
      <c r="A227" s="41">
        <v>224.0</v>
      </c>
      <c r="B227" s="41" t="s">
        <v>1712</v>
      </c>
      <c r="C227" s="42">
        <f t="array" ref="C227">INDEX(SkillBoxes!A226:D802,MATCH(E227,SkillBoxes!A226:A802,0),2)</f>
        <v>12</v>
      </c>
      <c r="D227" s="42" t="str">
        <f t="array" ref="D227">INDEX(SkillBoxes!A226:D802,MATCH(E227,SkillBoxes!A226:A802,0),3)</f>
        <v>Aura Priest</v>
      </c>
      <c r="E227" s="42">
        <v>224.0</v>
      </c>
      <c r="F227" s="42" t="str">
        <f t="array" ref="F227">INDEX(SkillBoxes!A226:D802,MATCH(E227,SkillBoxes!A226:A802,0),4)</f>
        <v>Rites IV</v>
      </c>
      <c r="G227" s="41">
        <v>11.0</v>
      </c>
      <c r="H227" s="41" t="s">
        <v>160</v>
      </c>
      <c r="I227" s="41" t="s">
        <v>1498</v>
      </c>
      <c r="J227" s="41" t="s">
        <v>1491</v>
      </c>
      <c r="K227" s="41">
        <v>0.0</v>
      </c>
      <c r="L227" s="41" t="s">
        <v>1544</v>
      </c>
      <c r="M227" s="41">
        <v>1.0</v>
      </c>
      <c r="N227" s="41">
        <v>40.0</v>
      </c>
      <c r="O227" s="41" t="s">
        <v>141</v>
      </c>
      <c r="P227" s="42"/>
      <c r="Q227" s="42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</row>
    <row r="228">
      <c r="A228" s="44">
        <v>225.0</v>
      </c>
      <c r="B228" s="44" t="s">
        <v>1713</v>
      </c>
      <c r="C228" s="45">
        <f t="array" ref="C228">INDEX(SkillBoxes!A227:D803,MATCH(E228,SkillBoxes!A227:A803,0),2)</f>
        <v>12</v>
      </c>
      <c r="D228" s="45" t="str">
        <f t="array" ref="D228">INDEX(SkillBoxes!A227:D803,MATCH(E228,SkillBoxes!A227:A803,0),3)</f>
        <v>Aura Priest</v>
      </c>
      <c r="E228" s="45">
        <v>225.0</v>
      </c>
      <c r="F228" s="45" t="str">
        <f t="array" ref="F228">INDEX(SkillBoxes!A227:D803,MATCH(E228,SkillBoxes!A227:A803,0),4)</f>
        <v>Cleansing I</v>
      </c>
      <c r="G228" s="44">
        <v>5.0</v>
      </c>
      <c r="H228" s="44" t="s">
        <v>160</v>
      </c>
      <c r="I228" s="44" t="s">
        <v>1498</v>
      </c>
      <c r="J228" s="44" t="s">
        <v>1480</v>
      </c>
      <c r="K228" s="44">
        <v>1.1</v>
      </c>
      <c r="L228" s="45"/>
      <c r="M228" s="45"/>
      <c r="N228" s="45"/>
      <c r="O228" s="45"/>
      <c r="P228" s="44" t="s">
        <v>41</v>
      </c>
      <c r="Q228" s="45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</row>
    <row r="229">
      <c r="A229" s="41">
        <v>226.0</v>
      </c>
      <c r="B229" s="41" t="s">
        <v>1714</v>
      </c>
      <c r="C229" s="42">
        <f t="array" ref="C229">INDEX(SkillBoxes!A228:D804,MATCH(E229,SkillBoxes!A228:A804,0),2)</f>
        <v>12</v>
      </c>
      <c r="D229" s="42" t="str">
        <f t="array" ref="D229">INDEX(SkillBoxes!A228:D804,MATCH(E229,SkillBoxes!A228:A804,0),3)</f>
        <v>Aura Priest</v>
      </c>
      <c r="E229" s="42">
        <v>226.0</v>
      </c>
      <c r="F229" s="42" t="str">
        <f t="array" ref="F229">INDEX(SkillBoxes!A228:D804,MATCH(E229,SkillBoxes!A228:A804,0),4)</f>
        <v>Cleansing II</v>
      </c>
      <c r="G229" s="41">
        <v>7.0</v>
      </c>
      <c r="H229" s="41" t="s">
        <v>160</v>
      </c>
      <c r="I229" s="41" t="s">
        <v>1498</v>
      </c>
      <c r="J229" s="41" t="s">
        <v>1480</v>
      </c>
      <c r="K229" s="41">
        <v>1.2</v>
      </c>
      <c r="L229" s="42"/>
      <c r="M229" s="42"/>
      <c r="N229" s="42"/>
      <c r="O229" s="42"/>
      <c r="P229" s="41" t="s">
        <v>41</v>
      </c>
      <c r="Q229" s="42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</row>
    <row r="230">
      <c r="A230" s="44">
        <v>227.0</v>
      </c>
      <c r="B230" s="44" t="s">
        <v>1715</v>
      </c>
      <c r="C230" s="45">
        <f t="array" ref="C230">INDEX(SkillBoxes!A229:D805,MATCH(E230,SkillBoxes!A229:A805,0),2)</f>
        <v>12</v>
      </c>
      <c r="D230" s="45" t="str">
        <f t="array" ref="D230">INDEX(SkillBoxes!A229:D805,MATCH(E230,SkillBoxes!A229:A805,0),3)</f>
        <v>Aura Priest</v>
      </c>
      <c r="E230" s="45">
        <v>227.0</v>
      </c>
      <c r="F230" s="45" t="str">
        <f t="array" ref="F230">INDEX(SkillBoxes!A229:D805,MATCH(E230,SkillBoxes!A229:A805,0),4)</f>
        <v>Cleansing III</v>
      </c>
      <c r="G230" s="44">
        <v>9.0</v>
      </c>
      <c r="H230" s="44" t="s">
        <v>160</v>
      </c>
      <c r="I230" s="44" t="s">
        <v>1498</v>
      </c>
      <c r="J230" s="44" t="s">
        <v>1491</v>
      </c>
      <c r="K230" s="44">
        <v>0.8</v>
      </c>
      <c r="L230" s="44" t="s">
        <v>1513</v>
      </c>
      <c r="M230" s="44">
        <v>1.0</v>
      </c>
      <c r="N230" s="44">
        <v>0.1</v>
      </c>
      <c r="O230" s="44" t="s">
        <v>161</v>
      </c>
      <c r="P230" s="44" t="s">
        <v>41</v>
      </c>
      <c r="Q230" s="45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</row>
    <row r="231">
      <c r="A231" s="41">
        <v>228.0</v>
      </c>
      <c r="B231" s="41" t="s">
        <v>1716</v>
      </c>
      <c r="C231" s="42">
        <f t="array" ref="C231">INDEX(SkillBoxes!A230:D806,MATCH(E231,SkillBoxes!A230:A806,0),2)</f>
        <v>12</v>
      </c>
      <c r="D231" s="42" t="str">
        <f t="array" ref="D231">INDEX(SkillBoxes!A230:D806,MATCH(E231,SkillBoxes!A230:A806,0),3)</f>
        <v>Aura Priest</v>
      </c>
      <c r="E231" s="42">
        <v>228.0</v>
      </c>
      <c r="F231" s="42" t="str">
        <f t="array" ref="F231">INDEX(SkillBoxes!A230:D806,MATCH(E231,SkillBoxes!A230:A806,0),4)</f>
        <v>Cleansing IV</v>
      </c>
      <c r="G231" s="41">
        <v>11.0</v>
      </c>
      <c r="H231" s="41" t="s">
        <v>160</v>
      </c>
      <c r="I231" s="41" t="s">
        <v>1498</v>
      </c>
      <c r="J231" s="41" t="s">
        <v>1491</v>
      </c>
      <c r="K231" s="41">
        <v>0.9</v>
      </c>
      <c r="L231" s="41" t="s">
        <v>1513</v>
      </c>
      <c r="M231" s="41">
        <v>2.0</v>
      </c>
      <c r="N231" s="41">
        <v>0.15</v>
      </c>
      <c r="O231" s="41" t="s">
        <v>161</v>
      </c>
      <c r="P231" s="41" t="s">
        <v>41</v>
      </c>
      <c r="Q231" s="42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</row>
    <row r="232">
      <c r="A232" s="44">
        <v>229.0</v>
      </c>
      <c r="B232" s="44" t="s">
        <v>1717</v>
      </c>
      <c r="C232" s="45">
        <f t="array" ref="C232">INDEX(SkillBoxes!A231:D807,MATCH(E232,SkillBoxes!A231:A807,0),2)</f>
        <v>12</v>
      </c>
      <c r="D232" s="45" t="str">
        <f t="array" ref="D232">INDEX(SkillBoxes!A231:D807,MATCH(E232,SkillBoxes!A231:A807,0),3)</f>
        <v>Aura Priest</v>
      </c>
      <c r="E232" s="45">
        <v>229.0</v>
      </c>
      <c r="F232" s="45" t="str">
        <f t="array" ref="F232">INDEX(SkillBoxes!A231:D807,MATCH(E232,SkillBoxes!A231:A807,0),4)</f>
        <v>Faithfulness I</v>
      </c>
      <c r="G232" s="44">
        <v>4.0</v>
      </c>
      <c r="H232" s="44" t="s">
        <v>1557</v>
      </c>
      <c r="I232" s="44" t="s">
        <v>1498</v>
      </c>
      <c r="J232" s="44" t="s">
        <v>1543</v>
      </c>
      <c r="K232" s="44">
        <v>0.0</v>
      </c>
      <c r="L232" s="44" t="s">
        <v>1513</v>
      </c>
      <c r="M232" s="44">
        <v>2.0</v>
      </c>
      <c r="N232" s="44">
        <v>0.1</v>
      </c>
      <c r="O232" s="44" t="s">
        <v>160</v>
      </c>
      <c r="P232" s="45"/>
      <c r="Q232" s="45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</row>
    <row r="233">
      <c r="A233" s="41">
        <v>230.0</v>
      </c>
      <c r="B233" s="41" t="s">
        <v>1718</v>
      </c>
      <c r="C233" s="42">
        <f t="array" ref="C233">INDEX(SkillBoxes!A232:D808,MATCH(E233,SkillBoxes!A232:A808,0),2)</f>
        <v>12</v>
      </c>
      <c r="D233" s="42" t="str">
        <f t="array" ref="D233">INDEX(SkillBoxes!A232:D808,MATCH(E233,SkillBoxes!A232:A808,0),3)</f>
        <v>Aura Priest</v>
      </c>
      <c r="E233" s="42">
        <v>230.0</v>
      </c>
      <c r="F233" s="42" t="str">
        <f t="array" ref="F233">INDEX(SkillBoxes!A232:D808,MATCH(E233,SkillBoxes!A232:A808,0),4)</f>
        <v>Faithfulness II</v>
      </c>
      <c r="G233" s="41">
        <v>6.0</v>
      </c>
      <c r="H233" s="41" t="s">
        <v>1557</v>
      </c>
      <c r="I233" s="41" t="s">
        <v>1498</v>
      </c>
      <c r="J233" s="41" t="s">
        <v>1543</v>
      </c>
      <c r="K233" s="41">
        <v>0.0</v>
      </c>
      <c r="L233" s="41" t="s">
        <v>1513</v>
      </c>
      <c r="M233" s="41">
        <v>3.0</v>
      </c>
      <c r="N233" s="41">
        <v>0.15</v>
      </c>
      <c r="O233" s="41" t="s">
        <v>160</v>
      </c>
      <c r="P233" s="42"/>
      <c r="Q233" s="42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</row>
    <row r="234">
      <c r="A234" s="41">
        <v>231.0</v>
      </c>
      <c r="B234" s="44" t="s">
        <v>1719</v>
      </c>
      <c r="C234" s="45">
        <f t="array" ref="C234">INDEX(SkillBoxes!A233:D809,MATCH(E234,SkillBoxes!A233:A809,0),2)</f>
        <v>12</v>
      </c>
      <c r="D234" s="45" t="str">
        <f t="array" ref="D234">INDEX(SkillBoxes!A233:D809,MATCH(E234,SkillBoxes!A233:A809,0),3)</f>
        <v>Aura Priest</v>
      </c>
      <c r="E234" s="45">
        <v>231.0</v>
      </c>
      <c r="F234" s="45" t="str">
        <f t="array" ref="F234">INDEX(SkillBoxes!A233:D809,MATCH(E234,SkillBoxes!A233:A809,0),4)</f>
        <v>Faithfulness III</v>
      </c>
      <c r="G234" s="44">
        <v>8.0</v>
      </c>
      <c r="H234" s="44" t="s">
        <v>160</v>
      </c>
      <c r="I234" s="44" t="s">
        <v>1498</v>
      </c>
      <c r="J234" s="44" t="s">
        <v>1491</v>
      </c>
      <c r="K234" s="44">
        <v>0.0</v>
      </c>
      <c r="L234" s="44" t="s">
        <v>1513</v>
      </c>
      <c r="M234" s="44">
        <v>2.0</v>
      </c>
      <c r="N234" s="44">
        <v>0.1</v>
      </c>
      <c r="O234" s="44" t="s">
        <v>160</v>
      </c>
      <c r="P234" s="45"/>
      <c r="Q234" s="45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</row>
    <row r="235">
      <c r="A235" s="44">
        <v>232.0</v>
      </c>
      <c r="B235" s="41" t="s">
        <v>1720</v>
      </c>
      <c r="C235" s="42">
        <f t="array" ref="C235">INDEX(SkillBoxes!A234:D810,MATCH(E235,SkillBoxes!A234:A810,0),2)</f>
        <v>12</v>
      </c>
      <c r="D235" s="42" t="str">
        <f t="array" ref="D235">INDEX(SkillBoxes!A234:D810,MATCH(E235,SkillBoxes!A234:A810,0),3)</f>
        <v>Aura Priest</v>
      </c>
      <c r="E235" s="42">
        <v>232.0</v>
      </c>
      <c r="F235" s="42" t="str">
        <f t="array" ref="F235">INDEX(SkillBoxes!A234:D810,MATCH(E235,SkillBoxes!A234:A810,0),4)</f>
        <v>Faithfulness IV</v>
      </c>
      <c r="G235" s="41">
        <v>10.0</v>
      </c>
      <c r="H235" s="41" t="s">
        <v>160</v>
      </c>
      <c r="I235" s="41" t="s">
        <v>1498</v>
      </c>
      <c r="J235" s="41" t="s">
        <v>1491</v>
      </c>
      <c r="K235" s="41">
        <v>0.0</v>
      </c>
      <c r="L235" s="41" t="s">
        <v>1513</v>
      </c>
      <c r="M235" s="41">
        <v>3.0</v>
      </c>
      <c r="N235" s="41">
        <v>0.2</v>
      </c>
      <c r="O235" s="41" t="s">
        <v>161</v>
      </c>
      <c r="P235" s="41" t="s">
        <v>41</v>
      </c>
      <c r="Q235" s="42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</row>
    <row r="236">
      <c r="A236" s="41">
        <v>233.0</v>
      </c>
      <c r="B236" s="44" t="s">
        <v>1721</v>
      </c>
      <c r="C236" s="45">
        <f t="array" ref="C236">INDEX(SkillBoxes!A235:D811,MATCH(E236,SkillBoxes!A235:A811,0),2)</f>
        <v>12</v>
      </c>
      <c r="D236" s="45" t="str">
        <f t="array" ref="D236">INDEX(SkillBoxes!A235:D811,MATCH(E236,SkillBoxes!A235:A811,0),3)</f>
        <v>Aura Priest</v>
      </c>
      <c r="E236" s="45">
        <v>233.0</v>
      </c>
      <c r="F236" s="45" t="str">
        <f t="array" ref="F236">INDEX(SkillBoxes!A235:D811,MATCH(E236,SkillBoxes!A235:A811,0),4)</f>
        <v>Master Aura Priest</v>
      </c>
      <c r="G236" s="44">
        <v>18.0</v>
      </c>
      <c r="H236" s="44" t="s">
        <v>160</v>
      </c>
      <c r="I236" s="44" t="s">
        <v>1498</v>
      </c>
      <c r="J236" s="44" t="s">
        <v>1491</v>
      </c>
      <c r="K236" s="44">
        <v>0.0</v>
      </c>
      <c r="L236" s="44" t="s">
        <v>1544</v>
      </c>
      <c r="M236" s="44">
        <v>1.0</v>
      </c>
      <c r="N236" s="44">
        <v>90.0</v>
      </c>
      <c r="O236" s="44" t="s">
        <v>141</v>
      </c>
      <c r="P236" s="44" t="s">
        <v>41</v>
      </c>
      <c r="Q236" s="45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</row>
    <row r="237">
      <c r="A237" s="44">
        <v>234.0</v>
      </c>
      <c r="B237" s="41" t="s">
        <v>1722</v>
      </c>
      <c r="C237" s="42">
        <f t="array" ref="C237">INDEX(SkillBoxes!A236:D812,MATCH(E237,SkillBoxes!A236:A812,0),2)</f>
        <v>13</v>
      </c>
      <c r="D237" s="42" t="str">
        <f t="array" ref="D237">INDEX(SkillBoxes!A236:D812,MATCH(E237,SkillBoxes!A236:A812,0),3)</f>
        <v>Martial Monk</v>
      </c>
      <c r="E237" s="42">
        <v>234.0</v>
      </c>
      <c r="F237" s="42" t="str">
        <f t="array" ref="F237">INDEX(SkillBoxes!A236:D812,MATCH(E237,SkillBoxes!A236:A812,0),4)</f>
        <v>Novice Martial Monk</v>
      </c>
      <c r="G237" s="41">
        <v>6.0</v>
      </c>
      <c r="H237" s="41" t="s">
        <v>125</v>
      </c>
      <c r="I237" s="41" t="s">
        <v>1479</v>
      </c>
      <c r="J237" s="41" t="s">
        <v>1480</v>
      </c>
      <c r="K237" s="41">
        <v>1.0</v>
      </c>
      <c r="L237" s="42"/>
      <c r="M237" s="42"/>
      <c r="N237" s="42"/>
      <c r="O237" s="42"/>
      <c r="P237" s="42"/>
      <c r="Q237" s="42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</row>
    <row r="238">
      <c r="A238" s="41">
        <v>235.0</v>
      </c>
      <c r="B238" s="44" t="s">
        <v>1723</v>
      </c>
      <c r="C238" s="45">
        <f t="array" ref="C238">INDEX(SkillBoxes!A237:D813,MATCH(E238,SkillBoxes!A237:A813,0),2)</f>
        <v>13</v>
      </c>
      <c r="D238" s="45" t="str">
        <f t="array" ref="D238">INDEX(SkillBoxes!A237:D813,MATCH(E238,SkillBoxes!A237:A813,0),3)</f>
        <v>Martial Monk</v>
      </c>
      <c r="E238" s="45">
        <v>235.0</v>
      </c>
      <c r="F238" s="45" t="str">
        <f t="array" ref="F238">INDEX(SkillBoxes!A237:D813,MATCH(E238,SkillBoxes!A237:A813,0),4)</f>
        <v>Natural Arts I</v>
      </c>
      <c r="G238" s="44">
        <v>6.0</v>
      </c>
      <c r="H238" s="44" t="s">
        <v>125</v>
      </c>
      <c r="I238" s="44" t="s">
        <v>1479</v>
      </c>
      <c r="J238" s="44" t="s">
        <v>1480</v>
      </c>
      <c r="K238" s="44">
        <v>1.1</v>
      </c>
      <c r="L238" s="45"/>
      <c r="M238" s="45"/>
      <c r="N238" s="45"/>
      <c r="O238" s="45"/>
      <c r="P238" s="45"/>
      <c r="Q238" s="45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</row>
    <row r="239">
      <c r="A239" s="44">
        <v>236.0</v>
      </c>
      <c r="B239" s="41" t="s">
        <v>1724</v>
      </c>
      <c r="C239" s="42">
        <f t="array" ref="C239">INDEX(SkillBoxes!A238:D814,MATCH(E239,SkillBoxes!A238:A814,0),2)</f>
        <v>13</v>
      </c>
      <c r="D239" s="42" t="str">
        <f t="array" ref="D239">INDEX(SkillBoxes!A238:D814,MATCH(E239,SkillBoxes!A238:A814,0),3)</f>
        <v>Martial Monk</v>
      </c>
      <c r="E239" s="42">
        <v>236.0</v>
      </c>
      <c r="F239" s="42" t="str">
        <f t="array" ref="F239">INDEX(SkillBoxes!A238:D814,MATCH(E239,SkillBoxes!A238:A814,0),4)</f>
        <v>Natural Arts II</v>
      </c>
      <c r="G239" s="41">
        <v>8.0</v>
      </c>
      <c r="H239" s="41" t="s">
        <v>125</v>
      </c>
      <c r="I239" s="41" t="s">
        <v>1479</v>
      </c>
      <c r="J239" s="41" t="s">
        <v>1480</v>
      </c>
      <c r="K239" s="41">
        <v>1.2</v>
      </c>
      <c r="L239" s="42"/>
      <c r="M239" s="42"/>
      <c r="N239" s="42"/>
      <c r="O239" s="42"/>
      <c r="P239" s="42"/>
      <c r="Q239" s="42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</row>
    <row r="240">
      <c r="A240" s="41">
        <v>237.0</v>
      </c>
      <c r="B240" s="44" t="s">
        <v>1725</v>
      </c>
      <c r="C240" s="45">
        <f t="array" ref="C240">INDEX(SkillBoxes!A239:D815,MATCH(E240,SkillBoxes!A239:A815,0),2)</f>
        <v>13</v>
      </c>
      <c r="D240" s="45" t="str">
        <f t="array" ref="D240">INDEX(SkillBoxes!A239:D815,MATCH(E240,SkillBoxes!A239:A815,0),3)</f>
        <v>Martial Monk</v>
      </c>
      <c r="E240" s="45">
        <v>237.0</v>
      </c>
      <c r="F240" s="45" t="str">
        <f t="array" ref="F240">INDEX(SkillBoxes!A239:D815,MATCH(E240,SkillBoxes!A239:A815,0),4)</f>
        <v>Natural Arts III</v>
      </c>
      <c r="G240" s="44">
        <v>10.0</v>
      </c>
      <c r="H240" s="44" t="s">
        <v>125</v>
      </c>
      <c r="I240" s="44" t="s">
        <v>1479</v>
      </c>
      <c r="J240" s="44" t="s">
        <v>1480</v>
      </c>
      <c r="K240" s="44">
        <v>1.4</v>
      </c>
      <c r="L240" s="44" t="s">
        <v>1489</v>
      </c>
      <c r="M240" s="44">
        <v>1.0</v>
      </c>
      <c r="N240" s="45"/>
      <c r="O240" s="45"/>
      <c r="P240" s="45"/>
      <c r="Q240" s="45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</row>
    <row r="241">
      <c r="A241" s="41">
        <v>238.0</v>
      </c>
      <c r="B241" s="41" t="s">
        <v>1726</v>
      </c>
      <c r="C241" s="42">
        <f t="array" ref="C241">INDEX(SkillBoxes!A240:D816,MATCH(E241,SkillBoxes!A240:A816,0),2)</f>
        <v>13</v>
      </c>
      <c r="D241" s="42" t="str">
        <f t="array" ref="D241">INDEX(SkillBoxes!A240:D816,MATCH(E241,SkillBoxes!A240:A816,0),3)</f>
        <v>Martial Monk</v>
      </c>
      <c r="E241" s="42">
        <v>238.0</v>
      </c>
      <c r="F241" s="42" t="str">
        <f t="array" ref="F241">INDEX(SkillBoxes!A240:D816,MATCH(E241,SkillBoxes!A240:A816,0),4)</f>
        <v>Natural Arts IV</v>
      </c>
      <c r="G241" s="41">
        <v>12.0</v>
      </c>
      <c r="H241" s="41" t="s">
        <v>159</v>
      </c>
      <c r="I241" s="41" t="s">
        <v>1479</v>
      </c>
      <c r="J241" s="41" t="s">
        <v>1491</v>
      </c>
      <c r="K241" s="41">
        <v>0.9</v>
      </c>
      <c r="L241" s="41" t="s">
        <v>1489</v>
      </c>
      <c r="M241" s="41">
        <v>2.0</v>
      </c>
      <c r="N241" s="42"/>
      <c r="O241" s="42"/>
      <c r="P241" s="42"/>
      <c r="Q241" s="42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</row>
    <row r="242">
      <c r="A242" s="44">
        <v>239.0</v>
      </c>
      <c r="B242" s="44" t="s">
        <v>1727</v>
      </c>
      <c r="C242" s="45">
        <f t="array" ref="C242">INDEX(SkillBoxes!A241:D817,MATCH(E242,SkillBoxes!A241:A817,0),2)</f>
        <v>13</v>
      </c>
      <c r="D242" s="45" t="str">
        <f t="array" ref="D242">INDEX(SkillBoxes!A241:D817,MATCH(E242,SkillBoxes!A241:A817,0),3)</f>
        <v>Martial Monk</v>
      </c>
      <c r="E242" s="45">
        <v>239.0</v>
      </c>
      <c r="F242" s="45" t="str">
        <f t="array" ref="F242">INDEX(SkillBoxes!A241:D817,MATCH(E242,SkillBoxes!A241:A817,0),4)</f>
        <v>Inner Peace I</v>
      </c>
      <c r="G242" s="44">
        <v>4.0</v>
      </c>
      <c r="H242" s="44" t="s">
        <v>1557</v>
      </c>
      <c r="I242" s="44" t="s">
        <v>1479</v>
      </c>
      <c r="J242" s="44" t="s">
        <v>1495</v>
      </c>
      <c r="K242" s="44">
        <v>0.0</v>
      </c>
      <c r="L242" s="44" t="s">
        <v>1544</v>
      </c>
      <c r="M242" s="44">
        <v>1.0</v>
      </c>
      <c r="N242" s="44">
        <v>15.0</v>
      </c>
      <c r="O242" s="44" t="s">
        <v>141</v>
      </c>
      <c r="P242" s="45"/>
      <c r="Q242" s="45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</row>
    <row r="243">
      <c r="A243" s="41">
        <v>240.0</v>
      </c>
      <c r="B243" s="41" t="s">
        <v>1728</v>
      </c>
      <c r="C243" s="42">
        <f t="array" ref="C243">INDEX(SkillBoxes!A242:D818,MATCH(E243,SkillBoxes!A242:A818,0),2)</f>
        <v>13</v>
      </c>
      <c r="D243" s="42" t="str">
        <f t="array" ref="D243">INDEX(SkillBoxes!A242:D818,MATCH(E243,SkillBoxes!A242:A818,0),3)</f>
        <v>Martial Monk</v>
      </c>
      <c r="E243" s="42">
        <v>240.0</v>
      </c>
      <c r="F243" s="42" t="str">
        <f t="array" ref="F243">INDEX(SkillBoxes!A242:D818,MATCH(E243,SkillBoxes!A242:A818,0),4)</f>
        <v>Inner Peace II</v>
      </c>
      <c r="G243" s="41">
        <v>6.0</v>
      </c>
      <c r="H243" s="41" t="s">
        <v>1557</v>
      </c>
      <c r="I243" s="41" t="s">
        <v>1479</v>
      </c>
      <c r="J243" s="41" t="s">
        <v>1495</v>
      </c>
      <c r="K243" s="41">
        <v>0.0</v>
      </c>
      <c r="L243" s="41" t="s">
        <v>1544</v>
      </c>
      <c r="M243" s="41">
        <v>1.0</v>
      </c>
      <c r="N243" s="41">
        <v>25.0</v>
      </c>
      <c r="O243" s="41" t="s">
        <v>141</v>
      </c>
      <c r="P243" s="42"/>
      <c r="Q243" s="42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</row>
    <row r="244">
      <c r="A244" s="44">
        <v>241.0</v>
      </c>
      <c r="B244" s="44" t="s">
        <v>1729</v>
      </c>
      <c r="C244" s="45">
        <f t="array" ref="C244">INDEX(SkillBoxes!A243:D819,MATCH(E244,SkillBoxes!A243:A819,0),2)</f>
        <v>13</v>
      </c>
      <c r="D244" s="45" t="str">
        <f t="array" ref="D244">INDEX(SkillBoxes!A243:D819,MATCH(E244,SkillBoxes!A243:A819,0),3)</f>
        <v>Martial Monk</v>
      </c>
      <c r="E244" s="45">
        <v>241.0</v>
      </c>
      <c r="F244" s="45" t="str">
        <f t="array" ref="F244">INDEX(SkillBoxes!A243:D819,MATCH(E244,SkillBoxes!A243:A819,0),4)</f>
        <v>Inner Peace III</v>
      </c>
      <c r="G244" s="44">
        <v>8.0</v>
      </c>
      <c r="H244" s="44" t="s">
        <v>160</v>
      </c>
      <c r="I244" s="44" t="s">
        <v>1498</v>
      </c>
      <c r="J244" s="44" t="s">
        <v>1495</v>
      </c>
      <c r="K244" s="44">
        <v>0.0</v>
      </c>
      <c r="L244" s="44" t="s">
        <v>1513</v>
      </c>
      <c r="M244" s="44">
        <v>2.0</v>
      </c>
      <c r="N244" s="44">
        <v>0.1</v>
      </c>
      <c r="O244" s="44" t="s">
        <v>161</v>
      </c>
      <c r="P244" s="45"/>
      <c r="Q244" s="45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</row>
    <row r="245">
      <c r="A245" s="41">
        <v>242.0</v>
      </c>
      <c r="B245" s="41" t="s">
        <v>1730</v>
      </c>
      <c r="C245" s="42">
        <f t="array" ref="C245">INDEX(SkillBoxes!A244:D820,MATCH(E245,SkillBoxes!A244:A820,0),2)</f>
        <v>13</v>
      </c>
      <c r="D245" s="42" t="str">
        <f t="array" ref="D245">INDEX(SkillBoxes!A244:D820,MATCH(E245,SkillBoxes!A244:A820,0),3)</f>
        <v>Martial Monk</v>
      </c>
      <c r="E245" s="42">
        <v>242.0</v>
      </c>
      <c r="F245" s="42" t="str">
        <f t="array" ref="F245">INDEX(SkillBoxes!A244:D820,MATCH(E245,SkillBoxes!A244:A820,0),4)</f>
        <v>Inner Peace IV</v>
      </c>
      <c r="G245" s="41">
        <v>10.0</v>
      </c>
      <c r="H245" s="41" t="s">
        <v>160</v>
      </c>
      <c r="I245" s="41" t="s">
        <v>1498</v>
      </c>
      <c r="J245" s="41" t="s">
        <v>1495</v>
      </c>
      <c r="K245" s="41">
        <v>0.0</v>
      </c>
      <c r="L245" s="41" t="s">
        <v>1513</v>
      </c>
      <c r="M245" s="41">
        <v>3.0</v>
      </c>
      <c r="N245" s="41">
        <v>0.15</v>
      </c>
      <c r="O245" s="41" t="s">
        <v>161</v>
      </c>
      <c r="P245" s="42"/>
      <c r="Q245" s="42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</row>
    <row r="246">
      <c r="A246" s="44">
        <v>243.0</v>
      </c>
      <c r="B246" s="44" t="s">
        <v>1731</v>
      </c>
      <c r="C246" s="45">
        <f t="array" ref="C246">INDEX(SkillBoxes!A245:D821,MATCH(E246,SkillBoxes!A245:A821,0),2)</f>
        <v>13</v>
      </c>
      <c r="D246" s="45" t="str">
        <f t="array" ref="D246">INDEX(SkillBoxes!A245:D821,MATCH(E246,SkillBoxes!A245:A821,0),3)</f>
        <v>Martial Monk</v>
      </c>
      <c r="E246" s="45">
        <v>243.0</v>
      </c>
      <c r="F246" s="45" t="str">
        <f t="array" ref="F246">INDEX(SkillBoxes!A245:D821,MATCH(E246,SkillBoxes!A245:A821,0),4)</f>
        <v>Channelled Energy I</v>
      </c>
      <c r="G246" s="44">
        <v>6.0</v>
      </c>
      <c r="H246" s="44" t="s">
        <v>160</v>
      </c>
      <c r="I246" s="44" t="s">
        <v>1498</v>
      </c>
      <c r="J246" s="44" t="s">
        <v>1480</v>
      </c>
      <c r="K246" s="44">
        <v>1.2</v>
      </c>
      <c r="L246" s="45"/>
      <c r="M246" s="45"/>
      <c r="N246" s="45"/>
      <c r="O246" s="45"/>
      <c r="P246" s="45"/>
      <c r="Q246" s="45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</row>
    <row r="247">
      <c r="A247" s="41">
        <v>244.0</v>
      </c>
      <c r="B247" s="41" t="s">
        <v>1732</v>
      </c>
      <c r="C247" s="42">
        <f t="array" ref="C247">INDEX(SkillBoxes!A246:D822,MATCH(E247,SkillBoxes!A246:A822,0),2)</f>
        <v>13</v>
      </c>
      <c r="D247" s="42" t="str">
        <f t="array" ref="D247">INDEX(SkillBoxes!A246:D822,MATCH(E247,SkillBoxes!A246:A822,0),3)</f>
        <v>Martial Monk</v>
      </c>
      <c r="E247" s="42">
        <v>244.0</v>
      </c>
      <c r="F247" s="42" t="str">
        <f t="array" ref="F247">INDEX(SkillBoxes!A246:D822,MATCH(E247,SkillBoxes!A246:A822,0),4)</f>
        <v>Channelled Energy II</v>
      </c>
      <c r="G247" s="41">
        <v>8.0</v>
      </c>
      <c r="H247" s="41" t="s">
        <v>160</v>
      </c>
      <c r="I247" s="41" t="s">
        <v>1498</v>
      </c>
      <c r="J247" s="41" t="s">
        <v>1480</v>
      </c>
      <c r="K247" s="41">
        <v>1.35</v>
      </c>
      <c r="L247" s="42"/>
      <c r="M247" s="42"/>
      <c r="N247" s="42"/>
      <c r="O247" s="42"/>
      <c r="P247" s="42"/>
      <c r="Q247" s="42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</row>
    <row r="248">
      <c r="A248" s="41">
        <v>245.0</v>
      </c>
      <c r="B248" s="44" t="s">
        <v>1733</v>
      </c>
      <c r="C248" s="45">
        <f t="array" ref="C248">INDEX(SkillBoxes!A247:D823,MATCH(E248,SkillBoxes!A247:A823,0),2)</f>
        <v>13</v>
      </c>
      <c r="D248" s="45" t="str">
        <f t="array" ref="D248">INDEX(SkillBoxes!A247:D823,MATCH(E248,SkillBoxes!A247:A823,0),3)</f>
        <v>Martial Monk</v>
      </c>
      <c r="E248" s="45">
        <v>245.0</v>
      </c>
      <c r="F248" s="45" t="str">
        <f t="array" ref="F248">INDEX(SkillBoxes!A247:D823,MATCH(E248,SkillBoxes!A247:A823,0),4)</f>
        <v>Channelled Energy III</v>
      </c>
      <c r="G248" s="44">
        <v>10.0</v>
      </c>
      <c r="H248" s="44" t="s">
        <v>160</v>
      </c>
      <c r="I248" s="44" t="s">
        <v>1498</v>
      </c>
      <c r="J248" s="44" t="s">
        <v>1480</v>
      </c>
      <c r="K248" s="44">
        <v>1.5</v>
      </c>
      <c r="L248" s="44" t="s">
        <v>1489</v>
      </c>
      <c r="M248" s="44">
        <v>1.0</v>
      </c>
      <c r="N248" s="45"/>
      <c r="O248" s="45"/>
      <c r="P248" s="45"/>
      <c r="Q248" s="45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</row>
    <row r="249">
      <c r="A249" s="44">
        <v>246.0</v>
      </c>
      <c r="B249" s="41" t="s">
        <v>1734</v>
      </c>
      <c r="C249" s="42">
        <f t="array" ref="C249">INDEX(SkillBoxes!A248:D824,MATCH(E249,SkillBoxes!A248:A824,0),2)</f>
        <v>13</v>
      </c>
      <c r="D249" s="42" t="str">
        <f t="array" ref="D249">INDEX(SkillBoxes!A248:D824,MATCH(E249,SkillBoxes!A248:A824,0),3)</f>
        <v>Martial Monk</v>
      </c>
      <c r="E249" s="42">
        <v>246.0</v>
      </c>
      <c r="F249" s="42" t="str">
        <f t="array" ref="F249">INDEX(SkillBoxes!A248:D824,MATCH(E249,SkillBoxes!A248:A824,0),4)</f>
        <v>Channelled Energy IV</v>
      </c>
      <c r="G249" s="41">
        <v>12.0</v>
      </c>
      <c r="H249" s="41" t="s">
        <v>160</v>
      </c>
      <c r="I249" s="41" t="s">
        <v>1498</v>
      </c>
      <c r="J249" s="41" t="s">
        <v>1491</v>
      </c>
      <c r="K249" s="41">
        <v>0.9</v>
      </c>
      <c r="L249" s="41" t="s">
        <v>410</v>
      </c>
      <c r="M249" s="41">
        <v>2.0</v>
      </c>
      <c r="N249" s="41">
        <v>0.1</v>
      </c>
      <c r="O249" s="41" t="s">
        <v>133</v>
      </c>
      <c r="P249" s="42"/>
      <c r="Q249" s="42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</row>
    <row r="250">
      <c r="A250" s="41">
        <v>247.0</v>
      </c>
      <c r="B250" s="44" t="s">
        <v>1735</v>
      </c>
      <c r="C250" s="45">
        <f t="array" ref="C250">INDEX(SkillBoxes!A249:D825,MATCH(E250,SkillBoxes!A249:A825,0),2)</f>
        <v>13</v>
      </c>
      <c r="D250" s="45" t="str">
        <f t="array" ref="D250">INDEX(SkillBoxes!A249:D825,MATCH(E250,SkillBoxes!A249:A825,0),3)</f>
        <v>Martial Monk</v>
      </c>
      <c r="E250" s="45">
        <v>247.0</v>
      </c>
      <c r="F250" s="45" t="str">
        <f t="array" ref="F250">INDEX(SkillBoxes!A249:D825,MATCH(E250,SkillBoxes!A249:A825,0),4)</f>
        <v>Mantras I</v>
      </c>
      <c r="G250" s="44">
        <v>5.0</v>
      </c>
      <c r="H250" s="44" t="s">
        <v>160</v>
      </c>
      <c r="I250" s="44" t="s">
        <v>1498</v>
      </c>
      <c r="J250" s="44" t="s">
        <v>1543</v>
      </c>
      <c r="K250" s="44">
        <v>0.0</v>
      </c>
      <c r="L250" s="44" t="s">
        <v>1513</v>
      </c>
      <c r="M250" s="44">
        <v>2.0</v>
      </c>
      <c r="N250" s="44">
        <v>0.1</v>
      </c>
      <c r="O250" s="44" t="s">
        <v>129</v>
      </c>
      <c r="P250" s="45"/>
      <c r="Q250" s="45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</row>
    <row r="251">
      <c r="A251" s="44">
        <v>248.0</v>
      </c>
      <c r="B251" s="41" t="s">
        <v>1736</v>
      </c>
      <c r="C251" s="42">
        <f t="array" ref="C251">INDEX(SkillBoxes!A250:D826,MATCH(E251,SkillBoxes!A250:A826,0),2)</f>
        <v>13</v>
      </c>
      <c r="D251" s="42" t="str">
        <f t="array" ref="D251">INDEX(SkillBoxes!A250:D826,MATCH(E251,SkillBoxes!A250:A826,0),3)</f>
        <v>Martial Monk</v>
      </c>
      <c r="E251" s="42">
        <v>248.0</v>
      </c>
      <c r="F251" s="42" t="str">
        <f t="array" ref="F251">INDEX(SkillBoxes!A250:D826,MATCH(E251,SkillBoxes!A250:A826,0),4)</f>
        <v>Mantras II</v>
      </c>
      <c r="G251" s="41">
        <v>7.0</v>
      </c>
      <c r="H251" s="41" t="s">
        <v>160</v>
      </c>
      <c r="I251" s="41" t="s">
        <v>1498</v>
      </c>
      <c r="J251" s="41" t="s">
        <v>1543</v>
      </c>
      <c r="K251" s="41">
        <v>0.0</v>
      </c>
      <c r="L251" s="41" t="s">
        <v>1513</v>
      </c>
      <c r="M251" s="41">
        <v>3.0</v>
      </c>
      <c r="N251" s="41">
        <v>0.15</v>
      </c>
      <c r="O251" s="41" t="s">
        <v>129</v>
      </c>
      <c r="P251" s="42"/>
      <c r="Q251" s="42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</row>
    <row r="252">
      <c r="A252" s="41">
        <v>249.0</v>
      </c>
      <c r="B252" s="44" t="s">
        <v>1737</v>
      </c>
      <c r="C252" s="45">
        <f t="array" ref="C252">INDEX(SkillBoxes!A251:D827,MATCH(E252,SkillBoxes!A251:A827,0),2)</f>
        <v>13</v>
      </c>
      <c r="D252" s="45" t="str">
        <f t="array" ref="D252">INDEX(SkillBoxes!A251:D827,MATCH(E252,SkillBoxes!A251:A827,0),3)</f>
        <v>Martial Monk</v>
      </c>
      <c r="E252" s="45">
        <v>249.0</v>
      </c>
      <c r="F252" s="45" t="str">
        <f t="array" ref="F252">INDEX(SkillBoxes!A251:D827,MATCH(E252,SkillBoxes!A251:A827,0),4)</f>
        <v>Mantras III</v>
      </c>
      <c r="G252" s="44">
        <v>9.0</v>
      </c>
      <c r="H252" s="44" t="s">
        <v>160</v>
      </c>
      <c r="I252" s="44" t="s">
        <v>1498</v>
      </c>
      <c r="J252" s="44" t="s">
        <v>1491</v>
      </c>
      <c r="K252" s="44">
        <v>0.0</v>
      </c>
      <c r="L252" s="44" t="s">
        <v>1513</v>
      </c>
      <c r="M252" s="44">
        <v>2.0</v>
      </c>
      <c r="N252" s="44">
        <v>0.1</v>
      </c>
      <c r="O252" s="44" t="s">
        <v>133</v>
      </c>
      <c r="P252" s="45"/>
      <c r="Q252" s="45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</row>
    <row r="253">
      <c r="A253" s="44">
        <v>250.0</v>
      </c>
      <c r="B253" s="41" t="s">
        <v>1738</v>
      </c>
      <c r="C253" s="42">
        <f t="array" ref="C253">INDEX(SkillBoxes!A252:D828,MATCH(E253,SkillBoxes!A252:A828,0),2)</f>
        <v>13</v>
      </c>
      <c r="D253" s="42" t="str">
        <f t="array" ref="D253">INDEX(SkillBoxes!A252:D828,MATCH(E253,SkillBoxes!A252:A828,0),3)</f>
        <v>Martial Monk</v>
      </c>
      <c r="E253" s="42">
        <v>250.0</v>
      </c>
      <c r="F253" s="42" t="str">
        <f t="array" ref="F253">INDEX(SkillBoxes!A252:D828,MATCH(E253,SkillBoxes!A252:A828,0),4)</f>
        <v>Mantras IV</v>
      </c>
      <c r="G253" s="41">
        <v>11.0</v>
      </c>
      <c r="H253" s="41" t="s">
        <v>160</v>
      </c>
      <c r="I253" s="41" t="s">
        <v>1498</v>
      </c>
      <c r="J253" s="41" t="s">
        <v>1491</v>
      </c>
      <c r="K253" s="41">
        <v>0.0</v>
      </c>
      <c r="L253" s="41" t="s">
        <v>1513</v>
      </c>
      <c r="M253" s="41">
        <v>3.0</v>
      </c>
      <c r="N253" s="41">
        <v>0.2</v>
      </c>
      <c r="O253" s="41" t="s">
        <v>129</v>
      </c>
      <c r="P253" s="42"/>
      <c r="Q253" s="42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</row>
    <row r="254">
      <c r="A254" s="41">
        <v>251.0</v>
      </c>
      <c r="B254" s="44" t="s">
        <v>1739</v>
      </c>
      <c r="C254" s="45">
        <f t="array" ref="C254">INDEX(SkillBoxes!A253:D829,MATCH(E254,SkillBoxes!A253:A829,0),2)</f>
        <v>13</v>
      </c>
      <c r="D254" s="45" t="str">
        <f t="array" ref="D254">INDEX(SkillBoxes!A253:D829,MATCH(E254,SkillBoxes!A253:A829,0),3)</f>
        <v>Martial Monk</v>
      </c>
      <c r="E254" s="45">
        <v>251.0</v>
      </c>
      <c r="F254" s="45" t="str">
        <f t="array" ref="F254">INDEX(SkillBoxes!A253:D829,MATCH(E254,SkillBoxes!A253:A829,0),4)</f>
        <v>Master Martial Monk</v>
      </c>
      <c r="G254" s="44">
        <v>16.0</v>
      </c>
      <c r="H254" s="44" t="s">
        <v>159</v>
      </c>
      <c r="I254" s="44" t="s">
        <v>1498</v>
      </c>
      <c r="J254" s="44" t="s">
        <v>1491</v>
      </c>
      <c r="K254" s="44">
        <v>1.1</v>
      </c>
      <c r="L254" s="44" t="s">
        <v>1489</v>
      </c>
      <c r="M254" s="44">
        <v>2.0</v>
      </c>
      <c r="N254" s="45"/>
      <c r="O254" s="45"/>
      <c r="P254" s="45"/>
      <c r="Q254" s="45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</row>
    <row r="255">
      <c r="A255" s="41">
        <v>252.0</v>
      </c>
      <c r="B255" s="41" t="s">
        <v>1740</v>
      </c>
      <c r="C255" s="42">
        <f t="array" ref="C255">INDEX(SkillBoxes!A254:D830,MATCH(E255,SkillBoxes!A254:A830,0),2)</f>
        <v>14</v>
      </c>
      <c r="D255" s="42" t="str">
        <f t="array" ref="D255">INDEX(SkillBoxes!A254:D830,MATCH(E255,SkillBoxes!A254:A830,0),3)</f>
        <v>Runic Paladin</v>
      </c>
      <c r="E255" s="42">
        <v>252.0</v>
      </c>
      <c r="F255" s="42" t="str">
        <f t="array" ref="F255">INDEX(SkillBoxes!A254:D830,MATCH(E255,SkillBoxes!A254:A830,0),4)</f>
        <v>Novice Runic Paladin</v>
      </c>
      <c r="G255" s="41">
        <v>8.0</v>
      </c>
      <c r="H255" s="41" t="s">
        <v>125</v>
      </c>
      <c r="I255" s="41" t="s">
        <v>1479</v>
      </c>
      <c r="J255" s="41" t="s">
        <v>1495</v>
      </c>
      <c r="K255" s="41">
        <v>0.0</v>
      </c>
      <c r="L255" s="41" t="s">
        <v>1513</v>
      </c>
      <c r="M255" s="41">
        <v>3.0</v>
      </c>
      <c r="N255" s="41">
        <v>0.2</v>
      </c>
      <c r="O255" s="41" t="s">
        <v>133</v>
      </c>
      <c r="P255" s="41" t="s">
        <v>41</v>
      </c>
      <c r="Q255" s="42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</row>
    <row r="256">
      <c r="A256" s="44">
        <v>253.0</v>
      </c>
      <c r="B256" s="44" t="s">
        <v>1741</v>
      </c>
      <c r="C256" s="45">
        <f t="array" ref="C256">INDEX(SkillBoxes!A255:D831,MATCH(E256,SkillBoxes!A255:A831,0),2)</f>
        <v>14</v>
      </c>
      <c r="D256" s="45" t="str">
        <f t="array" ref="D256">INDEX(SkillBoxes!A255:D831,MATCH(E256,SkillBoxes!A255:A831,0),3)</f>
        <v>Runic Paladin</v>
      </c>
      <c r="E256" s="45">
        <v>253.0</v>
      </c>
      <c r="F256" s="45" t="str">
        <f t="array" ref="F256">INDEX(SkillBoxes!A255:D831,MATCH(E256,SkillBoxes!A255:A831,0),4)</f>
        <v>Protective Auras I</v>
      </c>
      <c r="G256" s="44">
        <v>7.0</v>
      </c>
      <c r="H256" s="44" t="s">
        <v>160</v>
      </c>
      <c r="I256" s="44" t="s">
        <v>1498</v>
      </c>
      <c r="J256" s="44" t="s">
        <v>1543</v>
      </c>
      <c r="K256" s="44">
        <v>0.0</v>
      </c>
      <c r="L256" s="44" t="s">
        <v>1513</v>
      </c>
      <c r="M256" s="44">
        <v>3.0</v>
      </c>
      <c r="N256" s="44">
        <v>0.15</v>
      </c>
      <c r="O256" s="44" t="s">
        <v>133</v>
      </c>
      <c r="P256" s="44" t="s">
        <v>41</v>
      </c>
      <c r="Q256" s="45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</row>
    <row r="257">
      <c r="A257" s="41">
        <v>254.0</v>
      </c>
      <c r="B257" s="41" t="s">
        <v>1742</v>
      </c>
      <c r="C257" s="42">
        <f t="array" ref="C257">INDEX(SkillBoxes!A256:D832,MATCH(E257,SkillBoxes!A256:A832,0),2)</f>
        <v>14</v>
      </c>
      <c r="D257" s="42" t="str">
        <f t="array" ref="D257">INDEX(SkillBoxes!A256:D832,MATCH(E257,SkillBoxes!A256:A832,0),3)</f>
        <v>Runic Paladin</v>
      </c>
      <c r="E257" s="42">
        <v>254.0</v>
      </c>
      <c r="F257" s="42" t="str">
        <f t="array" ref="F257">INDEX(SkillBoxes!A256:D832,MATCH(E257,SkillBoxes!A256:A832,0),4)</f>
        <v>Protective Auras II</v>
      </c>
      <c r="G257" s="41">
        <v>9.0</v>
      </c>
      <c r="H257" s="41" t="s">
        <v>160</v>
      </c>
      <c r="I257" s="41" t="s">
        <v>1498</v>
      </c>
      <c r="J257" s="41" t="s">
        <v>1543</v>
      </c>
      <c r="K257" s="41">
        <v>0.0</v>
      </c>
      <c r="L257" s="41" t="s">
        <v>1513</v>
      </c>
      <c r="M257" s="41">
        <v>4.0</v>
      </c>
      <c r="N257" s="41">
        <v>0.2</v>
      </c>
      <c r="O257" s="41" t="s">
        <v>133</v>
      </c>
      <c r="P257" s="41" t="s">
        <v>41</v>
      </c>
      <c r="Q257" s="42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</row>
    <row r="258">
      <c r="A258" s="44">
        <v>255.0</v>
      </c>
      <c r="B258" s="44" t="s">
        <v>1743</v>
      </c>
      <c r="C258" s="45">
        <f t="array" ref="C258">INDEX(SkillBoxes!A257:D833,MATCH(E258,SkillBoxes!A257:A833,0),2)</f>
        <v>14</v>
      </c>
      <c r="D258" s="45" t="str">
        <f t="array" ref="D258">INDEX(SkillBoxes!A257:D833,MATCH(E258,SkillBoxes!A257:A833,0),3)</f>
        <v>Runic Paladin</v>
      </c>
      <c r="E258" s="45">
        <v>255.0</v>
      </c>
      <c r="F258" s="45" t="str">
        <f t="array" ref="F258">INDEX(SkillBoxes!A257:D833,MATCH(E258,SkillBoxes!A257:A833,0),4)</f>
        <v>Protective Auras III</v>
      </c>
      <c r="G258" s="44">
        <v>11.0</v>
      </c>
      <c r="H258" s="44" t="s">
        <v>160</v>
      </c>
      <c r="I258" s="44" t="s">
        <v>1498</v>
      </c>
      <c r="J258" s="44" t="s">
        <v>1491</v>
      </c>
      <c r="K258" s="44">
        <v>0.0</v>
      </c>
      <c r="L258" s="44" t="s">
        <v>1513</v>
      </c>
      <c r="M258" s="44">
        <v>3.0</v>
      </c>
      <c r="N258" s="44">
        <v>0.2</v>
      </c>
      <c r="O258" s="44" t="s">
        <v>161</v>
      </c>
      <c r="P258" s="44" t="s">
        <v>41</v>
      </c>
      <c r="Q258" s="45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</row>
    <row r="259">
      <c r="A259" s="41">
        <v>256.0</v>
      </c>
      <c r="B259" s="41" t="s">
        <v>1744</v>
      </c>
      <c r="C259" s="42">
        <f t="array" ref="C259">INDEX(SkillBoxes!A258:D834,MATCH(E259,SkillBoxes!A258:A834,0),2)</f>
        <v>14</v>
      </c>
      <c r="D259" s="42" t="str">
        <f t="array" ref="D259">INDEX(SkillBoxes!A258:D834,MATCH(E259,SkillBoxes!A258:A834,0),3)</f>
        <v>Runic Paladin</v>
      </c>
      <c r="E259" s="42">
        <v>256.0</v>
      </c>
      <c r="F259" s="42" t="str">
        <f t="array" ref="F259">INDEX(SkillBoxes!A258:D834,MATCH(E259,SkillBoxes!A258:A834,0),4)</f>
        <v>Protective Auras IV</v>
      </c>
      <c r="G259" s="41">
        <v>14.0</v>
      </c>
      <c r="H259" s="41" t="s">
        <v>160</v>
      </c>
      <c r="I259" s="41" t="s">
        <v>1498</v>
      </c>
      <c r="J259" s="41" t="s">
        <v>1491</v>
      </c>
      <c r="K259" s="41">
        <v>0.0</v>
      </c>
      <c r="L259" s="41" t="s">
        <v>1513</v>
      </c>
      <c r="M259" s="41">
        <v>4.0</v>
      </c>
      <c r="N259" s="41">
        <v>0.3</v>
      </c>
      <c r="O259" s="41" t="s">
        <v>133</v>
      </c>
      <c r="P259" s="41" t="s">
        <v>41</v>
      </c>
      <c r="Q259" s="42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</row>
    <row r="260">
      <c r="A260" s="44">
        <v>257.0</v>
      </c>
      <c r="B260" s="44" t="s">
        <v>1745</v>
      </c>
      <c r="C260" s="45">
        <f t="array" ref="C260">INDEX(SkillBoxes!A259:D835,MATCH(E260,SkillBoxes!A259:A835,0),2)</f>
        <v>14</v>
      </c>
      <c r="D260" s="45" t="str">
        <f t="array" ref="D260">INDEX(SkillBoxes!A259:D835,MATCH(E260,SkillBoxes!A259:A835,0),3)</f>
        <v>Runic Paladin</v>
      </c>
      <c r="E260" s="45">
        <v>257.0</v>
      </c>
      <c r="F260" s="45" t="str">
        <f t="array" ref="F260">INDEX(SkillBoxes!A259:D835,MATCH(E260,SkillBoxes!A259:A835,0),4)</f>
        <v>Shield Strike I</v>
      </c>
      <c r="G260" s="44">
        <v>8.0</v>
      </c>
      <c r="H260" s="44" t="s">
        <v>125</v>
      </c>
      <c r="I260" s="44" t="s">
        <v>1479</v>
      </c>
      <c r="J260" s="44" t="s">
        <v>1480</v>
      </c>
      <c r="K260" s="44">
        <v>1.1</v>
      </c>
      <c r="L260" s="44" t="s">
        <v>1489</v>
      </c>
      <c r="M260" s="44">
        <v>1.0</v>
      </c>
      <c r="N260" s="45"/>
      <c r="O260" s="45"/>
      <c r="P260" s="45"/>
      <c r="Q260" s="45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</row>
    <row r="261">
      <c r="A261" s="41">
        <v>258.0</v>
      </c>
      <c r="B261" s="41" t="s">
        <v>1746</v>
      </c>
      <c r="C261" s="42">
        <f t="array" ref="C261">INDEX(SkillBoxes!A260:D836,MATCH(E261,SkillBoxes!A260:A836,0),2)</f>
        <v>14</v>
      </c>
      <c r="D261" s="42" t="str">
        <f t="array" ref="D261">INDEX(SkillBoxes!A260:D836,MATCH(E261,SkillBoxes!A260:A836,0),3)</f>
        <v>Runic Paladin</v>
      </c>
      <c r="E261" s="42">
        <v>258.0</v>
      </c>
      <c r="F261" s="42" t="str">
        <f t="array" ref="F261">INDEX(SkillBoxes!A260:D836,MATCH(E261,SkillBoxes!A260:A836,0),4)</f>
        <v>Shield Strike II</v>
      </c>
      <c r="G261" s="41">
        <v>10.0</v>
      </c>
      <c r="H261" s="41" t="s">
        <v>125</v>
      </c>
      <c r="I261" s="41" t="s">
        <v>1479</v>
      </c>
      <c r="J261" s="41" t="s">
        <v>1480</v>
      </c>
      <c r="K261" s="41">
        <v>1.3</v>
      </c>
      <c r="L261" s="41" t="s">
        <v>1489</v>
      </c>
      <c r="M261" s="41">
        <v>2.0</v>
      </c>
      <c r="N261" s="42"/>
      <c r="O261" s="42"/>
      <c r="P261" s="42"/>
      <c r="Q261" s="42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</row>
    <row r="262">
      <c r="A262" s="41">
        <v>259.0</v>
      </c>
      <c r="B262" s="44" t="s">
        <v>1747</v>
      </c>
      <c r="C262" s="45">
        <f t="array" ref="C262">INDEX(SkillBoxes!A261:D837,MATCH(E262,SkillBoxes!A261:A837,0),2)</f>
        <v>14</v>
      </c>
      <c r="D262" s="45" t="str">
        <f t="array" ref="D262">INDEX(SkillBoxes!A261:D837,MATCH(E262,SkillBoxes!A261:A837,0),3)</f>
        <v>Runic Paladin</v>
      </c>
      <c r="E262" s="45">
        <v>259.0</v>
      </c>
      <c r="F262" s="45" t="str">
        <f t="array" ref="F262">INDEX(SkillBoxes!A261:D837,MATCH(E262,SkillBoxes!A261:A837,0),4)</f>
        <v>Shield Strike III</v>
      </c>
      <c r="G262" s="44">
        <v>12.0</v>
      </c>
      <c r="H262" s="44" t="s">
        <v>125</v>
      </c>
      <c r="I262" s="44" t="s">
        <v>1479</v>
      </c>
      <c r="J262" s="44" t="s">
        <v>1480</v>
      </c>
      <c r="K262" s="44">
        <v>1.5</v>
      </c>
      <c r="L262" s="44" t="s">
        <v>1489</v>
      </c>
      <c r="M262" s="44">
        <v>2.0</v>
      </c>
      <c r="N262" s="45"/>
      <c r="O262" s="45"/>
      <c r="P262" s="44" t="s">
        <v>41</v>
      </c>
      <c r="Q262" s="45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</row>
    <row r="263">
      <c r="A263" s="44">
        <v>260.0</v>
      </c>
      <c r="B263" s="41" t="s">
        <v>1748</v>
      </c>
      <c r="C263" s="42">
        <f t="array" ref="C263">INDEX(SkillBoxes!A262:D838,MATCH(E263,SkillBoxes!A262:A838,0),2)</f>
        <v>14</v>
      </c>
      <c r="D263" s="42" t="str">
        <f t="array" ref="D263">INDEX(SkillBoxes!A262:D838,MATCH(E263,SkillBoxes!A262:A838,0),3)</f>
        <v>Runic Paladin</v>
      </c>
      <c r="E263" s="42">
        <v>260.0</v>
      </c>
      <c r="F263" s="42" t="str">
        <f t="array" ref="F263">INDEX(SkillBoxes!A262:D838,MATCH(E263,SkillBoxes!A262:A838,0),4)</f>
        <v>Shield Strike IV</v>
      </c>
      <c r="G263" s="41">
        <v>14.0</v>
      </c>
      <c r="H263" s="41" t="s">
        <v>159</v>
      </c>
      <c r="I263" s="41" t="s">
        <v>1479</v>
      </c>
      <c r="J263" s="41" t="s">
        <v>1480</v>
      </c>
      <c r="K263" s="41">
        <v>1.7</v>
      </c>
      <c r="L263" s="41" t="s">
        <v>1489</v>
      </c>
      <c r="M263" s="41">
        <v>3.0</v>
      </c>
      <c r="N263" s="42"/>
      <c r="O263" s="42"/>
      <c r="P263" s="41" t="s">
        <v>41</v>
      </c>
      <c r="Q263" s="42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</row>
    <row r="264">
      <c r="A264" s="41">
        <v>261.0</v>
      </c>
      <c r="B264" s="44" t="s">
        <v>1749</v>
      </c>
      <c r="C264" s="45">
        <f t="array" ref="C264">INDEX(SkillBoxes!A263:D839,MATCH(E264,SkillBoxes!A263:A839,0),2)</f>
        <v>14</v>
      </c>
      <c r="D264" s="45" t="str">
        <f t="array" ref="D264">INDEX(SkillBoxes!A263:D839,MATCH(E264,SkillBoxes!A263:A839,0),3)</f>
        <v>Runic Paladin</v>
      </c>
      <c r="E264" s="45">
        <v>261.0</v>
      </c>
      <c r="F264" s="45" t="str">
        <f t="array" ref="F264">INDEX(SkillBoxes!A263:D839,MATCH(E264,SkillBoxes!A263:A839,0),4)</f>
        <v>Shield Bash I</v>
      </c>
      <c r="G264" s="44">
        <v>8.0</v>
      </c>
      <c r="H264" s="44" t="s">
        <v>125</v>
      </c>
      <c r="I264" s="44" t="s">
        <v>1479</v>
      </c>
      <c r="J264" s="44" t="s">
        <v>1480</v>
      </c>
      <c r="K264" s="44">
        <v>1.0</v>
      </c>
      <c r="L264" s="44" t="s">
        <v>1489</v>
      </c>
      <c r="M264" s="44">
        <v>1.0</v>
      </c>
      <c r="N264" s="45"/>
      <c r="O264" s="45"/>
      <c r="P264" s="45"/>
      <c r="Q264" s="45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</row>
    <row r="265">
      <c r="A265" s="44">
        <v>262.0</v>
      </c>
      <c r="B265" s="41" t="s">
        <v>1750</v>
      </c>
      <c r="C265" s="42">
        <f t="array" ref="C265">INDEX(SkillBoxes!A264:D840,MATCH(E265,SkillBoxes!A264:A840,0),2)</f>
        <v>14</v>
      </c>
      <c r="D265" s="42" t="str">
        <f t="array" ref="D265">INDEX(SkillBoxes!A264:D840,MATCH(E265,SkillBoxes!A264:A840,0),3)</f>
        <v>Runic Paladin</v>
      </c>
      <c r="E265" s="42">
        <v>262.0</v>
      </c>
      <c r="F265" s="42" t="str">
        <f t="array" ref="F265">INDEX(SkillBoxes!A264:D840,MATCH(E265,SkillBoxes!A264:A840,0),4)</f>
        <v>Shield Bash II</v>
      </c>
      <c r="G265" s="41">
        <v>10.0</v>
      </c>
      <c r="H265" s="41" t="s">
        <v>125</v>
      </c>
      <c r="I265" s="41" t="s">
        <v>1479</v>
      </c>
      <c r="J265" s="41" t="s">
        <v>1480</v>
      </c>
      <c r="K265" s="41">
        <v>1.2</v>
      </c>
      <c r="L265" s="41" t="s">
        <v>1489</v>
      </c>
      <c r="M265" s="41">
        <v>2.0</v>
      </c>
      <c r="N265" s="42"/>
      <c r="O265" s="42"/>
      <c r="P265" s="42"/>
      <c r="Q265" s="42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</row>
    <row r="266">
      <c r="A266" s="41">
        <v>263.0</v>
      </c>
      <c r="B266" s="44" t="s">
        <v>1751</v>
      </c>
      <c r="C266" s="45">
        <f t="array" ref="C266">INDEX(SkillBoxes!A265:D841,MATCH(E266,SkillBoxes!A265:A841,0),2)</f>
        <v>14</v>
      </c>
      <c r="D266" s="45" t="str">
        <f t="array" ref="D266">INDEX(SkillBoxes!A265:D841,MATCH(E266,SkillBoxes!A265:A841,0),3)</f>
        <v>Runic Paladin</v>
      </c>
      <c r="E266" s="45">
        <v>263.0</v>
      </c>
      <c r="F266" s="45" t="str">
        <f t="array" ref="F266">INDEX(SkillBoxes!A265:D841,MATCH(E266,SkillBoxes!A265:A841,0),4)</f>
        <v>Shield Bash III</v>
      </c>
      <c r="G266" s="44">
        <v>12.0</v>
      </c>
      <c r="H266" s="44" t="s">
        <v>125</v>
      </c>
      <c r="I266" s="44" t="s">
        <v>1498</v>
      </c>
      <c r="J266" s="44" t="s">
        <v>1480</v>
      </c>
      <c r="K266" s="44">
        <v>1.3</v>
      </c>
      <c r="L266" s="44" t="s">
        <v>410</v>
      </c>
      <c r="M266" s="44">
        <v>2.0</v>
      </c>
      <c r="N266" s="44">
        <v>0.1</v>
      </c>
      <c r="O266" s="44" t="s">
        <v>129</v>
      </c>
      <c r="P266" s="44" t="s">
        <v>41</v>
      </c>
      <c r="Q266" s="45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</row>
    <row r="267">
      <c r="A267" s="44">
        <v>264.0</v>
      </c>
      <c r="B267" s="41" t="s">
        <v>1752</v>
      </c>
      <c r="C267" s="42">
        <f t="array" ref="C267">INDEX(SkillBoxes!A266:D842,MATCH(E267,SkillBoxes!A266:A842,0),2)</f>
        <v>14</v>
      </c>
      <c r="D267" s="42" t="str">
        <f t="array" ref="D267">INDEX(SkillBoxes!A266:D842,MATCH(E267,SkillBoxes!A266:A842,0),3)</f>
        <v>Runic Paladin</v>
      </c>
      <c r="E267" s="42">
        <v>264.0</v>
      </c>
      <c r="F267" s="42" t="str">
        <f t="array" ref="F267">INDEX(SkillBoxes!A266:D842,MATCH(E267,SkillBoxes!A266:A842,0),4)</f>
        <v>Shield Bash IV</v>
      </c>
      <c r="G267" s="41">
        <v>14.0</v>
      </c>
      <c r="H267" s="41" t="s">
        <v>159</v>
      </c>
      <c r="I267" s="41" t="s">
        <v>1498</v>
      </c>
      <c r="J267" s="41" t="s">
        <v>1491</v>
      </c>
      <c r="K267" s="41">
        <v>0.8</v>
      </c>
      <c r="L267" s="41" t="s">
        <v>1489</v>
      </c>
      <c r="M267" s="41">
        <v>3.0</v>
      </c>
      <c r="N267" s="42"/>
      <c r="O267" s="42"/>
      <c r="P267" s="41" t="s">
        <v>41</v>
      </c>
      <c r="Q267" s="42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</row>
    <row r="268">
      <c r="A268" s="41">
        <v>265.0</v>
      </c>
      <c r="B268" s="44" t="s">
        <v>1753</v>
      </c>
      <c r="C268" s="45">
        <f t="array" ref="C268">INDEX(SkillBoxes!A267:D843,MATCH(E268,SkillBoxes!A267:A843,0),2)</f>
        <v>14</v>
      </c>
      <c r="D268" s="45" t="str">
        <f t="array" ref="D268">INDEX(SkillBoxes!A267:D843,MATCH(E268,SkillBoxes!A267:A843,0),3)</f>
        <v>Runic Paladin</v>
      </c>
      <c r="E268" s="45">
        <v>265.0</v>
      </c>
      <c r="F268" s="45" t="str">
        <f t="array" ref="F268">INDEX(SkillBoxes!A267:D843,MATCH(E268,SkillBoxes!A267:A843,0),4)</f>
        <v>Conditioning I</v>
      </c>
      <c r="G268" s="44">
        <v>6.0</v>
      </c>
      <c r="H268" s="44" t="s">
        <v>1557</v>
      </c>
      <c r="I268" s="44" t="s">
        <v>1479</v>
      </c>
      <c r="J268" s="44" t="s">
        <v>1495</v>
      </c>
      <c r="K268" s="44">
        <v>0.0</v>
      </c>
      <c r="L268" s="44" t="s">
        <v>1513</v>
      </c>
      <c r="M268" s="44">
        <v>3.0</v>
      </c>
      <c r="N268" s="44">
        <v>0.1</v>
      </c>
      <c r="O268" s="44" t="s">
        <v>141</v>
      </c>
      <c r="P268" s="45"/>
      <c r="Q268" s="45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</row>
    <row r="269">
      <c r="A269" s="41">
        <v>266.0</v>
      </c>
      <c r="B269" s="41" t="s">
        <v>1754</v>
      </c>
      <c r="C269" s="42">
        <f t="array" ref="C269">INDEX(SkillBoxes!A268:D844,MATCH(E269,SkillBoxes!A268:A844,0),2)</f>
        <v>14</v>
      </c>
      <c r="D269" s="42" t="str">
        <f t="array" ref="D269">INDEX(SkillBoxes!A268:D844,MATCH(E269,SkillBoxes!A268:A844,0),3)</f>
        <v>Runic Paladin</v>
      </c>
      <c r="E269" s="42">
        <v>266.0</v>
      </c>
      <c r="F269" s="42" t="str">
        <f t="array" ref="F269">INDEX(SkillBoxes!A268:D844,MATCH(E269,SkillBoxes!A268:A844,0),4)</f>
        <v>Conditioning II</v>
      </c>
      <c r="G269" s="41">
        <v>8.0</v>
      </c>
      <c r="H269" s="41" t="s">
        <v>1557</v>
      </c>
      <c r="I269" s="41" t="s">
        <v>1479</v>
      </c>
      <c r="J269" s="41" t="s">
        <v>1495</v>
      </c>
      <c r="K269" s="41">
        <v>0.0</v>
      </c>
      <c r="L269" s="41" t="s">
        <v>1513</v>
      </c>
      <c r="M269" s="41">
        <v>4.0</v>
      </c>
      <c r="N269" s="41">
        <v>0.15</v>
      </c>
      <c r="O269" s="41" t="s">
        <v>141</v>
      </c>
      <c r="P269" s="42"/>
      <c r="Q269" s="42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</row>
    <row r="270">
      <c r="A270" s="44">
        <v>267.0</v>
      </c>
      <c r="B270" s="44" t="s">
        <v>1755</v>
      </c>
      <c r="C270" s="45">
        <f t="array" ref="C270">INDEX(SkillBoxes!A269:D845,MATCH(E270,SkillBoxes!A269:A845,0),2)</f>
        <v>14</v>
      </c>
      <c r="D270" s="45" t="str">
        <f t="array" ref="D270">INDEX(SkillBoxes!A269:D845,MATCH(E270,SkillBoxes!A269:A845,0),3)</f>
        <v>Runic Paladin</v>
      </c>
      <c r="E270" s="45">
        <v>267.0</v>
      </c>
      <c r="F270" s="45" t="str">
        <f t="array" ref="F270">INDEX(SkillBoxes!A269:D845,MATCH(E270,SkillBoxes!A269:A845,0),4)</f>
        <v>Conditioning III</v>
      </c>
      <c r="G270" s="44">
        <v>10.0</v>
      </c>
      <c r="H270" s="44" t="s">
        <v>125</v>
      </c>
      <c r="I270" s="44" t="s">
        <v>1479</v>
      </c>
      <c r="J270" s="44" t="s">
        <v>1495</v>
      </c>
      <c r="K270" s="44">
        <v>0.0</v>
      </c>
      <c r="L270" s="44" t="s">
        <v>1513</v>
      </c>
      <c r="M270" s="44">
        <v>4.0</v>
      </c>
      <c r="N270" s="44">
        <v>0.2</v>
      </c>
      <c r="O270" s="44" t="s">
        <v>133</v>
      </c>
      <c r="P270" s="45"/>
      <c r="Q270" s="45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</row>
    <row r="271">
      <c r="A271" s="41">
        <v>268.0</v>
      </c>
      <c r="B271" s="41" t="s">
        <v>1756</v>
      </c>
      <c r="C271" s="42">
        <f t="array" ref="C271">INDEX(SkillBoxes!A270:D846,MATCH(E271,SkillBoxes!A270:A846,0),2)</f>
        <v>14</v>
      </c>
      <c r="D271" s="42" t="str">
        <f t="array" ref="D271">INDEX(SkillBoxes!A270:D846,MATCH(E271,SkillBoxes!A270:A846,0),3)</f>
        <v>Runic Paladin</v>
      </c>
      <c r="E271" s="42">
        <v>268.0</v>
      </c>
      <c r="F271" s="42" t="str">
        <f t="array" ref="F271">INDEX(SkillBoxes!A270:D846,MATCH(E271,SkillBoxes!A270:A846,0),4)</f>
        <v>Conditioning IV</v>
      </c>
      <c r="G271" s="41">
        <v>12.0</v>
      </c>
      <c r="H271" s="41" t="s">
        <v>159</v>
      </c>
      <c r="I271" s="41" t="s">
        <v>1479</v>
      </c>
      <c r="J271" s="41" t="s">
        <v>1495</v>
      </c>
      <c r="K271" s="41">
        <v>0.0</v>
      </c>
      <c r="L271" s="41" t="s">
        <v>1513</v>
      </c>
      <c r="M271" s="41">
        <v>5.0</v>
      </c>
      <c r="N271" s="41">
        <v>0.25</v>
      </c>
      <c r="O271" s="41" t="s">
        <v>133</v>
      </c>
      <c r="P271" s="42"/>
      <c r="Q271" s="42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</row>
    <row r="272">
      <c r="A272" s="44">
        <v>269.0</v>
      </c>
      <c r="B272" s="44" t="s">
        <v>1757</v>
      </c>
      <c r="C272" s="45">
        <f t="array" ref="C272">INDEX(SkillBoxes!A271:D847,MATCH(E272,SkillBoxes!A271:A847,0),2)</f>
        <v>14</v>
      </c>
      <c r="D272" s="45" t="str">
        <f t="array" ref="D272">INDEX(SkillBoxes!A271:D847,MATCH(E272,SkillBoxes!A271:A847,0),3)</f>
        <v>Runic Paladin</v>
      </c>
      <c r="E272" s="45">
        <v>269.0</v>
      </c>
      <c r="F272" s="45" t="str">
        <f t="array" ref="F272">INDEX(SkillBoxes!A271:D847,MATCH(E272,SkillBoxes!A271:A847,0),4)</f>
        <v>Master Runic Paladin</v>
      </c>
      <c r="G272" s="44">
        <v>20.0</v>
      </c>
      <c r="H272" s="44" t="s">
        <v>159</v>
      </c>
      <c r="I272" s="44" t="s">
        <v>1498</v>
      </c>
      <c r="J272" s="44" t="s">
        <v>1491</v>
      </c>
      <c r="K272" s="44">
        <v>1.2</v>
      </c>
      <c r="L272" s="44" t="s">
        <v>1489</v>
      </c>
      <c r="M272" s="44">
        <v>3.0</v>
      </c>
      <c r="N272" s="45"/>
      <c r="O272" s="45"/>
      <c r="P272" s="44" t="s">
        <v>41</v>
      </c>
      <c r="Q272" s="45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</row>
    <row r="273">
      <c r="A273" s="41">
        <v>270.0</v>
      </c>
      <c r="B273" s="41" t="s">
        <v>1758</v>
      </c>
      <c r="C273" s="42">
        <f t="array" ref="C273">INDEX(SkillBoxes!A272:D848,MATCH(E273,SkillBoxes!A272:A848,0),2)</f>
        <v>15</v>
      </c>
      <c r="D273" s="42" t="str">
        <f t="array" ref="D273">INDEX(SkillBoxes!A272:D848,MATCH(E273,SkillBoxes!A272:A848,0),3)</f>
        <v>Long Arm</v>
      </c>
      <c r="E273" s="42">
        <v>270.0</v>
      </c>
      <c r="F273" s="42" t="str">
        <f t="array" ref="F273">INDEX(SkillBoxes!A272:D848,MATCH(E273,SkillBoxes!A272:A848,0),4)</f>
        <v>Novice Long Arm</v>
      </c>
      <c r="G273" s="41">
        <v>8.0</v>
      </c>
      <c r="H273" s="41" t="s">
        <v>125</v>
      </c>
      <c r="I273" s="41" t="s">
        <v>1479</v>
      </c>
      <c r="J273" s="41" t="s">
        <v>1480</v>
      </c>
      <c r="K273" s="41">
        <v>1.1</v>
      </c>
      <c r="L273" s="42"/>
      <c r="M273" s="42"/>
      <c r="N273" s="42"/>
      <c r="O273" s="42"/>
      <c r="P273" s="42"/>
      <c r="Q273" s="42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</row>
    <row r="274">
      <c r="A274" s="44">
        <v>271.0</v>
      </c>
      <c r="B274" s="44" t="s">
        <v>1759</v>
      </c>
      <c r="C274" s="45">
        <f t="array" ref="C274">INDEX(SkillBoxes!A273:D849,MATCH(E274,SkillBoxes!A273:A849,0),2)</f>
        <v>15</v>
      </c>
      <c r="D274" s="45" t="str">
        <f t="array" ref="D274">INDEX(SkillBoxes!A273:D849,MATCH(E274,SkillBoxes!A273:A849,0),3)</f>
        <v>Long Arm</v>
      </c>
      <c r="E274" s="45">
        <v>271.0</v>
      </c>
      <c r="F274" s="45" t="str">
        <f t="array" ref="F274">INDEX(SkillBoxes!A273:D849,MATCH(E274,SkillBoxes!A273:A849,0),4)</f>
        <v>Parrying I</v>
      </c>
      <c r="G274" s="44">
        <v>7.0</v>
      </c>
      <c r="H274" s="44" t="s">
        <v>125</v>
      </c>
      <c r="I274" s="44" t="s">
        <v>1479</v>
      </c>
      <c r="J274" s="44" t="s">
        <v>1495</v>
      </c>
      <c r="K274" s="44">
        <v>0.0</v>
      </c>
      <c r="L274" s="44" t="s">
        <v>1496</v>
      </c>
      <c r="M274" s="44">
        <v>2.0</v>
      </c>
      <c r="N274" s="45"/>
      <c r="O274" s="45"/>
      <c r="P274" s="45"/>
      <c r="Q274" s="45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</row>
    <row r="275">
      <c r="A275" s="41">
        <v>272.0</v>
      </c>
      <c r="B275" s="41" t="s">
        <v>1760</v>
      </c>
      <c r="C275" s="42">
        <f t="array" ref="C275">INDEX(SkillBoxes!A274:D850,MATCH(E275,SkillBoxes!A274:A850,0),2)</f>
        <v>15</v>
      </c>
      <c r="D275" s="42" t="str">
        <f t="array" ref="D275">INDEX(SkillBoxes!A274:D850,MATCH(E275,SkillBoxes!A274:A850,0),3)</f>
        <v>Long Arm</v>
      </c>
      <c r="E275" s="42">
        <v>272.0</v>
      </c>
      <c r="F275" s="42" t="str">
        <f t="array" ref="F275">INDEX(SkillBoxes!A274:D850,MATCH(E275,SkillBoxes!A274:A850,0),4)</f>
        <v>Parrying II</v>
      </c>
      <c r="G275" s="41">
        <v>9.0</v>
      </c>
      <c r="H275" s="41" t="s">
        <v>125</v>
      </c>
      <c r="I275" s="41" t="s">
        <v>1479</v>
      </c>
      <c r="J275" s="41" t="s">
        <v>1495</v>
      </c>
      <c r="K275" s="41">
        <v>0.0</v>
      </c>
      <c r="L275" s="41" t="s">
        <v>1496</v>
      </c>
      <c r="M275" s="41">
        <v>3.0</v>
      </c>
      <c r="N275" s="42"/>
      <c r="O275" s="42"/>
      <c r="P275" s="42"/>
      <c r="Q275" s="42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</row>
    <row r="276">
      <c r="A276" s="41">
        <v>273.0</v>
      </c>
      <c r="B276" s="44" t="s">
        <v>1761</v>
      </c>
      <c r="C276" s="45">
        <f t="array" ref="C276">INDEX(SkillBoxes!A275:D851,MATCH(E276,SkillBoxes!A275:A851,0),2)</f>
        <v>15</v>
      </c>
      <c r="D276" s="45" t="str">
        <f t="array" ref="D276">INDEX(SkillBoxes!A275:D851,MATCH(E276,SkillBoxes!A275:A851,0),3)</f>
        <v>Long Arm</v>
      </c>
      <c r="E276" s="45">
        <v>273.0</v>
      </c>
      <c r="F276" s="45" t="str">
        <f t="array" ref="F276">INDEX(SkillBoxes!A275:D851,MATCH(E276,SkillBoxes!A275:A851,0),4)</f>
        <v>Parrying III</v>
      </c>
      <c r="G276" s="44">
        <v>11.0</v>
      </c>
      <c r="H276" s="44" t="s">
        <v>125</v>
      </c>
      <c r="I276" s="44" t="s">
        <v>1479</v>
      </c>
      <c r="J276" s="44" t="s">
        <v>1480</v>
      </c>
      <c r="K276" s="44">
        <v>1.3</v>
      </c>
      <c r="L276" s="44" t="s">
        <v>1489</v>
      </c>
      <c r="M276" s="44">
        <v>1.0</v>
      </c>
      <c r="N276" s="45"/>
      <c r="O276" s="45"/>
      <c r="P276" s="45"/>
      <c r="Q276" s="45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</row>
    <row r="277">
      <c r="A277" s="44">
        <v>274.0</v>
      </c>
      <c r="B277" s="41" t="s">
        <v>1762</v>
      </c>
      <c r="C277" s="42">
        <f t="array" ref="C277">INDEX(SkillBoxes!A276:D852,MATCH(E277,SkillBoxes!A276:A852,0),2)</f>
        <v>15</v>
      </c>
      <c r="D277" s="42" t="str">
        <f t="array" ref="D277">INDEX(SkillBoxes!A276:D852,MATCH(E277,SkillBoxes!A276:A852,0),3)</f>
        <v>Long Arm</v>
      </c>
      <c r="E277" s="42">
        <v>274.0</v>
      </c>
      <c r="F277" s="42" t="str">
        <f t="array" ref="F277">INDEX(SkillBoxes!A276:D852,MATCH(E277,SkillBoxes!A276:A852,0),4)</f>
        <v>Parrying IV</v>
      </c>
      <c r="G277" s="41">
        <v>13.0</v>
      </c>
      <c r="H277" s="41" t="s">
        <v>159</v>
      </c>
      <c r="I277" s="41" t="s">
        <v>1479</v>
      </c>
      <c r="J277" s="41" t="s">
        <v>1480</v>
      </c>
      <c r="K277" s="41">
        <v>1.4</v>
      </c>
      <c r="L277" s="41" t="s">
        <v>1489</v>
      </c>
      <c r="M277" s="41">
        <v>2.0</v>
      </c>
      <c r="N277" s="42"/>
      <c r="O277" s="42"/>
      <c r="P277" s="42"/>
      <c r="Q277" s="42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</row>
    <row r="278">
      <c r="A278" s="41">
        <v>275.0</v>
      </c>
      <c r="B278" s="44" t="s">
        <v>1763</v>
      </c>
      <c r="C278" s="45">
        <f t="array" ref="C278">INDEX(SkillBoxes!A277:D853,MATCH(E278,SkillBoxes!A277:A853,0),2)</f>
        <v>15</v>
      </c>
      <c r="D278" s="45" t="str">
        <f t="array" ref="D278">INDEX(SkillBoxes!A277:D853,MATCH(E278,SkillBoxes!A277:A853,0),3)</f>
        <v>Long Arm</v>
      </c>
      <c r="E278" s="45">
        <v>275.0</v>
      </c>
      <c r="F278" s="45" t="str">
        <f t="array" ref="F278">INDEX(SkillBoxes!A277:D853,MATCH(E278,SkillBoxes!A277:A853,0),4)</f>
        <v>Sonic Drive I</v>
      </c>
      <c r="G278" s="44">
        <v>8.0</v>
      </c>
      <c r="H278" s="44" t="s">
        <v>125</v>
      </c>
      <c r="I278" s="44" t="s">
        <v>1479</v>
      </c>
      <c r="J278" s="44" t="s">
        <v>1480</v>
      </c>
      <c r="K278" s="44">
        <v>1.2</v>
      </c>
      <c r="L278" s="45"/>
      <c r="M278" s="45"/>
      <c r="N278" s="45"/>
      <c r="O278" s="45"/>
      <c r="P278" s="45"/>
      <c r="Q278" s="45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</row>
    <row r="279">
      <c r="A279" s="44">
        <v>276.0</v>
      </c>
      <c r="B279" s="41" t="s">
        <v>1764</v>
      </c>
      <c r="C279" s="42">
        <f t="array" ref="C279">INDEX(SkillBoxes!A278:D854,MATCH(E279,SkillBoxes!A278:A854,0),2)</f>
        <v>15</v>
      </c>
      <c r="D279" s="42" t="str">
        <f t="array" ref="D279">INDEX(SkillBoxes!A278:D854,MATCH(E279,SkillBoxes!A278:A854,0),3)</f>
        <v>Long Arm</v>
      </c>
      <c r="E279" s="42">
        <v>276.0</v>
      </c>
      <c r="F279" s="42" t="str">
        <f t="array" ref="F279">INDEX(SkillBoxes!A278:D854,MATCH(E279,SkillBoxes!A278:A854,0),4)</f>
        <v>Sonic Drive II</v>
      </c>
      <c r="G279" s="41">
        <v>10.0</v>
      </c>
      <c r="H279" s="41" t="s">
        <v>125</v>
      </c>
      <c r="I279" s="41" t="s">
        <v>1479</v>
      </c>
      <c r="J279" s="41" t="s">
        <v>1480</v>
      </c>
      <c r="K279" s="41">
        <v>1.35</v>
      </c>
      <c r="L279" s="42"/>
      <c r="M279" s="42"/>
      <c r="N279" s="42"/>
      <c r="O279" s="42"/>
      <c r="P279" s="42"/>
      <c r="Q279" s="42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</row>
    <row r="280">
      <c r="A280" s="41">
        <v>277.0</v>
      </c>
      <c r="B280" s="44" t="s">
        <v>1765</v>
      </c>
      <c r="C280" s="45">
        <f t="array" ref="C280">INDEX(SkillBoxes!A279:D855,MATCH(E280,SkillBoxes!A279:A855,0),2)</f>
        <v>15</v>
      </c>
      <c r="D280" s="45" t="str">
        <f t="array" ref="D280">INDEX(SkillBoxes!A279:D855,MATCH(E280,SkillBoxes!A279:A855,0),3)</f>
        <v>Long Arm</v>
      </c>
      <c r="E280" s="45">
        <v>277.0</v>
      </c>
      <c r="F280" s="45" t="str">
        <f t="array" ref="F280">INDEX(SkillBoxes!A279:D855,MATCH(E280,SkillBoxes!A279:A855,0),4)</f>
        <v>Sonic Drive III</v>
      </c>
      <c r="G280" s="44">
        <v>12.0</v>
      </c>
      <c r="H280" s="44" t="s">
        <v>125</v>
      </c>
      <c r="I280" s="44" t="s">
        <v>1479</v>
      </c>
      <c r="J280" s="44" t="s">
        <v>1480</v>
      </c>
      <c r="K280" s="44">
        <v>1.5</v>
      </c>
      <c r="L280" s="44" t="s">
        <v>1484</v>
      </c>
      <c r="M280" s="44">
        <v>2.0</v>
      </c>
      <c r="N280" s="44">
        <v>-2.0</v>
      </c>
      <c r="O280" s="44" t="s">
        <v>141</v>
      </c>
      <c r="P280" s="45"/>
      <c r="Q280" s="45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</row>
    <row r="281">
      <c r="A281" s="44">
        <v>278.0</v>
      </c>
      <c r="B281" s="41" t="s">
        <v>1766</v>
      </c>
      <c r="C281" s="42">
        <f t="array" ref="C281">INDEX(SkillBoxes!A280:D856,MATCH(E281,SkillBoxes!A280:A856,0),2)</f>
        <v>15</v>
      </c>
      <c r="D281" s="42" t="str">
        <f t="array" ref="D281">INDEX(SkillBoxes!A280:D856,MATCH(E281,SkillBoxes!A280:A856,0),3)</f>
        <v>Long Arm</v>
      </c>
      <c r="E281" s="42">
        <v>278.0</v>
      </c>
      <c r="F281" s="42" t="str">
        <f t="array" ref="F281">INDEX(SkillBoxes!A280:D856,MATCH(E281,SkillBoxes!A280:A856,0),4)</f>
        <v>Sonic Drive IV</v>
      </c>
      <c r="G281" s="41">
        <v>14.0</v>
      </c>
      <c r="H281" s="41" t="s">
        <v>159</v>
      </c>
      <c r="I281" s="41" t="s">
        <v>1479</v>
      </c>
      <c r="J281" s="41" t="s">
        <v>1480</v>
      </c>
      <c r="K281" s="41">
        <v>1.7</v>
      </c>
      <c r="L281" s="41" t="s">
        <v>1484</v>
      </c>
      <c r="M281" s="41">
        <v>3.0</v>
      </c>
      <c r="N281" s="41">
        <v>-3.0</v>
      </c>
      <c r="O281" s="41" t="s">
        <v>141</v>
      </c>
      <c r="P281" s="42"/>
      <c r="Q281" s="42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</row>
    <row r="282">
      <c r="A282" s="41">
        <v>279.0</v>
      </c>
      <c r="B282" s="44" t="s">
        <v>1767</v>
      </c>
      <c r="C282" s="45">
        <f t="array" ref="C282">INDEX(SkillBoxes!A281:D857,MATCH(E282,SkillBoxes!A281:A857,0),2)</f>
        <v>15</v>
      </c>
      <c r="D282" s="45" t="str">
        <f t="array" ref="D282">INDEX(SkillBoxes!A281:D857,MATCH(E282,SkillBoxes!A281:A857,0),3)</f>
        <v>Long Arm</v>
      </c>
      <c r="E282" s="45">
        <v>279.0</v>
      </c>
      <c r="F282" s="45" t="str">
        <f t="array" ref="F282">INDEX(SkillBoxes!A281:D857,MATCH(E282,SkillBoxes!A281:A857,0),4)</f>
        <v>Piercing Strike I</v>
      </c>
      <c r="G282" s="44">
        <v>8.0</v>
      </c>
      <c r="H282" s="44" t="s">
        <v>125</v>
      </c>
      <c r="I282" s="44" t="s">
        <v>1479</v>
      </c>
      <c r="J282" s="44" t="s">
        <v>1480</v>
      </c>
      <c r="K282" s="44">
        <v>1.2</v>
      </c>
      <c r="L282" s="44" t="s">
        <v>410</v>
      </c>
      <c r="M282" s="44">
        <v>1.0</v>
      </c>
      <c r="N282" s="44">
        <v>0.05</v>
      </c>
      <c r="O282" s="44" t="s">
        <v>133</v>
      </c>
      <c r="P282" s="45"/>
      <c r="Q282" s="45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</row>
    <row r="283">
      <c r="A283" s="41">
        <v>280.0</v>
      </c>
      <c r="B283" s="41" t="s">
        <v>1768</v>
      </c>
      <c r="C283" s="42">
        <f t="array" ref="C283">INDEX(SkillBoxes!A282:D858,MATCH(E283,SkillBoxes!A282:A858,0),2)</f>
        <v>15</v>
      </c>
      <c r="D283" s="42" t="str">
        <f t="array" ref="D283">INDEX(SkillBoxes!A282:D858,MATCH(E283,SkillBoxes!A282:A858,0),3)</f>
        <v>Long Arm</v>
      </c>
      <c r="E283" s="42">
        <v>280.0</v>
      </c>
      <c r="F283" s="42" t="str">
        <f t="array" ref="F283">INDEX(SkillBoxes!A282:D858,MATCH(E283,SkillBoxes!A282:A858,0),4)</f>
        <v>Piercing Strike II</v>
      </c>
      <c r="G283" s="41">
        <v>10.0</v>
      </c>
      <c r="H283" s="41" t="s">
        <v>125</v>
      </c>
      <c r="I283" s="41" t="s">
        <v>1479</v>
      </c>
      <c r="J283" s="41" t="s">
        <v>1480</v>
      </c>
      <c r="K283" s="41">
        <v>1.3</v>
      </c>
      <c r="L283" s="41" t="s">
        <v>410</v>
      </c>
      <c r="M283" s="41">
        <v>2.0</v>
      </c>
      <c r="N283" s="41">
        <v>0.1</v>
      </c>
      <c r="O283" s="41" t="s">
        <v>133</v>
      </c>
      <c r="P283" s="42"/>
      <c r="Q283" s="42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</row>
    <row r="284">
      <c r="A284" s="44">
        <v>281.0</v>
      </c>
      <c r="B284" s="44" t="s">
        <v>1769</v>
      </c>
      <c r="C284" s="45">
        <f t="array" ref="C284">INDEX(SkillBoxes!A283:D859,MATCH(E284,SkillBoxes!A283:A859,0),2)</f>
        <v>15</v>
      </c>
      <c r="D284" s="45" t="str">
        <f t="array" ref="D284">INDEX(SkillBoxes!A283:D859,MATCH(E284,SkillBoxes!A283:A859,0),3)</f>
        <v>Long Arm</v>
      </c>
      <c r="E284" s="45">
        <v>281.0</v>
      </c>
      <c r="F284" s="45" t="str">
        <f t="array" ref="F284">INDEX(SkillBoxes!A283:D859,MATCH(E284,SkillBoxes!A283:A859,0),4)</f>
        <v>Piercing Strike III</v>
      </c>
      <c r="G284" s="44">
        <v>12.0</v>
      </c>
      <c r="H284" s="44" t="s">
        <v>125</v>
      </c>
      <c r="I284" s="44" t="s">
        <v>1479</v>
      </c>
      <c r="J284" s="44" t="s">
        <v>1480</v>
      </c>
      <c r="K284" s="44">
        <v>1.5</v>
      </c>
      <c r="L284" s="44" t="s">
        <v>410</v>
      </c>
      <c r="M284" s="44">
        <v>3.0</v>
      </c>
      <c r="N284" s="44">
        <v>0.15</v>
      </c>
      <c r="O284" s="44" t="s">
        <v>133</v>
      </c>
      <c r="P284" s="45"/>
      <c r="Q284" s="45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</row>
    <row r="285">
      <c r="A285" s="41">
        <v>282.0</v>
      </c>
      <c r="B285" s="41" t="s">
        <v>1770</v>
      </c>
      <c r="C285" s="42">
        <f t="array" ref="C285">INDEX(SkillBoxes!A284:D860,MATCH(E285,SkillBoxes!A284:A860,0),2)</f>
        <v>15</v>
      </c>
      <c r="D285" s="42" t="str">
        <f t="array" ref="D285">INDEX(SkillBoxes!A284:D860,MATCH(E285,SkillBoxes!A284:A860,0),3)</f>
        <v>Long Arm</v>
      </c>
      <c r="E285" s="42">
        <v>282.0</v>
      </c>
      <c r="F285" s="42" t="str">
        <f t="array" ref="F285">INDEX(SkillBoxes!A284:D860,MATCH(E285,SkillBoxes!A284:A860,0),4)</f>
        <v>Piercing Strike IV</v>
      </c>
      <c r="G285" s="41">
        <v>14.0</v>
      </c>
      <c r="H285" s="41" t="s">
        <v>159</v>
      </c>
      <c r="I285" s="41" t="s">
        <v>1479</v>
      </c>
      <c r="J285" s="41" t="s">
        <v>1480</v>
      </c>
      <c r="K285" s="41">
        <v>1.7</v>
      </c>
      <c r="L285" s="41" t="s">
        <v>410</v>
      </c>
      <c r="M285" s="41">
        <v>4.0</v>
      </c>
      <c r="N285" s="41">
        <v>0.2</v>
      </c>
      <c r="O285" s="41" t="s">
        <v>133</v>
      </c>
      <c r="P285" s="42"/>
      <c r="Q285" s="42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</row>
    <row r="286">
      <c r="A286" s="44">
        <v>283.0</v>
      </c>
      <c r="B286" s="44" t="s">
        <v>1771</v>
      </c>
      <c r="C286" s="45">
        <f t="array" ref="C286">INDEX(SkillBoxes!A285:D861,MATCH(E286,SkillBoxes!A285:A861,0),2)</f>
        <v>15</v>
      </c>
      <c r="D286" s="45" t="str">
        <f t="array" ref="D286">INDEX(SkillBoxes!A285:D861,MATCH(E286,SkillBoxes!A285:A861,0),3)</f>
        <v>Long Arm</v>
      </c>
      <c r="E286" s="45">
        <v>283.0</v>
      </c>
      <c r="F286" s="45" t="str">
        <f t="array" ref="F286">INDEX(SkillBoxes!A285:D861,MATCH(E286,SkillBoxes!A285:A861,0),4)</f>
        <v>Spear Handling I</v>
      </c>
      <c r="G286" s="44">
        <v>7.0</v>
      </c>
      <c r="H286" s="44" t="s">
        <v>125</v>
      </c>
      <c r="I286" s="44" t="s">
        <v>1479</v>
      </c>
      <c r="J286" s="44" t="s">
        <v>1491</v>
      </c>
      <c r="K286" s="44">
        <v>0.8</v>
      </c>
      <c r="L286" s="45"/>
      <c r="M286" s="45"/>
      <c r="N286" s="45"/>
      <c r="O286" s="45"/>
      <c r="P286" s="45"/>
      <c r="Q286" s="45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</row>
    <row r="287">
      <c r="A287" s="41">
        <v>284.0</v>
      </c>
      <c r="B287" s="41" t="s">
        <v>1772</v>
      </c>
      <c r="C287" s="42">
        <f t="array" ref="C287">INDEX(SkillBoxes!A286:D862,MATCH(E287,SkillBoxes!A286:A862,0),2)</f>
        <v>15</v>
      </c>
      <c r="D287" s="42" t="str">
        <f t="array" ref="D287">INDEX(SkillBoxes!A286:D862,MATCH(E287,SkillBoxes!A286:A862,0),3)</f>
        <v>Long Arm</v>
      </c>
      <c r="E287" s="42">
        <v>284.0</v>
      </c>
      <c r="F287" s="42" t="str">
        <f t="array" ref="F287">INDEX(SkillBoxes!A286:D862,MATCH(E287,SkillBoxes!A286:A862,0),4)</f>
        <v>Spear Handling II</v>
      </c>
      <c r="G287" s="41">
        <v>9.0</v>
      </c>
      <c r="H287" s="41" t="s">
        <v>125</v>
      </c>
      <c r="I287" s="41" t="s">
        <v>1479</v>
      </c>
      <c r="J287" s="41" t="s">
        <v>1491</v>
      </c>
      <c r="K287" s="41">
        <v>0.9</v>
      </c>
      <c r="L287" s="42"/>
      <c r="M287" s="42"/>
      <c r="N287" s="42"/>
      <c r="O287" s="42"/>
      <c r="P287" s="42"/>
      <c r="Q287" s="42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</row>
    <row r="288">
      <c r="A288" s="44">
        <v>285.0</v>
      </c>
      <c r="B288" s="44" t="s">
        <v>1773</v>
      </c>
      <c r="C288" s="45">
        <f t="array" ref="C288">INDEX(SkillBoxes!A287:D863,MATCH(E288,SkillBoxes!A287:A863,0),2)</f>
        <v>15</v>
      </c>
      <c r="D288" s="45" t="str">
        <f t="array" ref="D288">INDEX(SkillBoxes!A287:D863,MATCH(E288,SkillBoxes!A287:A863,0),3)</f>
        <v>Long Arm</v>
      </c>
      <c r="E288" s="45">
        <v>285.0</v>
      </c>
      <c r="F288" s="45" t="str">
        <f t="array" ref="F288">INDEX(SkillBoxes!A287:D863,MATCH(E288,SkillBoxes!A287:A863,0),4)</f>
        <v>Spear Handling III</v>
      </c>
      <c r="G288" s="44">
        <v>11.0</v>
      </c>
      <c r="H288" s="44" t="s">
        <v>125</v>
      </c>
      <c r="I288" s="44" t="s">
        <v>1479</v>
      </c>
      <c r="J288" s="44" t="s">
        <v>1491</v>
      </c>
      <c r="K288" s="44">
        <v>1.0</v>
      </c>
      <c r="L288" s="44" t="s">
        <v>1489</v>
      </c>
      <c r="M288" s="44">
        <v>1.0</v>
      </c>
      <c r="N288" s="45"/>
      <c r="O288" s="45"/>
      <c r="P288" s="45"/>
      <c r="Q288" s="45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</row>
    <row r="289">
      <c r="A289" s="41">
        <v>286.0</v>
      </c>
      <c r="B289" s="41" t="s">
        <v>1774</v>
      </c>
      <c r="C289" s="42">
        <f t="array" ref="C289">INDEX(SkillBoxes!A288:D864,MATCH(E289,SkillBoxes!A288:A864,0),2)</f>
        <v>15</v>
      </c>
      <c r="D289" s="42" t="str">
        <f t="array" ref="D289">INDEX(SkillBoxes!A288:D864,MATCH(E289,SkillBoxes!A288:A864,0),3)</f>
        <v>Long Arm</v>
      </c>
      <c r="E289" s="42">
        <v>286.0</v>
      </c>
      <c r="F289" s="42" t="str">
        <f t="array" ref="F289">INDEX(SkillBoxes!A288:D864,MATCH(E289,SkillBoxes!A288:A864,0),4)</f>
        <v>Spear Handling IV</v>
      </c>
      <c r="G289" s="41">
        <v>13.0</v>
      </c>
      <c r="H289" s="41" t="s">
        <v>159</v>
      </c>
      <c r="I289" s="41" t="s">
        <v>1479</v>
      </c>
      <c r="J289" s="41" t="s">
        <v>1491</v>
      </c>
      <c r="K289" s="41">
        <v>1.1</v>
      </c>
      <c r="L289" s="41" t="s">
        <v>1489</v>
      </c>
      <c r="M289" s="41">
        <v>2.0</v>
      </c>
      <c r="N289" s="42"/>
      <c r="O289" s="42"/>
      <c r="P289" s="42"/>
      <c r="Q289" s="42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</row>
    <row r="290">
      <c r="A290" s="41">
        <v>287.0</v>
      </c>
      <c r="B290" s="44" t="s">
        <v>1775</v>
      </c>
      <c r="C290" s="45">
        <f t="array" ref="C290">INDEX(SkillBoxes!A289:D865,MATCH(E290,SkillBoxes!A289:A865,0),2)</f>
        <v>15</v>
      </c>
      <c r="D290" s="45" t="str">
        <f t="array" ref="D290">INDEX(SkillBoxes!A289:D865,MATCH(E290,SkillBoxes!A289:A865,0),3)</f>
        <v>Long Arm</v>
      </c>
      <c r="E290" s="45">
        <v>287.0</v>
      </c>
      <c r="F290" s="45" t="str">
        <f t="array" ref="F290">INDEX(SkillBoxes!A289:D865,MATCH(E290,SkillBoxes!A289:A865,0),4)</f>
        <v>Master Long Arm</v>
      </c>
      <c r="G290" s="44">
        <v>20.0</v>
      </c>
      <c r="H290" s="44" t="s">
        <v>159</v>
      </c>
      <c r="I290" s="44" t="s">
        <v>1479</v>
      </c>
      <c r="J290" s="44" t="s">
        <v>1480</v>
      </c>
      <c r="K290" s="44">
        <v>2.0</v>
      </c>
      <c r="L290" s="44" t="s">
        <v>1484</v>
      </c>
      <c r="M290" s="44">
        <v>4.0</v>
      </c>
      <c r="N290" s="44">
        <v>-5.0</v>
      </c>
      <c r="O290" s="44" t="s">
        <v>141</v>
      </c>
      <c r="P290" s="45"/>
      <c r="Q290" s="45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</row>
    <row r="291">
      <c r="A291" s="44">
        <v>288.0</v>
      </c>
      <c r="B291" s="41" t="s">
        <v>1776</v>
      </c>
      <c r="C291" s="42">
        <f t="array" ref="C291">INDEX(SkillBoxes!A290:D866,MATCH(E291,SkillBoxes!A290:A866,0),2)</f>
        <v>16</v>
      </c>
      <c r="D291" s="42" t="str">
        <f t="array" ref="D291">INDEX(SkillBoxes!A290:D866,MATCH(E291,SkillBoxes!A290:A866,0),3)</f>
        <v>Wild Berserker</v>
      </c>
      <c r="E291" s="42">
        <v>288.0</v>
      </c>
      <c r="F291" s="42" t="str">
        <f t="array" ref="F291">INDEX(SkillBoxes!A290:D866,MATCH(E291,SkillBoxes!A290:A866,0),4)</f>
        <v>Novice Wild Berserker</v>
      </c>
      <c r="G291" s="41">
        <v>8.0</v>
      </c>
      <c r="H291" s="41" t="s">
        <v>125</v>
      </c>
      <c r="I291" s="41" t="s">
        <v>1479</v>
      </c>
      <c r="J291" s="41" t="s">
        <v>1480</v>
      </c>
      <c r="K291" s="41">
        <v>1.2</v>
      </c>
      <c r="L291" s="42"/>
      <c r="M291" s="42"/>
      <c r="N291" s="42"/>
      <c r="O291" s="42"/>
      <c r="P291" s="42"/>
      <c r="Q291" s="42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</row>
    <row r="292">
      <c r="A292" s="41">
        <v>289.0</v>
      </c>
      <c r="B292" s="44" t="s">
        <v>1777</v>
      </c>
      <c r="C292" s="45">
        <f t="array" ref="C292">INDEX(SkillBoxes!A291:D867,MATCH(E292,SkillBoxes!A291:A867,0),2)</f>
        <v>16</v>
      </c>
      <c r="D292" s="45" t="str">
        <f t="array" ref="D292">INDEX(SkillBoxes!A291:D867,MATCH(E292,SkillBoxes!A291:A867,0),3)</f>
        <v>Wild Berserker</v>
      </c>
      <c r="E292" s="45">
        <v>289.0</v>
      </c>
      <c r="F292" s="45" t="str">
        <f t="array" ref="F292">INDEX(SkillBoxes!A291:D867,MATCH(E292,SkillBoxes!A291:A867,0),4)</f>
        <v>Warcry I</v>
      </c>
      <c r="G292" s="44">
        <v>7.0</v>
      </c>
      <c r="H292" s="44" t="s">
        <v>125</v>
      </c>
      <c r="I292" s="44" t="s">
        <v>1479</v>
      </c>
      <c r="J292" s="44" t="s">
        <v>1491</v>
      </c>
      <c r="K292" s="44">
        <v>0.0</v>
      </c>
      <c r="L292" s="44" t="s">
        <v>1513</v>
      </c>
      <c r="M292" s="44">
        <v>2.0</v>
      </c>
      <c r="N292" s="44">
        <v>0.15</v>
      </c>
      <c r="O292" s="44" t="s">
        <v>129</v>
      </c>
      <c r="P292" s="45"/>
      <c r="Q292" s="45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</row>
    <row r="293">
      <c r="A293" s="44">
        <v>290.0</v>
      </c>
      <c r="B293" s="41" t="s">
        <v>1778</v>
      </c>
      <c r="C293" s="42">
        <f t="array" ref="C293">INDEX(SkillBoxes!A292:D868,MATCH(E293,SkillBoxes!A292:A868,0),2)</f>
        <v>16</v>
      </c>
      <c r="D293" s="42" t="str">
        <f t="array" ref="D293">INDEX(SkillBoxes!A292:D868,MATCH(E293,SkillBoxes!A292:A868,0),3)</f>
        <v>Wild Berserker</v>
      </c>
      <c r="E293" s="42">
        <v>290.0</v>
      </c>
      <c r="F293" s="42" t="str">
        <f t="array" ref="F293">INDEX(SkillBoxes!A292:D868,MATCH(E293,SkillBoxes!A292:A868,0),4)</f>
        <v>Warcry II</v>
      </c>
      <c r="G293" s="41">
        <v>9.0</v>
      </c>
      <c r="H293" s="41" t="s">
        <v>125</v>
      </c>
      <c r="I293" s="41" t="s">
        <v>1479</v>
      </c>
      <c r="J293" s="41" t="s">
        <v>1491</v>
      </c>
      <c r="K293" s="41">
        <v>0.0</v>
      </c>
      <c r="L293" s="41" t="s">
        <v>1513</v>
      </c>
      <c r="M293" s="41">
        <v>3.0</v>
      </c>
      <c r="N293" s="41">
        <v>0.2</v>
      </c>
      <c r="O293" s="41" t="s">
        <v>129</v>
      </c>
      <c r="P293" s="42"/>
      <c r="Q293" s="42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</row>
    <row r="294">
      <c r="A294" s="41">
        <v>291.0</v>
      </c>
      <c r="B294" s="44" t="s">
        <v>1779</v>
      </c>
      <c r="C294" s="45">
        <f t="array" ref="C294">INDEX(SkillBoxes!A293:D869,MATCH(E294,SkillBoxes!A293:A869,0),2)</f>
        <v>16</v>
      </c>
      <c r="D294" s="45" t="str">
        <f t="array" ref="D294">INDEX(SkillBoxes!A293:D869,MATCH(E294,SkillBoxes!A293:A869,0),3)</f>
        <v>Wild Berserker</v>
      </c>
      <c r="E294" s="45">
        <v>291.0</v>
      </c>
      <c r="F294" s="45" t="str">
        <f t="array" ref="F294">INDEX(SkillBoxes!A293:D869,MATCH(E294,SkillBoxes!A293:A869,0),4)</f>
        <v>Warcry III</v>
      </c>
      <c r="G294" s="44">
        <v>11.0</v>
      </c>
      <c r="H294" s="44" t="s">
        <v>159</v>
      </c>
      <c r="I294" s="44" t="s">
        <v>1479</v>
      </c>
      <c r="J294" s="44" t="s">
        <v>1491</v>
      </c>
      <c r="K294" s="44">
        <v>0.0</v>
      </c>
      <c r="L294" s="44" t="s">
        <v>410</v>
      </c>
      <c r="M294" s="44">
        <v>2.0</v>
      </c>
      <c r="N294" s="44">
        <v>0.1</v>
      </c>
      <c r="O294" s="44" t="s">
        <v>133</v>
      </c>
      <c r="P294" s="45"/>
      <c r="Q294" s="45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</row>
    <row r="295">
      <c r="A295" s="44">
        <v>292.0</v>
      </c>
      <c r="B295" s="41" t="s">
        <v>1780</v>
      </c>
      <c r="C295" s="42">
        <f t="array" ref="C295">INDEX(SkillBoxes!A294:D870,MATCH(E295,SkillBoxes!A294:A870,0),2)</f>
        <v>16</v>
      </c>
      <c r="D295" s="42" t="str">
        <f t="array" ref="D295">INDEX(SkillBoxes!A294:D870,MATCH(E295,SkillBoxes!A294:A870,0),3)</f>
        <v>Wild Berserker</v>
      </c>
      <c r="E295" s="42">
        <v>292.0</v>
      </c>
      <c r="F295" s="42" t="str">
        <f t="array" ref="F295">INDEX(SkillBoxes!A294:D870,MATCH(E295,SkillBoxes!A294:A870,0),4)</f>
        <v>Warcry IV</v>
      </c>
      <c r="G295" s="41">
        <v>13.0</v>
      </c>
      <c r="H295" s="41" t="s">
        <v>159</v>
      </c>
      <c r="I295" s="41" t="s">
        <v>1479</v>
      </c>
      <c r="J295" s="41" t="s">
        <v>1491</v>
      </c>
      <c r="K295" s="41">
        <v>0.0</v>
      </c>
      <c r="L295" s="41" t="s">
        <v>1513</v>
      </c>
      <c r="M295" s="41">
        <v>4.0</v>
      </c>
      <c r="N295" s="41">
        <v>0.25</v>
      </c>
      <c r="O295" s="41" t="s">
        <v>129</v>
      </c>
      <c r="P295" s="42"/>
      <c r="Q295" s="42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</row>
    <row r="296">
      <c r="A296" s="41">
        <v>293.0</v>
      </c>
      <c r="B296" s="44" t="s">
        <v>1781</v>
      </c>
      <c r="C296" s="45">
        <f t="array" ref="C296">INDEX(SkillBoxes!A295:D871,MATCH(E296,SkillBoxes!A295:A871,0),2)</f>
        <v>16</v>
      </c>
      <c r="D296" s="45" t="str">
        <f t="array" ref="D296">INDEX(SkillBoxes!A295:D871,MATCH(E296,SkillBoxes!A295:A871,0),3)</f>
        <v>Wild Berserker</v>
      </c>
      <c r="E296" s="45">
        <v>293.0</v>
      </c>
      <c r="F296" s="45" t="str">
        <f t="array" ref="F296">INDEX(SkillBoxes!A295:D871,MATCH(E296,SkillBoxes!A295:A871,0),4)</f>
        <v>Sweeping Strike I</v>
      </c>
      <c r="G296" s="44">
        <v>8.0</v>
      </c>
      <c r="H296" s="44" t="s">
        <v>125</v>
      </c>
      <c r="I296" s="44" t="s">
        <v>1479</v>
      </c>
      <c r="J296" s="44" t="s">
        <v>1491</v>
      </c>
      <c r="K296" s="44">
        <v>0.85</v>
      </c>
      <c r="L296" s="45"/>
      <c r="M296" s="45"/>
      <c r="N296" s="45"/>
      <c r="O296" s="45"/>
      <c r="P296" s="45"/>
      <c r="Q296" s="45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</row>
    <row r="297">
      <c r="A297" s="41">
        <v>294.0</v>
      </c>
      <c r="B297" s="41" t="s">
        <v>1782</v>
      </c>
      <c r="C297" s="42">
        <f t="array" ref="C297">INDEX(SkillBoxes!A296:D872,MATCH(E297,SkillBoxes!A296:A872,0),2)</f>
        <v>16</v>
      </c>
      <c r="D297" s="42" t="str">
        <f t="array" ref="D297">INDEX(SkillBoxes!A296:D872,MATCH(E297,SkillBoxes!A296:A872,0),3)</f>
        <v>Wild Berserker</v>
      </c>
      <c r="E297" s="42">
        <v>294.0</v>
      </c>
      <c r="F297" s="42" t="str">
        <f t="array" ref="F297">INDEX(SkillBoxes!A296:D872,MATCH(E297,SkillBoxes!A296:A872,0),4)</f>
        <v>Sweeping Strike II</v>
      </c>
      <c r="G297" s="41">
        <v>10.0</v>
      </c>
      <c r="H297" s="41" t="s">
        <v>125</v>
      </c>
      <c r="I297" s="41" t="s">
        <v>1479</v>
      </c>
      <c r="J297" s="41" t="s">
        <v>1491</v>
      </c>
      <c r="K297" s="41">
        <v>0.95</v>
      </c>
      <c r="L297" s="42"/>
      <c r="M297" s="42"/>
      <c r="N297" s="42"/>
      <c r="O297" s="42"/>
      <c r="P297" s="42"/>
      <c r="Q297" s="42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</row>
    <row r="298">
      <c r="A298" s="44">
        <v>295.0</v>
      </c>
      <c r="B298" s="44" t="s">
        <v>1783</v>
      </c>
      <c r="C298" s="45">
        <f t="array" ref="C298">INDEX(SkillBoxes!A297:D873,MATCH(E298,SkillBoxes!A297:A873,0),2)</f>
        <v>16</v>
      </c>
      <c r="D298" s="45" t="str">
        <f t="array" ref="D298">INDEX(SkillBoxes!A297:D873,MATCH(E298,SkillBoxes!A297:A873,0),3)</f>
        <v>Wild Berserker</v>
      </c>
      <c r="E298" s="45">
        <v>295.0</v>
      </c>
      <c r="F298" s="45" t="str">
        <f t="array" ref="F298">INDEX(SkillBoxes!A297:D873,MATCH(E298,SkillBoxes!A297:A873,0),4)</f>
        <v>Sweeping Strike III</v>
      </c>
      <c r="G298" s="44">
        <v>12.0</v>
      </c>
      <c r="H298" s="44" t="s">
        <v>125</v>
      </c>
      <c r="I298" s="44" t="s">
        <v>1479</v>
      </c>
      <c r="J298" s="44" t="s">
        <v>1491</v>
      </c>
      <c r="K298" s="44">
        <v>1.0</v>
      </c>
      <c r="L298" s="44" t="s">
        <v>1484</v>
      </c>
      <c r="M298" s="44">
        <v>1.0</v>
      </c>
      <c r="N298" s="44">
        <v>-1.0</v>
      </c>
      <c r="O298" s="44" t="s">
        <v>141</v>
      </c>
      <c r="P298" s="45"/>
      <c r="Q298" s="45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</row>
    <row r="299">
      <c r="A299" s="41">
        <v>296.0</v>
      </c>
      <c r="B299" s="41" t="s">
        <v>1784</v>
      </c>
      <c r="C299" s="42">
        <f t="array" ref="C299">INDEX(SkillBoxes!A298:D874,MATCH(E299,SkillBoxes!A298:A874,0),2)</f>
        <v>16</v>
      </c>
      <c r="D299" s="42" t="str">
        <f t="array" ref="D299">INDEX(SkillBoxes!A298:D874,MATCH(E299,SkillBoxes!A298:A874,0),3)</f>
        <v>Wild Berserker</v>
      </c>
      <c r="E299" s="42">
        <v>296.0</v>
      </c>
      <c r="F299" s="42" t="str">
        <f t="array" ref="F299">INDEX(SkillBoxes!A298:D874,MATCH(E299,SkillBoxes!A298:A874,0),4)</f>
        <v>Sweeping Strike IV</v>
      </c>
      <c r="G299" s="41">
        <v>14.0</v>
      </c>
      <c r="H299" s="41" t="s">
        <v>159</v>
      </c>
      <c r="I299" s="41" t="s">
        <v>1479</v>
      </c>
      <c r="J299" s="41" t="s">
        <v>1491</v>
      </c>
      <c r="K299" s="41">
        <v>1.1</v>
      </c>
      <c r="L299" s="41" t="s">
        <v>1484</v>
      </c>
      <c r="M299" s="41">
        <v>2.0</v>
      </c>
      <c r="N299" s="41">
        <v>-3.0</v>
      </c>
      <c r="O299" s="41" t="s">
        <v>141</v>
      </c>
      <c r="P299" s="42"/>
      <c r="Q299" s="42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</row>
    <row r="300">
      <c r="A300" s="44">
        <v>297.0</v>
      </c>
      <c r="B300" s="44" t="s">
        <v>1785</v>
      </c>
      <c r="C300" s="45">
        <f t="array" ref="C300">INDEX(SkillBoxes!A299:D875,MATCH(E300,SkillBoxes!A299:A875,0),2)</f>
        <v>16</v>
      </c>
      <c r="D300" s="45" t="str">
        <f t="array" ref="D300">INDEX(SkillBoxes!A299:D875,MATCH(E300,SkillBoxes!A299:A875,0),3)</f>
        <v>Wild Berserker</v>
      </c>
      <c r="E300" s="45">
        <v>297.0</v>
      </c>
      <c r="F300" s="45" t="str">
        <f t="array" ref="F300">INDEX(SkillBoxes!A299:D875,MATCH(E300,SkillBoxes!A299:A875,0),4)</f>
        <v>Gouging Strike I</v>
      </c>
      <c r="G300" s="44">
        <v>8.0</v>
      </c>
      <c r="H300" s="44" t="s">
        <v>125</v>
      </c>
      <c r="I300" s="44" t="s">
        <v>1479</v>
      </c>
      <c r="J300" s="44" t="s">
        <v>1480</v>
      </c>
      <c r="K300" s="44">
        <v>1.3</v>
      </c>
      <c r="L300" s="45"/>
      <c r="M300" s="45"/>
      <c r="N300" s="45"/>
      <c r="O300" s="45"/>
      <c r="P300" s="45"/>
      <c r="Q300" s="45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</row>
    <row r="301">
      <c r="A301" s="41">
        <v>298.0</v>
      </c>
      <c r="B301" s="41" t="s">
        <v>1786</v>
      </c>
      <c r="C301" s="42">
        <f t="array" ref="C301">INDEX(SkillBoxes!A300:D876,MATCH(E301,SkillBoxes!A300:A876,0),2)</f>
        <v>16</v>
      </c>
      <c r="D301" s="42" t="str">
        <f t="array" ref="D301">INDEX(SkillBoxes!A300:D876,MATCH(E301,SkillBoxes!A300:A876,0),3)</f>
        <v>Wild Berserker</v>
      </c>
      <c r="E301" s="42">
        <v>298.0</v>
      </c>
      <c r="F301" s="42" t="str">
        <f t="array" ref="F301">INDEX(SkillBoxes!A300:D876,MATCH(E301,SkillBoxes!A300:A876,0),4)</f>
        <v>Gouging Strike II</v>
      </c>
      <c r="G301" s="41">
        <v>10.0</v>
      </c>
      <c r="H301" s="41" t="s">
        <v>125</v>
      </c>
      <c r="I301" s="41" t="s">
        <v>1479</v>
      </c>
      <c r="J301" s="41" t="s">
        <v>1480</v>
      </c>
      <c r="K301" s="41">
        <v>1.45</v>
      </c>
      <c r="L301" s="42"/>
      <c r="M301" s="42"/>
      <c r="N301" s="42"/>
      <c r="O301" s="42"/>
      <c r="P301" s="42"/>
      <c r="Q301" s="42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</row>
    <row r="302">
      <c r="A302" s="44">
        <v>299.0</v>
      </c>
      <c r="B302" s="44" t="s">
        <v>1787</v>
      </c>
      <c r="C302" s="45">
        <f t="array" ref="C302">INDEX(SkillBoxes!A301:D877,MATCH(E302,SkillBoxes!A301:A877,0),2)</f>
        <v>16</v>
      </c>
      <c r="D302" s="45" t="str">
        <f t="array" ref="D302">INDEX(SkillBoxes!A301:D877,MATCH(E302,SkillBoxes!A301:A877,0),3)</f>
        <v>Wild Berserker</v>
      </c>
      <c r="E302" s="45">
        <v>299.0</v>
      </c>
      <c r="F302" s="45" t="str">
        <f t="array" ref="F302">INDEX(SkillBoxes!A301:D877,MATCH(E302,SkillBoxes!A301:A877,0),4)</f>
        <v>Gouging Strike III</v>
      </c>
      <c r="G302" s="44">
        <v>12.0</v>
      </c>
      <c r="H302" s="44" t="s">
        <v>125</v>
      </c>
      <c r="I302" s="44" t="s">
        <v>1479</v>
      </c>
      <c r="J302" s="44" t="s">
        <v>1480</v>
      </c>
      <c r="K302" s="44">
        <v>1.6</v>
      </c>
      <c r="L302" s="44" t="s">
        <v>410</v>
      </c>
      <c r="M302" s="44">
        <v>2.0</v>
      </c>
      <c r="N302" s="44">
        <v>0.1</v>
      </c>
      <c r="O302" s="44" t="s">
        <v>133</v>
      </c>
      <c r="P302" s="45"/>
      <c r="Q302" s="45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</row>
    <row r="303">
      <c r="A303" s="41">
        <v>300.0</v>
      </c>
      <c r="B303" s="41" t="s">
        <v>1788</v>
      </c>
      <c r="C303" s="42">
        <f t="array" ref="C303">INDEX(SkillBoxes!A302:D878,MATCH(E303,SkillBoxes!A302:A878,0),2)</f>
        <v>16</v>
      </c>
      <c r="D303" s="42" t="str">
        <f t="array" ref="D303">INDEX(SkillBoxes!A302:D878,MATCH(E303,SkillBoxes!A302:A878,0),3)</f>
        <v>Wild Berserker</v>
      </c>
      <c r="E303" s="42">
        <v>300.0</v>
      </c>
      <c r="F303" s="42" t="str">
        <f t="array" ref="F303">INDEX(SkillBoxes!A302:D878,MATCH(E303,SkillBoxes!A302:A878,0),4)</f>
        <v>Gouging Strike IV</v>
      </c>
      <c r="G303" s="41">
        <v>14.0</v>
      </c>
      <c r="H303" s="41" t="s">
        <v>159</v>
      </c>
      <c r="I303" s="41" t="s">
        <v>1479</v>
      </c>
      <c r="J303" s="41" t="s">
        <v>1480</v>
      </c>
      <c r="K303" s="41">
        <v>1.8</v>
      </c>
      <c r="L303" s="41" t="s">
        <v>1484</v>
      </c>
      <c r="M303" s="41">
        <v>3.0</v>
      </c>
      <c r="N303" s="41">
        <v>-4.0</v>
      </c>
      <c r="O303" s="41" t="s">
        <v>141</v>
      </c>
      <c r="P303" s="42"/>
      <c r="Q303" s="42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</row>
    <row r="304">
      <c r="A304" s="41">
        <v>301.0</v>
      </c>
      <c r="B304" s="44" t="s">
        <v>1789</v>
      </c>
      <c r="C304" s="45">
        <f t="array" ref="C304">INDEX(SkillBoxes!A303:D879,MATCH(E304,SkillBoxes!A303:A879,0),2)</f>
        <v>16</v>
      </c>
      <c r="D304" s="45" t="str">
        <f t="array" ref="D304">INDEX(SkillBoxes!A303:D879,MATCH(E304,SkillBoxes!A303:A879,0),3)</f>
        <v>Wild Berserker</v>
      </c>
      <c r="E304" s="45">
        <v>301.0</v>
      </c>
      <c r="F304" s="45" t="str">
        <f t="array" ref="F304">INDEX(SkillBoxes!A303:D879,MATCH(E304,SkillBoxes!A303:A879,0),4)</f>
        <v>Rage I</v>
      </c>
      <c r="G304" s="44">
        <v>8.0</v>
      </c>
      <c r="H304" s="44" t="s">
        <v>159</v>
      </c>
      <c r="I304" s="44" t="s">
        <v>1479</v>
      </c>
      <c r="J304" s="44" t="s">
        <v>1480</v>
      </c>
      <c r="K304" s="44">
        <v>1.3</v>
      </c>
      <c r="L304" s="45"/>
      <c r="M304" s="45"/>
      <c r="N304" s="45"/>
      <c r="O304" s="45"/>
      <c r="P304" s="45"/>
      <c r="Q304" s="45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</row>
    <row r="305">
      <c r="A305" s="44">
        <v>302.0</v>
      </c>
      <c r="B305" s="41" t="s">
        <v>1790</v>
      </c>
      <c r="C305" s="42">
        <f t="array" ref="C305">INDEX(SkillBoxes!A304:D880,MATCH(E305,SkillBoxes!A304:A880,0),2)</f>
        <v>16</v>
      </c>
      <c r="D305" s="42" t="str">
        <f t="array" ref="D305">INDEX(SkillBoxes!A304:D880,MATCH(E305,SkillBoxes!A304:A880,0),3)</f>
        <v>Wild Berserker</v>
      </c>
      <c r="E305" s="42">
        <v>302.0</v>
      </c>
      <c r="F305" s="42" t="str">
        <f t="array" ref="F305">INDEX(SkillBoxes!A304:D880,MATCH(E305,SkillBoxes!A304:A880,0),4)</f>
        <v>Rage II</v>
      </c>
      <c r="G305" s="41">
        <v>10.0</v>
      </c>
      <c r="H305" s="41" t="s">
        <v>159</v>
      </c>
      <c r="I305" s="41" t="s">
        <v>1479</v>
      </c>
      <c r="J305" s="41" t="s">
        <v>1480</v>
      </c>
      <c r="K305" s="41">
        <v>1.5</v>
      </c>
      <c r="L305" s="42"/>
      <c r="M305" s="42"/>
      <c r="N305" s="42"/>
      <c r="O305" s="42"/>
      <c r="P305" s="42"/>
      <c r="Q305" s="42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</row>
    <row r="306">
      <c r="A306" s="41">
        <v>303.0</v>
      </c>
      <c r="B306" s="44" t="s">
        <v>1791</v>
      </c>
      <c r="C306" s="45">
        <f t="array" ref="C306">INDEX(SkillBoxes!A305:D881,MATCH(E306,SkillBoxes!A305:A881,0),2)</f>
        <v>16</v>
      </c>
      <c r="D306" s="45" t="str">
        <f t="array" ref="D306">INDEX(SkillBoxes!A305:D881,MATCH(E306,SkillBoxes!A305:A881,0),3)</f>
        <v>Wild Berserker</v>
      </c>
      <c r="E306" s="45">
        <v>303.0</v>
      </c>
      <c r="F306" s="45" t="str">
        <f t="array" ref="F306">INDEX(SkillBoxes!A305:D881,MATCH(E306,SkillBoxes!A305:A881,0),4)</f>
        <v>Rage III</v>
      </c>
      <c r="G306" s="44">
        <v>12.0</v>
      </c>
      <c r="H306" s="44" t="s">
        <v>159</v>
      </c>
      <c r="I306" s="44" t="s">
        <v>1479</v>
      </c>
      <c r="J306" s="44" t="s">
        <v>1491</v>
      </c>
      <c r="K306" s="44">
        <v>1.0</v>
      </c>
      <c r="L306" s="44" t="s">
        <v>1484</v>
      </c>
      <c r="M306" s="44">
        <v>2.0</v>
      </c>
      <c r="N306" s="44">
        <v>-2.0</v>
      </c>
      <c r="O306" s="44" t="s">
        <v>141</v>
      </c>
      <c r="P306" s="45"/>
      <c r="Q306" s="45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</row>
    <row r="307">
      <c r="A307" s="44">
        <v>304.0</v>
      </c>
      <c r="B307" s="41" t="s">
        <v>1792</v>
      </c>
      <c r="C307" s="42">
        <f t="array" ref="C307">INDEX(SkillBoxes!A306:D882,MATCH(E307,SkillBoxes!A306:A882,0),2)</f>
        <v>16</v>
      </c>
      <c r="D307" s="42" t="str">
        <f t="array" ref="D307">INDEX(SkillBoxes!A306:D882,MATCH(E307,SkillBoxes!A306:A882,0),3)</f>
        <v>Wild Berserker</v>
      </c>
      <c r="E307" s="42">
        <v>304.0</v>
      </c>
      <c r="F307" s="42" t="str">
        <f t="array" ref="F307">INDEX(SkillBoxes!A306:D882,MATCH(E307,SkillBoxes!A306:A882,0),4)</f>
        <v>Rage IV</v>
      </c>
      <c r="G307" s="41">
        <v>14.0</v>
      </c>
      <c r="H307" s="41" t="s">
        <v>159</v>
      </c>
      <c r="I307" s="41" t="s">
        <v>1479</v>
      </c>
      <c r="J307" s="41" t="s">
        <v>1491</v>
      </c>
      <c r="K307" s="41">
        <v>1.2</v>
      </c>
      <c r="L307" s="41" t="s">
        <v>1484</v>
      </c>
      <c r="M307" s="41">
        <v>4.0</v>
      </c>
      <c r="N307" s="41">
        <v>-4.0</v>
      </c>
      <c r="O307" s="41" t="s">
        <v>141</v>
      </c>
      <c r="P307" s="42"/>
      <c r="Q307" s="42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</row>
    <row r="308">
      <c r="A308" s="41">
        <v>305.0</v>
      </c>
      <c r="B308" s="44" t="s">
        <v>1793</v>
      </c>
      <c r="C308" s="45">
        <f t="array" ref="C308">INDEX(SkillBoxes!A307:D883,MATCH(E308,SkillBoxes!A307:A883,0),2)</f>
        <v>16</v>
      </c>
      <c r="D308" s="45" t="str">
        <f t="array" ref="D308">INDEX(SkillBoxes!A307:D883,MATCH(E308,SkillBoxes!A307:A883,0),3)</f>
        <v>Wild Berserker</v>
      </c>
      <c r="E308" s="45">
        <v>305.0</v>
      </c>
      <c r="F308" s="45" t="str">
        <f t="array" ref="F308">INDEX(SkillBoxes!A307:D883,MATCH(E308,SkillBoxes!A307:A883,0),4)</f>
        <v>Master Wild Berserker</v>
      </c>
      <c r="G308" s="44">
        <v>20.0</v>
      </c>
      <c r="H308" s="44" t="s">
        <v>159</v>
      </c>
      <c r="I308" s="44" t="s">
        <v>1479</v>
      </c>
      <c r="J308" s="44" t="s">
        <v>1491</v>
      </c>
      <c r="K308" s="44">
        <v>1.4</v>
      </c>
      <c r="L308" s="44" t="s">
        <v>1484</v>
      </c>
      <c r="M308" s="44">
        <v>5.0</v>
      </c>
      <c r="N308" s="44">
        <v>-5.0</v>
      </c>
      <c r="O308" s="44" t="s">
        <v>141</v>
      </c>
      <c r="P308" s="45"/>
      <c r="Q308" s="45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</row>
    <row r="309">
      <c r="A309" s="44">
        <v>306.0</v>
      </c>
      <c r="B309" s="41" t="s">
        <v>1794</v>
      </c>
      <c r="C309" s="42">
        <f t="array" ref="C309">INDEX(SkillBoxes!A308:D884,MATCH(E309,SkillBoxes!A308:A884,0),2)</f>
        <v>17</v>
      </c>
      <c r="D309" s="42" t="str">
        <f t="array" ref="D309">INDEX(SkillBoxes!A308:D884,MATCH(E309,SkillBoxes!A308:A884,0),3)</f>
        <v>Dark Knight</v>
      </c>
      <c r="E309" s="42">
        <v>306.0</v>
      </c>
      <c r="F309" s="42" t="str">
        <f t="array" ref="F309">INDEX(SkillBoxes!A308:D884,MATCH(E309,SkillBoxes!A308:A884,0),4)</f>
        <v>Novice Dark Knight</v>
      </c>
      <c r="G309" s="41">
        <v>8.0</v>
      </c>
      <c r="H309" s="41" t="s">
        <v>160</v>
      </c>
      <c r="I309" s="41" t="s">
        <v>1498</v>
      </c>
      <c r="J309" s="41" t="s">
        <v>1480</v>
      </c>
      <c r="K309" s="41">
        <v>1.1</v>
      </c>
      <c r="L309" s="42"/>
      <c r="M309" s="42"/>
      <c r="N309" s="42"/>
      <c r="O309" s="42"/>
      <c r="P309" s="41" t="s">
        <v>1518</v>
      </c>
      <c r="Q309" s="42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</row>
    <row r="310">
      <c r="A310" s="41">
        <v>307.0</v>
      </c>
      <c r="B310" s="44" t="s">
        <v>1795</v>
      </c>
      <c r="C310" s="45">
        <f t="array" ref="C310">INDEX(SkillBoxes!A309:D885,MATCH(E310,SkillBoxes!A309:A885,0),2)</f>
        <v>17</v>
      </c>
      <c r="D310" s="45" t="str">
        <f t="array" ref="D310">INDEX(SkillBoxes!A309:D885,MATCH(E310,SkillBoxes!A309:A885,0),3)</f>
        <v>Dark Knight</v>
      </c>
      <c r="E310" s="45">
        <v>307.0</v>
      </c>
      <c r="F310" s="45" t="str">
        <f t="array" ref="F310">INDEX(SkillBoxes!A309:D885,MATCH(E310,SkillBoxes!A309:A885,0),4)</f>
        <v>Dark Mastery I</v>
      </c>
      <c r="G310" s="44">
        <v>8.0</v>
      </c>
      <c r="H310" s="44" t="s">
        <v>160</v>
      </c>
      <c r="I310" s="44" t="s">
        <v>1498</v>
      </c>
      <c r="J310" s="44" t="s">
        <v>1480</v>
      </c>
      <c r="K310" s="44">
        <v>1.2</v>
      </c>
      <c r="L310" s="45"/>
      <c r="M310" s="45"/>
      <c r="N310" s="45"/>
      <c r="O310" s="45"/>
      <c r="P310" s="44" t="s">
        <v>1518</v>
      </c>
      <c r="Q310" s="45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</row>
    <row r="311">
      <c r="A311" s="41">
        <v>308.0</v>
      </c>
      <c r="B311" s="41" t="s">
        <v>1796</v>
      </c>
      <c r="C311" s="42">
        <f t="array" ref="C311">INDEX(SkillBoxes!A310:D886,MATCH(E311,SkillBoxes!A310:A886,0),2)</f>
        <v>17</v>
      </c>
      <c r="D311" s="42" t="str">
        <f t="array" ref="D311">INDEX(SkillBoxes!A310:D886,MATCH(E311,SkillBoxes!A310:A886,0),3)</f>
        <v>Dark Knight</v>
      </c>
      <c r="E311" s="42">
        <v>308.0</v>
      </c>
      <c r="F311" s="42" t="str">
        <f t="array" ref="F311">INDEX(SkillBoxes!A310:D886,MATCH(E311,SkillBoxes!A310:A886,0),4)</f>
        <v>Dark Mastery II</v>
      </c>
      <c r="G311" s="41">
        <v>10.0</v>
      </c>
      <c r="H311" s="41" t="s">
        <v>160</v>
      </c>
      <c r="I311" s="41" t="s">
        <v>1498</v>
      </c>
      <c r="J311" s="41" t="s">
        <v>1480</v>
      </c>
      <c r="K311" s="41">
        <v>1.35</v>
      </c>
      <c r="L311" s="42"/>
      <c r="M311" s="42"/>
      <c r="N311" s="42"/>
      <c r="O311" s="42"/>
      <c r="P311" s="41" t="s">
        <v>1518</v>
      </c>
      <c r="Q311" s="42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</row>
    <row r="312">
      <c r="A312" s="44">
        <v>309.0</v>
      </c>
      <c r="B312" s="44" t="s">
        <v>1797</v>
      </c>
      <c r="C312" s="45">
        <f t="array" ref="C312">INDEX(SkillBoxes!A311:D887,MATCH(E312,SkillBoxes!A311:A887,0),2)</f>
        <v>17</v>
      </c>
      <c r="D312" s="45" t="str">
        <f t="array" ref="D312">INDEX(SkillBoxes!A311:D887,MATCH(E312,SkillBoxes!A311:A887,0),3)</f>
        <v>Dark Knight</v>
      </c>
      <c r="E312" s="45">
        <v>309.0</v>
      </c>
      <c r="F312" s="45" t="str">
        <f t="array" ref="F312">INDEX(SkillBoxes!A311:D887,MATCH(E312,SkillBoxes!A311:A887,0),4)</f>
        <v>Dark Mastery III</v>
      </c>
      <c r="G312" s="44">
        <v>12.0</v>
      </c>
      <c r="H312" s="44" t="s">
        <v>160</v>
      </c>
      <c r="I312" s="44" t="s">
        <v>1498</v>
      </c>
      <c r="J312" s="44" t="s">
        <v>1480</v>
      </c>
      <c r="K312" s="44">
        <v>1.5</v>
      </c>
      <c r="L312" s="44" t="s">
        <v>410</v>
      </c>
      <c r="M312" s="44">
        <v>2.0</v>
      </c>
      <c r="N312" s="44">
        <v>0.1</v>
      </c>
      <c r="O312" s="44" t="s">
        <v>161</v>
      </c>
      <c r="P312" s="44" t="s">
        <v>1518</v>
      </c>
      <c r="Q312" s="45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</row>
    <row r="313">
      <c r="A313" s="41">
        <v>310.0</v>
      </c>
      <c r="B313" s="41" t="s">
        <v>1798</v>
      </c>
      <c r="C313" s="42">
        <f t="array" ref="C313">INDEX(SkillBoxes!A312:D888,MATCH(E313,SkillBoxes!A312:A888,0),2)</f>
        <v>17</v>
      </c>
      <c r="D313" s="42" t="str">
        <f t="array" ref="D313">INDEX(SkillBoxes!A312:D888,MATCH(E313,SkillBoxes!A312:A888,0),3)</f>
        <v>Dark Knight</v>
      </c>
      <c r="E313" s="42">
        <v>310.0</v>
      </c>
      <c r="F313" s="42" t="str">
        <f t="array" ref="F313">INDEX(SkillBoxes!A312:D888,MATCH(E313,SkillBoxes!A312:A888,0),4)</f>
        <v>Dark Mastery IV</v>
      </c>
      <c r="G313" s="41">
        <v>14.0</v>
      </c>
      <c r="H313" s="41" t="s">
        <v>160</v>
      </c>
      <c r="I313" s="41" t="s">
        <v>1498</v>
      </c>
      <c r="J313" s="41" t="s">
        <v>1480</v>
      </c>
      <c r="K313" s="41">
        <v>1.7</v>
      </c>
      <c r="L313" s="41" t="s">
        <v>410</v>
      </c>
      <c r="M313" s="41">
        <v>3.0</v>
      </c>
      <c r="N313" s="41">
        <v>0.15</v>
      </c>
      <c r="O313" s="41" t="s">
        <v>161</v>
      </c>
      <c r="P313" s="41" t="s">
        <v>1518</v>
      </c>
      <c r="Q313" s="42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</row>
    <row r="314">
      <c r="A314" s="44">
        <v>311.0</v>
      </c>
      <c r="B314" s="44" t="s">
        <v>1799</v>
      </c>
      <c r="C314" s="45">
        <f t="array" ref="C314">INDEX(SkillBoxes!A313:D889,MATCH(E314,SkillBoxes!A313:A889,0),2)</f>
        <v>17</v>
      </c>
      <c r="D314" s="45" t="str">
        <f t="array" ref="D314">INDEX(SkillBoxes!A313:D889,MATCH(E314,SkillBoxes!A313:A889,0),3)</f>
        <v>Dark Knight</v>
      </c>
      <c r="E314" s="45">
        <v>311.0</v>
      </c>
      <c r="F314" s="45" t="str">
        <f t="array" ref="F314">INDEX(SkillBoxes!A313:D889,MATCH(E314,SkillBoxes!A313:A889,0),4)</f>
        <v>Shadow Blade I</v>
      </c>
      <c r="G314" s="44">
        <v>8.0</v>
      </c>
      <c r="H314" s="44" t="s">
        <v>125</v>
      </c>
      <c r="I314" s="44" t="s">
        <v>1479</v>
      </c>
      <c r="J314" s="44" t="s">
        <v>1480</v>
      </c>
      <c r="K314" s="44">
        <v>1.2</v>
      </c>
      <c r="L314" s="45"/>
      <c r="M314" s="45"/>
      <c r="N314" s="45"/>
      <c r="O314" s="45"/>
      <c r="P314" s="44" t="s">
        <v>1518</v>
      </c>
      <c r="Q314" s="45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</row>
    <row r="315">
      <c r="A315" s="41">
        <v>312.0</v>
      </c>
      <c r="B315" s="41" t="s">
        <v>1800</v>
      </c>
      <c r="C315" s="42">
        <f t="array" ref="C315">INDEX(SkillBoxes!A314:D890,MATCH(E315,SkillBoxes!A314:A890,0),2)</f>
        <v>17</v>
      </c>
      <c r="D315" s="42" t="str">
        <f t="array" ref="D315">INDEX(SkillBoxes!A314:D890,MATCH(E315,SkillBoxes!A314:A890,0),3)</f>
        <v>Dark Knight</v>
      </c>
      <c r="E315" s="42">
        <v>312.0</v>
      </c>
      <c r="F315" s="42" t="str">
        <f t="array" ref="F315">INDEX(SkillBoxes!A314:D890,MATCH(E315,SkillBoxes!A314:A890,0),4)</f>
        <v>Shadow Blade II</v>
      </c>
      <c r="G315" s="41">
        <v>10.0</v>
      </c>
      <c r="H315" s="41" t="s">
        <v>125</v>
      </c>
      <c r="I315" s="41" t="s">
        <v>1479</v>
      </c>
      <c r="J315" s="41" t="s">
        <v>1480</v>
      </c>
      <c r="K315" s="41">
        <v>1.35</v>
      </c>
      <c r="L315" s="42"/>
      <c r="M315" s="42"/>
      <c r="N315" s="42"/>
      <c r="O315" s="42"/>
      <c r="P315" s="41" t="s">
        <v>1518</v>
      </c>
      <c r="Q315" s="42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</row>
    <row r="316">
      <c r="A316" s="44">
        <v>313.0</v>
      </c>
      <c r="B316" s="44" t="s">
        <v>1801</v>
      </c>
      <c r="C316" s="45">
        <f t="array" ref="C316">INDEX(SkillBoxes!A315:D891,MATCH(E316,SkillBoxes!A315:A891,0),2)</f>
        <v>17</v>
      </c>
      <c r="D316" s="45" t="str">
        <f t="array" ref="D316">INDEX(SkillBoxes!A315:D891,MATCH(E316,SkillBoxes!A315:A891,0),3)</f>
        <v>Dark Knight</v>
      </c>
      <c r="E316" s="45">
        <v>313.0</v>
      </c>
      <c r="F316" s="45" t="str">
        <f t="array" ref="F316">INDEX(SkillBoxes!A315:D891,MATCH(E316,SkillBoxes!A315:A891,0),4)</f>
        <v>Shadow Blade III</v>
      </c>
      <c r="G316" s="44">
        <v>12.0</v>
      </c>
      <c r="H316" s="44" t="s">
        <v>125</v>
      </c>
      <c r="I316" s="44" t="s">
        <v>1479</v>
      </c>
      <c r="J316" s="44" t="s">
        <v>1480</v>
      </c>
      <c r="K316" s="44">
        <v>1.5</v>
      </c>
      <c r="L316" s="44" t="s">
        <v>1484</v>
      </c>
      <c r="M316" s="44">
        <v>2.0</v>
      </c>
      <c r="N316" s="44">
        <v>-2.0</v>
      </c>
      <c r="O316" s="44" t="s">
        <v>141</v>
      </c>
      <c r="P316" s="44" t="s">
        <v>1518</v>
      </c>
      <c r="Q316" s="45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</row>
    <row r="317">
      <c r="A317" s="41">
        <v>314.0</v>
      </c>
      <c r="B317" s="41" t="s">
        <v>1802</v>
      </c>
      <c r="C317" s="42">
        <f t="array" ref="C317">INDEX(SkillBoxes!A316:D892,MATCH(E317,SkillBoxes!A316:A892,0),2)</f>
        <v>17</v>
      </c>
      <c r="D317" s="42" t="str">
        <f t="array" ref="D317">INDEX(SkillBoxes!A316:D892,MATCH(E317,SkillBoxes!A316:A892,0),3)</f>
        <v>Dark Knight</v>
      </c>
      <c r="E317" s="42">
        <v>314.0</v>
      </c>
      <c r="F317" s="42" t="str">
        <f t="array" ref="F317">INDEX(SkillBoxes!A316:D892,MATCH(E317,SkillBoxes!A316:A892,0),4)</f>
        <v>Shadow Blade IV</v>
      </c>
      <c r="G317" s="41">
        <v>14.0</v>
      </c>
      <c r="H317" s="41" t="s">
        <v>159</v>
      </c>
      <c r="I317" s="41" t="s">
        <v>1479</v>
      </c>
      <c r="J317" s="41" t="s">
        <v>1480</v>
      </c>
      <c r="K317" s="41">
        <v>1.7</v>
      </c>
      <c r="L317" s="41" t="s">
        <v>1484</v>
      </c>
      <c r="M317" s="41">
        <v>3.0</v>
      </c>
      <c r="N317" s="41">
        <v>-3.0</v>
      </c>
      <c r="O317" s="41" t="s">
        <v>141</v>
      </c>
      <c r="P317" s="41" t="s">
        <v>1518</v>
      </c>
      <c r="Q317" s="42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</row>
    <row r="318">
      <c r="A318" s="41">
        <v>315.0</v>
      </c>
      <c r="B318" s="44" t="s">
        <v>1803</v>
      </c>
      <c r="C318" s="45">
        <f t="array" ref="C318">INDEX(SkillBoxes!A317:D893,MATCH(E318,SkillBoxes!A317:A893,0),2)</f>
        <v>17</v>
      </c>
      <c r="D318" s="45" t="str">
        <f t="array" ref="D318">INDEX(SkillBoxes!A317:D893,MATCH(E318,SkillBoxes!A317:A893,0),3)</f>
        <v>Dark Knight</v>
      </c>
      <c r="E318" s="45">
        <v>315.0</v>
      </c>
      <c r="F318" s="45" t="str">
        <f t="array" ref="F318">INDEX(SkillBoxes!A317:D893,MATCH(E318,SkillBoxes!A317:A893,0),4)</f>
        <v>Moon Strike I</v>
      </c>
      <c r="G318" s="44">
        <v>8.0</v>
      </c>
      <c r="H318" s="44" t="s">
        <v>160</v>
      </c>
      <c r="I318" s="44" t="s">
        <v>1498</v>
      </c>
      <c r="J318" s="44" t="s">
        <v>1480</v>
      </c>
      <c r="K318" s="44">
        <v>1.2</v>
      </c>
      <c r="L318" s="45"/>
      <c r="M318" s="45"/>
      <c r="N318" s="45"/>
      <c r="O318" s="45"/>
      <c r="P318" s="44" t="s">
        <v>1518</v>
      </c>
      <c r="Q318" s="45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</row>
    <row r="319">
      <c r="A319" s="44">
        <v>316.0</v>
      </c>
      <c r="B319" s="41" t="s">
        <v>1804</v>
      </c>
      <c r="C319" s="42">
        <f t="array" ref="C319">INDEX(SkillBoxes!A318:D894,MATCH(E319,SkillBoxes!A318:A894,0),2)</f>
        <v>17</v>
      </c>
      <c r="D319" s="42" t="str">
        <f t="array" ref="D319">INDEX(SkillBoxes!A318:D894,MATCH(E319,SkillBoxes!A318:A894,0),3)</f>
        <v>Dark Knight</v>
      </c>
      <c r="E319" s="42">
        <v>316.0</v>
      </c>
      <c r="F319" s="42" t="str">
        <f t="array" ref="F319">INDEX(SkillBoxes!A318:D894,MATCH(E319,SkillBoxes!A318:A894,0),4)</f>
        <v>Moon Strike II</v>
      </c>
      <c r="G319" s="41">
        <v>10.0</v>
      </c>
      <c r="H319" s="41" t="s">
        <v>160</v>
      </c>
      <c r="I319" s="41" t="s">
        <v>1498</v>
      </c>
      <c r="J319" s="41" t="s">
        <v>1480</v>
      </c>
      <c r="K319" s="41">
        <v>1.3</v>
      </c>
      <c r="L319" s="42"/>
      <c r="M319" s="42"/>
      <c r="N319" s="42"/>
      <c r="O319" s="42"/>
      <c r="P319" s="41" t="s">
        <v>1518</v>
      </c>
      <c r="Q319" s="42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</row>
    <row r="320">
      <c r="A320" s="41">
        <v>317.0</v>
      </c>
      <c r="B320" s="44" t="s">
        <v>1805</v>
      </c>
      <c r="C320" s="45">
        <f t="array" ref="C320">INDEX(SkillBoxes!A319:D895,MATCH(E320,SkillBoxes!A319:A895,0),2)</f>
        <v>17</v>
      </c>
      <c r="D320" s="45" t="str">
        <f t="array" ref="D320">INDEX(SkillBoxes!A319:D895,MATCH(E320,SkillBoxes!A319:A895,0),3)</f>
        <v>Dark Knight</v>
      </c>
      <c r="E320" s="45">
        <v>317.0</v>
      </c>
      <c r="F320" s="45" t="str">
        <f t="array" ref="F320">INDEX(SkillBoxes!A319:D895,MATCH(E320,SkillBoxes!A319:A895,0),4)</f>
        <v>Moon Strike III</v>
      </c>
      <c r="G320" s="44">
        <v>12.0</v>
      </c>
      <c r="H320" s="44" t="s">
        <v>160</v>
      </c>
      <c r="I320" s="44" t="s">
        <v>1498</v>
      </c>
      <c r="J320" s="44" t="s">
        <v>1480</v>
      </c>
      <c r="K320" s="44">
        <v>1.5</v>
      </c>
      <c r="L320" s="44" t="s">
        <v>410</v>
      </c>
      <c r="M320" s="44">
        <v>2.0</v>
      </c>
      <c r="N320" s="44">
        <v>0.1</v>
      </c>
      <c r="O320" s="44" t="s">
        <v>161</v>
      </c>
      <c r="P320" s="45"/>
      <c r="Q320" s="45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</row>
    <row r="321">
      <c r="A321" s="44">
        <v>318.0</v>
      </c>
      <c r="B321" s="41" t="s">
        <v>1806</v>
      </c>
      <c r="C321" s="42">
        <f t="array" ref="C321">INDEX(SkillBoxes!A320:D896,MATCH(E321,SkillBoxes!A320:A896,0),2)</f>
        <v>17</v>
      </c>
      <c r="D321" s="42" t="str">
        <f t="array" ref="D321">INDEX(SkillBoxes!A320:D896,MATCH(E321,SkillBoxes!A320:A896,0),3)</f>
        <v>Dark Knight</v>
      </c>
      <c r="E321" s="42">
        <v>318.0</v>
      </c>
      <c r="F321" s="42" t="str">
        <f t="array" ref="F321">INDEX(SkillBoxes!A320:D896,MATCH(E321,SkillBoxes!A320:A896,0),4)</f>
        <v>Moon Strike IV</v>
      </c>
      <c r="G321" s="41">
        <v>14.0</v>
      </c>
      <c r="H321" s="41" t="s">
        <v>159</v>
      </c>
      <c r="I321" s="41" t="s">
        <v>1498</v>
      </c>
      <c r="J321" s="41" t="s">
        <v>1491</v>
      </c>
      <c r="K321" s="41">
        <v>1.0</v>
      </c>
      <c r="L321" s="41" t="s">
        <v>410</v>
      </c>
      <c r="M321" s="41">
        <v>3.0</v>
      </c>
      <c r="N321" s="41">
        <v>0.15</v>
      </c>
      <c r="O321" s="41" t="s">
        <v>161</v>
      </c>
      <c r="P321" s="41" t="s">
        <v>1518</v>
      </c>
      <c r="Q321" s="42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</row>
    <row r="322">
      <c r="A322" s="41">
        <v>319.0</v>
      </c>
      <c r="B322" s="44" t="s">
        <v>1807</v>
      </c>
      <c r="C322" s="45">
        <f t="array" ref="C322">INDEX(SkillBoxes!A321:D897,MATCH(E322,SkillBoxes!A321:A897,0),2)</f>
        <v>17</v>
      </c>
      <c r="D322" s="45" t="str">
        <f t="array" ref="D322">INDEX(SkillBoxes!A321:D897,MATCH(E322,SkillBoxes!A321:A897,0),3)</f>
        <v>Dark Knight</v>
      </c>
      <c r="E322" s="45">
        <v>319.0</v>
      </c>
      <c r="F322" s="45" t="str">
        <f t="array" ref="F322">INDEX(SkillBoxes!A321:D897,MATCH(E322,SkillBoxes!A321:A897,0),4)</f>
        <v>Battle Movement I</v>
      </c>
      <c r="G322" s="44">
        <v>7.0</v>
      </c>
      <c r="H322" s="44" t="s">
        <v>125</v>
      </c>
      <c r="I322" s="44" t="s">
        <v>1479</v>
      </c>
      <c r="J322" s="44" t="s">
        <v>1480</v>
      </c>
      <c r="K322" s="44">
        <v>1.2</v>
      </c>
      <c r="L322" s="44" t="s">
        <v>1513</v>
      </c>
      <c r="M322" s="44">
        <v>2.0</v>
      </c>
      <c r="N322" s="44">
        <v>0.1</v>
      </c>
      <c r="O322" s="44" t="s">
        <v>137</v>
      </c>
      <c r="P322" s="45"/>
      <c r="Q322" s="45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</row>
    <row r="323">
      <c r="A323" s="44">
        <v>320.0</v>
      </c>
      <c r="B323" s="41" t="s">
        <v>1808</v>
      </c>
      <c r="C323" s="42">
        <f t="array" ref="C323">INDEX(SkillBoxes!A322:D898,MATCH(E323,SkillBoxes!A322:A898,0),2)</f>
        <v>17</v>
      </c>
      <c r="D323" s="42" t="str">
        <f t="array" ref="D323">INDEX(SkillBoxes!A322:D898,MATCH(E323,SkillBoxes!A322:A898,0),3)</f>
        <v>Dark Knight</v>
      </c>
      <c r="E323" s="42">
        <v>320.0</v>
      </c>
      <c r="F323" s="42" t="str">
        <f t="array" ref="F323">INDEX(SkillBoxes!A322:D898,MATCH(E323,SkillBoxes!A322:A898,0),4)</f>
        <v>Battle Movement II</v>
      </c>
      <c r="G323" s="41">
        <v>9.0</v>
      </c>
      <c r="H323" s="41" t="s">
        <v>125</v>
      </c>
      <c r="I323" s="41" t="s">
        <v>1479</v>
      </c>
      <c r="J323" s="41" t="s">
        <v>1480</v>
      </c>
      <c r="K323" s="41">
        <v>1.3</v>
      </c>
      <c r="L323" s="41" t="s">
        <v>1513</v>
      </c>
      <c r="M323" s="41">
        <v>3.0</v>
      </c>
      <c r="N323" s="41">
        <v>0.15</v>
      </c>
      <c r="O323" s="41" t="s">
        <v>137</v>
      </c>
      <c r="P323" s="42"/>
      <c r="Q323" s="42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</row>
    <row r="324">
      <c r="A324" s="41">
        <v>321.0</v>
      </c>
      <c r="B324" s="44" t="s">
        <v>1809</v>
      </c>
      <c r="C324" s="45">
        <f t="array" ref="C324">INDEX(SkillBoxes!A323:D899,MATCH(E324,SkillBoxes!A323:A899,0),2)</f>
        <v>17</v>
      </c>
      <c r="D324" s="45" t="str">
        <f t="array" ref="D324">INDEX(SkillBoxes!A323:D899,MATCH(E324,SkillBoxes!A323:A899,0),3)</f>
        <v>Dark Knight</v>
      </c>
      <c r="E324" s="45">
        <v>321.0</v>
      </c>
      <c r="F324" s="45" t="str">
        <f t="array" ref="F324">INDEX(SkillBoxes!A323:D899,MATCH(E324,SkillBoxes!A323:A899,0),4)</f>
        <v>Battle Movement III</v>
      </c>
      <c r="G324" s="44">
        <v>11.0</v>
      </c>
      <c r="H324" s="44" t="s">
        <v>125</v>
      </c>
      <c r="I324" s="44" t="s">
        <v>1479</v>
      </c>
      <c r="J324" s="44" t="s">
        <v>1491</v>
      </c>
      <c r="K324" s="44">
        <v>0.9</v>
      </c>
      <c r="L324" s="44" t="s">
        <v>1513</v>
      </c>
      <c r="M324" s="44">
        <v>2.0</v>
      </c>
      <c r="N324" s="44">
        <v>0.15</v>
      </c>
      <c r="O324" s="44" t="s">
        <v>137</v>
      </c>
      <c r="P324" s="44" t="s">
        <v>1518</v>
      </c>
      <c r="Q324" s="45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</row>
    <row r="325">
      <c r="A325" s="41">
        <v>322.0</v>
      </c>
      <c r="B325" s="41" t="s">
        <v>1810</v>
      </c>
      <c r="C325" s="42">
        <f t="array" ref="C325">INDEX(SkillBoxes!A324:D900,MATCH(E325,SkillBoxes!A324:A900,0),2)</f>
        <v>17</v>
      </c>
      <c r="D325" s="42" t="str">
        <f t="array" ref="D325">INDEX(SkillBoxes!A324:D900,MATCH(E325,SkillBoxes!A324:A900,0),3)</f>
        <v>Dark Knight</v>
      </c>
      <c r="E325" s="42">
        <v>322.0</v>
      </c>
      <c r="F325" s="42" t="str">
        <f t="array" ref="F325">INDEX(SkillBoxes!A324:D900,MATCH(E325,SkillBoxes!A324:A900,0),4)</f>
        <v>Battle Movement IV</v>
      </c>
      <c r="G325" s="41">
        <v>13.0</v>
      </c>
      <c r="H325" s="41" t="s">
        <v>159</v>
      </c>
      <c r="I325" s="41" t="s">
        <v>1479</v>
      </c>
      <c r="J325" s="41" t="s">
        <v>1480</v>
      </c>
      <c r="K325" s="41">
        <v>1.5</v>
      </c>
      <c r="L325" s="41" t="s">
        <v>1513</v>
      </c>
      <c r="M325" s="41">
        <v>3.0</v>
      </c>
      <c r="N325" s="41">
        <v>0.2</v>
      </c>
      <c r="O325" s="41" t="s">
        <v>137</v>
      </c>
      <c r="P325" s="41" t="s">
        <v>1518</v>
      </c>
      <c r="Q325" s="42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</row>
    <row r="326">
      <c r="A326" s="44">
        <v>323.0</v>
      </c>
      <c r="B326" s="44" t="s">
        <v>1811</v>
      </c>
      <c r="C326" s="45">
        <f t="array" ref="C326">INDEX(SkillBoxes!A325:D901,MATCH(E326,SkillBoxes!A325:A901,0),2)</f>
        <v>17</v>
      </c>
      <c r="D326" s="45" t="str">
        <f t="array" ref="D326">INDEX(SkillBoxes!A325:D901,MATCH(E326,SkillBoxes!A325:A901,0),3)</f>
        <v>Dark Knight</v>
      </c>
      <c r="E326" s="45">
        <v>323.0</v>
      </c>
      <c r="F326" s="45" t="str">
        <f t="array" ref="F326">INDEX(SkillBoxes!A325:D901,MATCH(E326,SkillBoxes!A325:A901,0),4)</f>
        <v>Master Dark Knight</v>
      </c>
      <c r="G326" s="44">
        <v>20.0</v>
      </c>
      <c r="H326" s="44" t="s">
        <v>159</v>
      </c>
      <c r="I326" s="44" t="s">
        <v>1498</v>
      </c>
      <c r="J326" s="44" t="s">
        <v>1491</v>
      </c>
      <c r="K326" s="44">
        <v>1.2</v>
      </c>
      <c r="L326" s="44" t="s">
        <v>410</v>
      </c>
      <c r="M326" s="44">
        <v>4.0</v>
      </c>
      <c r="N326" s="44">
        <v>0.2</v>
      </c>
      <c r="O326" s="44" t="s">
        <v>161</v>
      </c>
      <c r="P326" s="44" t="s">
        <v>1518</v>
      </c>
      <c r="Q326" s="45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</row>
    <row r="327">
      <c r="A327" s="41">
        <v>324.0</v>
      </c>
      <c r="B327" s="41" t="s">
        <v>1812</v>
      </c>
      <c r="C327" s="42">
        <f t="array" ref="C327">INDEX(SkillBoxes!A326:D902,MATCH(E327,SkillBoxes!A326:A902,0),2)</f>
        <v>18</v>
      </c>
      <c r="D327" s="42" t="str">
        <f t="array" ref="D327">INDEX(SkillBoxes!A326:D902,MATCH(E327,SkillBoxes!A326:A902,0),3)</f>
        <v>Wave Knight</v>
      </c>
      <c r="E327" s="42">
        <v>324.0</v>
      </c>
      <c r="F327" s="42" t="str">
        <f t="array" ref="F327">INDEX(SkillBoxes!A326:D902,MATCH(E327,SkillBoxes!A326:A902,0),4)</f>
        <v>Novice Wave Knight</v>
      </c>
      <c r="G327" s="41">
        <v>8.0</v>
      </c>
      <c r="H327" s="41" t="s">
        <v>160</v>
      </c>
      <c r="I327" s="41" t="s">
        <v>1498</v>
      </c>
      <c r="J327" s="41" t="s">
        <v>1480</v>
      </c>
      <c r="K327" s="41">
        <v>1.1</v>
      </c>
      <c r="L327" s="42"/>
      <c r="M327" s="42"/>
      <c r="N327" s="42"/>
      <c r="O327" s="42"/>
      <c r="P327" s="41" t="s">
        <v>41</v>
      </c>
      <c r="Q327" s="42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</row>
    <row r="328">
      <c r="A328" s="44">
        <v>325.0</v>
      </c>
      <c r="B328" s="44" t="s">
        <v>1813</v>
      </c>
      <c r="C328" s="45">
        <f t="array" ref="C328">INDEX(SkillBoxes!A327:D903,MATCH(E328,SkillBoxes!A327:A903,0),2)</f>
        <v>18</v>
      </c>
      <c r="D328" s="45" t="str">
        <f t="array" ref="D328">INDEX(SkillBoxes!A327:D903,MATCH(E328,SkillBoxes!A327:A903,0),3)</f>
        <v>Wave Knight</v>
      </c>
      <c r="E328" s="45">
        <v>325.0</v>
      </c>
      <c r="F328" s="45" t="str">
        <f t="array" ref="F328">INDEX(SkillBoxes!A327:D903,MATCH(E328,SkillBoxes!A327:A903,0),4)</f>
        <v>Light Mastery I</v>
      </c>
      <c r="G328" s="44">
        <v>8.0</v>
      </c>
      <c r="H328" s="44" t="s">
        <v>160</v>
      </c>
      <c r="I328" s="44" t="s">
        <v>1498</v>
      </c>
      <c r="J328" s="44" t="s">
        <v>1480</v>
      </c>
      <c r="K328" s="44">
        <v>1.2</v>
      </c>
      <c r="L328" s="45"/>
      <c r="M328" s="45"/>
      <c r="N328" s="45"/>
      <c r="O328" s="45"/>
      <c r="P328" s="44" t="s">
        <v>41</v>
      </c>
      <c r="Q328" s="45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</row>
    <row r="329">
      <c r="A329" s="41">
        <v>326.0</v>
      </c>
      <c r="B329" s="41" t="s">
        <v>1814</v>
      </c>
      <c r="C329" s="42">
        <f t="array" ref="C329">INDEX(SkillBoxes!A328:D904,MATCH(E329,SkillBoxes!A328:A904,0),2)</f>
        <v>18</v>
      </c>
      <c r="D329" s="42" t="str">
        <f t="array" ref="D329">INDEX(SkillBoxes!A328:D904,MATCH(E329,SkillBoxes!A328:A904,0),3)</f>
        <v>Wave Knight</v>
      </c>
      <c r="E329" s="42">
        <v>326.0</v>
      </c>
      <c r="F329" s="42" t="str">
        <f t="array" ref="F329">INDEX(SkillBoxes!A328:D904,MATCH(E329,SkillBoxes!A328:A904,0),4)</f>
        <v>Light Mastery II</v>
      </c>
      <c r="G329" s="41">
        <v>10.0</v>
      </c>
      <c r="H329" s="41" t="s">
        <v>160</v>
      </c>
      <c r="I329" s="41" t="s">
        <v>1498</v>
      </c>
      <c r="J329" s="41" t="s">
        <v>1480</v>
      </c>
      <c r="K329" s="41">
        <v>1.35</v>
      </c>
      <c r="L329" s="42"/>
      <c r="M329" s="42"/>
      <c r="N329" s="42"/>
      <c r="O329" s="42"/>
      <c r="P329" s="41" t="s">
        <v>41</v>
      </c>
      <c r="Q329" s="42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</row>
    <row r="330">
      <c r="A330" s="44">
        <v>327.0</v>
      </c>
      <c r="B330" s="44" t="s">
        <v>1815</v>
      </c>
      <c r="C330" s="45">
        <f t="array" ref="C330">INDEX(SkillBoxes!A329:D905,MATCH(E330,SkillBoxes!A329:A905,0),2)</f>
        <v>18</v>
      </c>
      <c r="D330" s="45" t="str">
        <f t="array" ref="D330">INDEX(SkillBoxes!A329:D905,MATCH(E330,SkillBoxes!A329:A905,0),3)</f>
        <v>Wave Knight</v>
      </c>
      <c r="E330" s="45">
        <v>327.0</v>
      </c>
      <c r="F330" s="45" t="str">
        <f t="array" ref="F330">INDEX(SkillBoxes!A329:D905,MATCH(E330,SkillBoxes!A329:A905,0),4)</f>
        <v>Light Mastery III</v>
      </c>
      <c r="G330" s="44">
        <v>12.0</v>
      </c>
      <c r="H330" s="44" t="s">
        <v>160</v>
      </c>
      <c r="I330" s="44" t="s">
        <v>1498</v>
      </c>
      <c r="J330" s="44" t="s">
        <v>1480</v>
      </c>
      <c r="K330" s="44">
        <v>1.5</v>
      </c>
      <c r="L330" s="44" t="s">
        <v>410</v>
      </c>
      <c r="M330" s="44">
        <v>2.0</v>
      </c>
      <c r="N330" s="44">
        <v>0.1</v>
      </c>
      <c r="O330" s="44" t="s">
        <v>161</v>
      </c>
      <c r="P330" s="44" t="s">
        <v>41</v>
      </c>
      <c r="Q330" s="45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</row>
    <row r="331">
      <c r="A331" s="41">
        <v>328.0</v>
      </c>
      <c r="B331" s="41" t="s">
        <v>1816</v>
      </c>
      <c r="C331" s="42">
        <f t="array" ref="C331">INDEX(SkillBoxes!A330:D906,MATCH(E331,SkillBoxes!A330:A906,0),2)</f>
        <v>18</v>
      </c>
      <c r="D331" s="42" t="str">
        <f t="array" ref="D331">INDEX(SkillBoxes!A330:D906,MATCH(E331,SkillBoxes!A330:A906,0),3)</f>
        <v>Wave Knight</v>
      </c>
      <c r="E331" s="42">
        <v>328.0</v>
      </c>
      <c r="F331" s="42" t="str">
        <f t="array" ref="F331">INDEX(SkillBoxes!A330:D906,MATCH(E331,SkillBoxes!A330:A906,0),4)</f>
        <v>Light Mastery IV</v>
      </c>
      <c r="G331" s="41">
        <v>14.0</v>
      </c>
      <c r="H331" s="41" t="s">
        <v>160</v>
      </c>
      <c r="I331" s="41" t="s">
        <v>1498</v>
      </c>
      <c r="J331" s="41" t="s">
        <v>1480</v>
      </c>
      <c r="K331" s="41">
        <v>1.7</v>
      </c>
      <c r="L331" s="41" t="s">
        <v>410</v>
      </c>
      <c r="M331" s="41">
        <v>3.0</v>
      </c>
      <c r="N331" s="41">
        <v>0.15</v>
      </c>
      <c r="O331" s="41" t="s">
        <v>161</v>
      </c>
      <c r="P331" s="41" t="s">
        <v>41</v>
      </c>
      <c r="Q331" s="42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</row>
    <row r="332">
      <c r="A332" s="41">
        <v>329.0</v>
      </c>
      <c r="B332" s="44" t="s">
        <v>1817</v>
      </c>
      <c r="C332" s="45">
        <f t="array" ref="C332">INDEX(SkillBoxes!A331:D907,MATCH(E332,SkillBoxes!A331:A907,0),2)</f>
        <v>18</v>
      </c>
      <c r="D332" s="45" t="str">
        <f t="array" ref="D332">INDEX(SkillBoxes!A331:D907,MATCH(E332,SkillBoxes!A331:A907,0),3)</f>
        <v>Wave Knight</v>
      </c>
      <c r="E332" s="45">
        <v>329.0</v>
      </c>
      <c r="F332" s="45" t="str">
        <f t="array" ref="F332">INDEX(SkillBoxes!A331:D907,MATCH(E332,SkillBoxes!A331:A907,0),4)</f>
        <v>Jian Techniques I</v>
      </c>
      <c r="G332" s="44">
        <v>8.0</v>
      </c>
      <c r="H332" s="44" t="s">
        <v>125</v>
      </c>
      <c r="I332" s="44" t="s">
        <v>1479</v>
      </c>
      <c r="J332" s="44" t="s">
        <v>1480</v>
      </c>
      <c r="K332" s="44">
        <v>1.1</v>
      </c>
      <c r="L332" s="44" t="s">
        <v>1496</v>
      </c>
      <c r="M332" s="44">
        <v>1.0</v>
      </c>
      <c r="N332" s="45"/>
      <c r="O332" s="45"/>
      <c r="P332" s="45"/>
      <c r="Q332" s="45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</row>
    <row r="333">
      <c r="A333" s="44">
        <v>330.0</v>
      </c>
      <c r="B333" s="41" t="s">
        <v>1818</v>
      </c>
      <c r="C333" s="42">
        <f t="array" ref="C333">INDEX(SkillBoxes!A332:D908,MATCH(E333,SkillBoxes!A332:A908,0),2)</f>
        <v>18</v>
      </c>
      <c r="D333" s="42" t="str">
        <f t="array" ref="D333">INDEX(SkillBoxes!A332:D908,MATCH(E333,SkillBoxes!A332:A908,0),3)</f>
        <v>Wave Knight</v>
      </c>
      <c r="E333" s="42">
        <v>330.0</v>
      </c>
      <c r="F333" s="42" t="str">
        <f t="array" ref="F333">INDEX(SkillBoxes!A332:D908,MATCH(E333,SkillBoxes!A332:A908,0),4)</f>
        <v>Jian Techniques II</v>
      </c>
      <c r="G333" s="41">
        <v>10.0</v>
      </c>
      <c r="H333" s="41" t="s">
        <v>125</v>
      </c>
      <c r="I333" s="41" t="s">
        <v>1479</v>
      </c>
      <c r="J333" s="41" t="s">
        <v>1480</v>
      </c>
      <c r="K333" s="41">
        <v>1.2</v>
      </c>
      <c r="L333" s="41" t="s">
        <v>1496</v>
      </c>
      <c r="M333" s="41">
        <v>2.0</v>
      </c>
      <c r="N333" s="42"/>
      <c r="O333" s="42"/>
      <c r="P333" s="42"/>
      <c r="Q333" s="42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</row>
    <row r="334">
      <c r="A334" s="41">
        <v>331.0</v>
      </c>
      <c r="B334" s="44" t="s">
        <v>1819</v>
      </c>
      <c r="C334" s="45">
        <f t="array" ref="C334">INDEX(SkillBoxes!A333:D909,MATCH(E334,SkillBoxes!A333:A909,0),2)</f>
        <v>18</v>
      </c>
      <c r="D334" s="45" t="str">
        <f t="array" ref="D334">INDEX(SkillBoxes!A333:D909,MATCH(E334,SkillBoxes!A333:A909,0),3)</f>
        <v>Wave Knight</v>
      </c>
      <c r="E334" s="45">
        <v>331.0</v>
      </c>
      <c r="F334" s="45" t="str">
        <f t="array" ref="F334">INDEX(SkillBoxes!A333:D909,MATCH(E334,SkillBoxes!A333:A909,0),4)</f>
        <v>Jian Techniques III</v>
      </c>
      <c r="G334" s="44">
        <v>12.0</v>
      </c>
      <c r="H334" s="44" t="s">
        <v>125</v>
      </c>
      <c r="I334" s="44" t="s">
        <v>1479</v>
      </c>
      <c r="J334" s="44" t="s">
        <v>1480</v>
      </c>
      <c r="K334" s="44">
        <v>1.4</v>
      </c>
      <c r="L334" s="44" t="s">
        <v>1513</v>
      </c>
      <c r="M334" s="44">
        <v>2.0</v>
      </c>
      <c r="N334" s="44">
        <v>0.1</v>
      </c>
      <c r="O334" s="44" t="s">
        <v>145</v>
      </c>
      <c r="P334" s="45"/>
      <c r="Q334" s="45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</row>
    <row r="335">
      <c r="A335" s="44">
        <v>332.0</v>
      </c>
      <c r="B335" s="41" t="s">
        <v>1820</v>
      </c>
      <c r="C335" s="42">
        <f t="array" ref="C335">INDEX(SkillBoxes!A334:D910,MATCH(E335,SkillBoxes!A334:A910,0),2)</f>
        <v>18</v>
      </c>
      <c r="D335" s="42" t="str">
        <f t="array" ref="D335">INDEX(SkillBoxes!A334:D910,MATCH(E335,SkillBoxes!A334:A910,0),3)</f>
        <v>Wave Knight</v>
      </c>
      <c r="E335" s="42">
        <v>332.0</v>
      </c>
      <c r="F335" s="42" t="str">
        <f t="array" ref="F335">INDEX(SkillBoxes!A334:D910,MATCH(E335,SkillBoxes!A334:A910,0),4)</f>
        <v>Jian Techniques IV</v>
      </c>
      <c r="G335" s="41">
        <v>14.0</v>
      </c>
      <c r="H335" s="41" t="s">
        <v>159</v>
      </c>
      <c r="I335" s="41" t="s">
        <v>1479</v>
      </c>
      <c r="J335" s="41" t="s">
        <v>1480</v>
      </c>
      <c r="K335" s="41">
        <v>1.6</v>
      </c>
      <c r="L335" s="41" t="s">
        <v>1513</v>
      </c>
      <c r="M335" s="41">
        <v>3.0</v>
      </c>
      <c r="N335" s="41">
        <v>0.15</v>
      </c>
      <c r="O335" s="41" t="s">
        <v>145</v>
      </c>
      <c r="P335" s="41" t="s">
        <v>41</v>
      </c>
      <c r="Q335" s="42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</row>
    <row r="336">
      <c r="A336" s="41">
        <v>333.0</v>
      </c>
      <c r="B336" s="44" t="s">
        <v>1821</v>
      </c>
      <c r="C336" s="45">
        <f t="array" ref="C336">INDEX(SkillBoxes!A335:D911,MATCH(E336,SkillBoxes!A335:A911,0),2)</f>
        <v>18</v>
      </c>
      <c r="D336" s="45" t="str">
        <f t="array" ref="D336">INDEX(SkillBoxes!A335:D911,MATCH(E336,SkillBoxes!A335:A911,0),3)</f>
        <v>Wave Knight</v>
      </c>
      <c r="E336" s="45">
        <v>333.0</v>
      </c>
      <c r="F336" s="45" t="str">
        <f t="array" ref="F336">INDEX(SkillBoxes!A335:D911,MATCH(E336,SkillBoxes!A335:A911,0),4)</f>
        <v>Elemental Strike I</v>
      </c>
      <c r="G336" s="44">
        <v>8.0</v>
      </c>
      <c r="H336" s="44" t="s">
        <v>160</v>
      </c>
      <c r="I336" s="44" t="s">
        <v>1498</v>
      </c>
      <c r="J336" s="44" t="s">
        <v>1480</v>
      </c>
      <c r="K336" s="44">
        <v>1.2</v>
      </c>
      <c r="L336" s="45"/>
      <c r="M336" s="45"/>
      <c r="N336" s="45"/>
      <c r="O336" s="45"/>
      <c r="P336" s="44" t="s">
        <v>1534</v>
      </c>
      <c r="Q336" s="45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</row>
    <row r="337">
      <c r="A337" s="44">
        <v>334.0</v>
      </c>
      <c r="B337" s="41" t="s">
        <v>1822</v>
      </c>
      <c r="C337" s="42">
        <f t="array" ref="C337">INDEX(SkillBoxes!A336:D912,MATCH(E337,SkillBoxes!A336:A912,0),2)</f>
        <v>18</v>
      </c>
      <c r="D337" s="42" t="str">
        <f t="array" ref="D337">INDEX(SkillBoxes!A336:D912,MATCH(E337,SkillBoxes!A336:A912,0),3)</f>
        <v>Wave Knight</v>
      </c>
      <c r="E337" s="42">
        <v>334.0</v>
      </c>
      <c r="F337" s="42" t="str">
        <f t="array" ref="F337">INDEX(SkillBoxes!A336:D912,MATCH(E337,SkillBoxes!A336:A912,0),4)</f>
        <v>Elemental Strike II</v>
      </c>
      <c r="G337" s="41">
        <v>10.0</v>
      </c>
      <c r="H337" s="41" t="s">
        <v>160</v>
      </c>
      <c r="I337" s="41" t="s">
        <v>1498</v>
      </c>
      <c r="J337" s="41" t="s">
        <v>1480</v>
      </c>
      <c r="K337" s="41">
        <v>1.3</v>
      </c>
      <c r="L337" s="42"/>
      <c r="M337" s="42"/>
      <c r="N337" s="42"/>
      <c r="O337" s="42"/>
      <c r="P337" s="41" t="s">
        <v>1536</v>
      </c>
      <c r="Q337" s="42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</row>
    <row r="338">
      <c r="A338" s="41">
        <v>335.0</v>
      </c>
      <c r="B338" s="44" t="s">
        <v>1823</v>
      </c>
      <c r="C338" s="45">
        <f t="array" ref="C338">INDEX(SkillBoxes!A337:D913,MATCH(E338,SkillBoxes!A337:A913,0),2)</f>
        <v>18</v>
      </c>
      <c r="D338" s="45" t="str">
        <f t="array" ref="D338">INDEX(SkillBoxes!A337:D913,MATCH(E338,SkillBoxes!A337:A913,0),3)</f>
        <v>Wave Knight</v>
      </c>
      <c r="E338" s="45">
        <v>335.0</v>
      </c>
      <c r="F338" s="45" t="str">
        <f t="array" ref="F338">INDEX(SkillBoxes!A337:D913,MATCH(E338,SkillBoxes!A337:A913,0),4)</f>
        <v>Elemental Strike III</v>
      </c>
      <c r="G338" s="44">
        <v>12.0</v>
      </c>
      <c r="H338" s="44" t="s">
        <v>160</v>
      </c>
      <c r="I338" s="44" t="s">
        <v>1498</v>
      </c>
      <c r="J338" s="44" t="s">
        <v>1480</v>
      </c>
      <c r="K338" s="44">
        <v>1.4</v>
      </c>
      <c r="L338" s="44" t="s">
        <v>410</v>
      </c>
      <c r="M338" s="44">
        <v>2.0</v>
      </c>
      <c r="N338" s="44">
        <v>0.1</v>
      </c>
      <c r="O338" s="44" t="s">
        <v>161</v>
      </c>
      <c r="P338" s="45"/>
      <c r="Q338" s="45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</row>
    <row r="339">
      <c r="A339" s="41">
        <v>336.0</v>
      </c>
      <c r="B339" s="41" t="s">
        <v>1824</v>
      </c>
      <c r="C339" s="42">
        <f t="array" ref="C339">INDEX(SkillBoxes!A338:D914,MATCH(E339,SkillBoxes!A338:A914,0),2)</f>
        <v>18</v>
      </c>
      <c r="D339" s="42" t="str">
        <f t="array" ref="D339">INDEX(SkillBoxes!A338:D914,MATCH(E339,SkillBoxes!A338:A914,0),3)</f>
        <v>Wave Knight</v>
      </c>
      <c r="E339" s="42">
        <v>336.0</v>
      </c>
      <c r="F339" s="42" t="str">
        <f t="array" ref="F339">INDEX(SkillBoxes!A338:D914,MATCH(E339,SkillBoxes!A338:A914,0),4)</f>
        <v>Elemental Strike IV</v>
      </c>
      <c r="G339" s="41">
        <v>14.0</v>
      </c>
      <c r="H339" s="41" t="s">
        <v>159</v>
      </c>
      <c r="I339" s="41" t="s">
        <v>1498</v>
      </c>
      <c r="J339" s="41" t="s">
        <v>1491</v>
      </c>
      <c r="K339" s="41">
        <v>1.0</v>
      </c>
      <c r="L339" s="41" t="s">
        <v>410</v>
      </c>
      <c r="M339" s="41">
        <v>3.0</v>
      </c>
      <c r="N339" s="41">
        <v>0.15</v>
      </c>
      <c r="O339" s="41" t="s">
        <v>161</v>
      </c>
      <c r="P339" s="42"/>
      <c r="Q339" s="42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</row>
    <row r="340">
      <c r="A340" s="44">
        <v>337.0</v>
      </c>
      <c r="B340" s="44" t="s">
        <v>1825</v>
      </c>
      <c r="C340" s="45">
        <f t="array" ref="C340">INDEX(SkillBoxes!A339:D915,MATCH(E340,SkillBoxes!A339:A915,0),2)</f>
        <v>18</v>
      </c>
      <c r="D340" s="45" t="str">
        <f t="array" ref="D340">INDEX(SkillBoxes!A339:D915,MATCH(E340,SkillBoxes!A339:A915,0),3)</f>
        <v>Wave Knight</v>
      </c>
      <c r="E340" s="45">
        <v>337.0</v>
      </c>
      <c r="F340" s="45" t="str">
        <f t="array" ref="F340">INDEX(SkillBoxes!A339:D915,MATCH(E340,SkillBoxes!A339:A915,0),4)</f>
        <v>Controlled Movement I</v>
      </c>
      <c r="G340" s="44">
        <v>7.0</v>
      </c>
      <c r="H340" s="44" t="s">
        <v>125</v>
      </c>
      <c r="I340" s="44" t="s">
        <v>1479</v>
      </c>
      <c r="J340" s="44" t="s">
        <v>1480</v>
      </c>
      <c r="K340" s="44">
        <v>1.2</v>
      </c>
      <c r="L340" s="44" t="s">
        <v>1513</v>
      </c>
      <c r="M340" s="44">
        <v>1.0</v>
      </c>
      <c r="N340" s="44">
        <v>0.1</v>
      </c>
      <c r="O340" s="44" t="s">
        <v>137</v>
      </c>
      <c r="P340" s="45"/>
      <c r="Q340" s="45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</row>
    <row r="341">
      <c r="A341" s="41">
        <v>338.0</v>
      </c>
      <c r="B341" s="41" t="s">
        <v>1826</v>
      </c>
      <c r="C341" s="42">
        <f t="array" ref="C341">INDEX(SkillBoxes!A340:D916,MATCH(E341,SkillBoxes!A340:A916,0),2)</f>
        <v>18</v>
      </c>
      <c r="D341" s="42" t="str">
        <f t="array" ref="D341">INDEX(SkillBoxes!A340:D916,MATCH(E341,SkillBoxes!A340:A916,0),3)</f>
        <v>Wave Knight</v>
      </c>
      <c r="E341" s="42">
        <v>338.0</v>
      </c>
      <c r="F341" s="42" t="str">
        <f t="array" ref="F341">INDEX(SkillBoxes!A340:D916,MATCH(E341,SkillBoxes!A340:A916,0),4)</f>
        <v>Controlled Movement II</v>
      </c>
      <c r="G341" s="41">
        <v>9.0</v>
      </c>
      <c r="H341" s="41" t="s">
        <v>125</v>
      </c>
      <c r="I341" s="41" t="s">
        <v>1479</v>
      </c>
      <c r="J341" s="41" t="s">
        <v>1480</v>
      </c>
      <c r="K341" s="41">
        <v>1.3</v>
      </c>
      <c r="L341" s="41" t="s">
        <v>1513</v>
      </c>
      <c r="M341" s="41">
        <v>2.0</v>
      </c>
      <c r="N341" s="41">
        <v>0.15</v>
      </c>
      <c r="O341" s="41" t="s">
        <v>137</v>
      </c>
      <c r="P341" s="42"/>
      <c r="Q341" s="42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</row>
    <row r="342">
      <c r="A342" s="44">
        <v>339.0</v>
      </c>
      <c r="B342" s="44" t="s">
        <v>1827</v>
      </c>
      <c r="C342" s="45">
        <f t="array" ref="C342">INDEX(SkillBoxes!A341:D917,MATCH(E342,SkillBoxes!A341:A917,0),2)</f>
        <v>18</v>
      </c>
      <c r="D342" s="45" t="str">
        <f t="array" ref="D342">INDEX(SkillBoxes!A341:D917,MATCH(E342,SkillBoxes!A341:A917,0),3)</f>
        <v>Wave Knight</v>
      </c>
      <c r="E342" s="45">
        <v>339.0</v>
      </c>
      <c r="F342" s="45" t="str">
        <f t="array" ref="F342">INDEX(SkillBoxes!A341:D917,MATCH(E342,SkillBoxes!A341:A917,0),4)</f>
        <v>Controlled Movement III</v>
      </c>
      <c r="G342" s="44">
        <v>11.0</v>
      </c>
      <c r="H342" s="44" t="s">
        <v>125</v>
      </c>
      <c r="I342" s="44" t="s">
        <v>1479</v>
      </c>
      <c r="J342" s="44" t="s">
        <v>1491</v>
      </c>
      <c r="K342" s="44">
        <v>0.9</v>
      </c>
      <c r="L342" s="44" t="s">
        <v>1513</v>
      </c>
      <c r="M342" s="44">
        <v>2.0</v>
      </c>
      <c r="N342" s="44">
        <v>0.1</v>
      </c>
      <c r="O342" s="44" t="s">
        <v>137</v>
      </c>
      <c r="P342" s="45"/>
      <c r="Q342" s="45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</row>
    <row r="343">
      <c r="A343" s="41">
        <v>340.0</v>
      </c>
      <c r="B343" s="41" t="s">
        <v>1828</v>
      </c>
      <c r="C343" s="42">
        <f t="array" ref="C343">INDEX(SkillBoxes!A342:D918,MATCH(E343,SkillBoxes!A342:A918,0),2)</f>
        <v>18</v>
      </c>
      <c r="D343" s="42" t="str">
        <f t="array" ref="D343">INDEX(SkillBoxes!A342:D918,MATCH(E343,SkillBoxes!A342:A918,0),3)</f>
        <v>Wave Knight</v>
      </c>
      <c r="E343" s="42">
        <v>340.0</v>
      </c>
      <c r="F343" s="42" t="str">
        <f t="array" ref="F343">INDEX(SkillBoxes!A342:D918,MATCH(E343,SkillBoxes!A342:A918,0),4)</f>
        <v>Controlled Movement IV</v>
      </c>
      <c r="G343" s="41">
        <v>13.0</v>
      </c>
      <c r="H343" s="41" t="s">
        <v>159</v>
      </c>
      <c r="I343" s="41" t="s">
        <v>1479</v>
      </c>
      <c r="J343" s="41" t="s">
        <v>1495</v>
      </c>
      <c r="K343" s="41">
        <v>0.0</v>
      </c>
      <c r="L343" s="41" t="s">
        <v>1513</v>
      </c>
      <c r="M343" s="41">
        <v>4.0</v>
      </c>
      <c r="N343" s="41">
        <v>0.25</v>
      </c>
      <c r="O343" s="41" t="s">
        <v>137</v>
      </c>
      <c r="P343" s="41" t="s">
        <v>41</v>
      </c>
      <c r="Q343" s="42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</row>
    <row r="344">
      <c r="A344" s="44">
        <v>341.0</v>
      </c>
      <c r="B344" s="44" t="s">
        <v>1829</v>
      </c>
      <c r="C344" s="45">
        <f t="array" ref="C344">INDEX(SkillBoxes!A343:D919,MATCH(E344,SkillBoxes!A343:A919,0),2)</f>
        <v>18</v>
      </c>
      <c r="D344" s="45" t="str">
        <f t="array" ref="D344">INDEX(SkillBoxes!A343:D919,MATCH(E344,SkillBoxes!A343:A919,0),3)</f>
        <v>Wave Knight</v>
      </c>
      <c r="E344" s="45">
        <v>341.0</v>
      </c>
      <c r="F344" s="45" t="str">
        <f t="array" ref="F344">INDEX(SkillBoxes!A343:D919,MATCH(E344,SkillBoxes!A343:A919,0),4)</f>
        <v>Master Wave Knight</v>
      </c>
      <c r="G344" s="44">
        <v>20.0</v>
      </c>
      <c r="H344" s="44" t="s">
        <v>159</v>
      </c>
      <c r="I344" s="44" t="s">
        <v>1498</v>
      </c>
      <c r="J344" s="44" t="s">
        <v>1491</v>
      </c>
      <c r="K344" s="44">
        <v>1.2</v>
      </c>
      <c r="L344" s="44" t="s">
        <v>410</v>
      </c>
      <c r="M344" s="44">
        <v>4.0</v>
      </c>
      <c r="N344" s="44">
        <v>0.2</v>
      </c>
      <c r="O344" s="44" t="s">
        <v>161</v>
      </c>
      <c r="P344" s="44" t="s">
        <v>41</v>
      </c>
      <c r="Q344" s="45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</row>
    <row r="345">
      <c r="A345" s="41">
        <v>342.0</v>
      </c>
      <c r="B345" s="41" t="s">
        <v>1830</v>
      </c>
      <c r="C345" s="42">
        <f t="array" ref="C345">INDEX(SkillBoxes!A344:D920,MATCH(E345,SkillBoxes!A344:A920,0),2)</f>
        <v>19</v>
      </c>
      <c r="D345" s="42" t="str">
        <f t="array" ref="D345">INDEX(SkillBoxes!A344:D920,MATCH(E345,SkillBoxes!A344:A920,0),3)</f>
        <v>Heavy Hunter</v>
      </c>
      <c r="E345" s="42">
        <v>342.0</v>
      </c>
      <c r="F345" s="42" t="str">
        <f t="array" ref="F345">INDEX(SkillBoxes!A344:D920,MATCH(E345,SkillBoxes!A344:A920,0),4)</f>
        <v>Novice Heavy Hunter</v>
      </c>
      <c r="G345" s="41">
        <v>8.0</v>
      </c>
      <c r="H345" s="41" t="s">
        <v>125</v>
      </c>
      <c r="I345" s="41" t="s">
        <v>1479</v>
      </c>
      <c r="J345" s="41" t="s">
        <v>1480</v>
      </c>
      <c r="K345" s="41">
        <v>1.1</v>
      </c>
      <c r="L345" s="42"/>
      <c r="M345" s="42"/>
      <c r="N345" s="42"/>
      <c r="O345" s="42"/>
      <c r="P345" s="42"/>
      <c r="Q345" s="42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</row>
    <row r="346">
      <c r="A346" s="41">
        <v>343.0</v>
      </c>
      <c r="B346" s="44" t="s">
        <v>1831</v>
      </c>
      <c r="C346" s="45">
        <f t="array" ref="C346">INDEX(SkillBoxes!A345:D921,MATCH(E346,SkillBoxes!A345:A921,0),2)</f>
        <v>19</v>
      </c>
      <c r="D346" s="45" t="str">
        <f t="array" ref="D346">INDEX(SkillBoxes!A345:D921,MATCH(E346,SkillBoxes!A345:A921,0),3)</f>
        <v>Heavy Hunter</v>
      </c>
      <c r="E346" s="45">
        <v>343.0</v>
      </c>
      <c r="F346" s="45" t="str">
        <f t="array" ref="F346">INDEX(SkillBoxes!A345:D921,MATCH(E346,SkillBoxes!A345:A921,0),4)</f>
        <v>Powerful Draw I</v>
      </c>
      <c r="G346" s="44">
        <v>8.0</v>
      </c>
      <c r="H346" s="44" t="s">
        <v>125</v>
      </c>
      <c r="I346" s="44" t="s">
        <v>1479</v>
      </c>
      <c r="J346" s="44" t="s">
        <v>1480</v>
      </c>
      <c r="K346" s="44">
        <v>1.3</v>
      </c>
      <c r="L346" s="45"/>
      <c r="M346" s="45"/>
      <c r="N346" s="45"/>
      <c r="O346" s="45"/>
      <c r="P346" s="45"/>
      <c r="Q346" s="45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</row>
    <row r="347">
      <c r="A347" s="44">
        <v>344.0</v>
      </c>
      <c r="B347" s="41" t="s">
        <v>1832</v>
      </c>
      <c r="C347" s="42">
        <f t="array" ref="C347">INDEX(SkillBoxes!A346:D922,MATCH(E347,SkillBoxes!A346:A922,0),2)</f>
        <v>19</v>
      </c>
      <c r="D347" s="42" t="str">
        <f t="array" ref="D347">INDEX(SkillBoxes!A346:D922,MATCH(E347,SkillBoxes!A346:A922,0),3)</f>
        <v>Heavy Hunter</v>
      </c>
      <c r="E347" s="42">
        <v>344.0</v>
      </c>
      <c r="F347" s="42" t="str">
        <f t="array" ref="F347">INDEX(SkillBoxes!A346:D922,MATCH(E347,SkillBoxes!A346:A922,0),4)</f>
        <v>Powerful Draw II</v>
      </c>
      <c r="G347" s="41">
        <v>10.0</v>
      </c>
      <c r="H347" s="41" t="s">
        <v>125</v>
      </c>
      <c r="I347" s="41" t="s">
        <v>1479</v>
      </c>
      <c r="J347" s="41" t="s">
        <v>1480</v>
      </c>
      <c r="K347" s="41">
        <v>1.5</v>
      </c>
      <c r="L347" s="42"/>
      <c r="M347" s="42"/>
      <c r="N347" s="42"/>
      <c r="O347" s="42"/>
      <c r="P347" s="42"/>
      <c r="Q347" s="42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</row>
    <row r="348">
      <c r="A348" s="41">
        <v>345.0</v>
      </c>
      <c r="B348" s="44" t="s">
        <v>1833</v>
      </c>
      <c r="C348" s="45">
        <f t="array" ref="C348">INDEX(SkillBoxes!A347:D923,MATCH(E348,SkillBoxes!A347:A923,0),2)</f>
        <v>19</v>
      </c>
      <c r="D348" s="45" t="str">
        <f t="array" ref="D348">INDEX(SkillBoxes!A347:D923,MATCH(E348,SkillBoxes!A347:A923,0),3)</f>
        <v>Heavy Hunter</v>
      </c>
      <c r="E348" s="45">
        <v>345.0</v>
      </c>
      <c r="F348" s="45" t="str">
        <f t="array" ref="F348">INDEX(SkillBoxes!A347:D923,MATCH(E348,SkillBoxes!A347:A923,0),4)</f>
        <v>Powerful Draw III</v>
      </c>
      <c r="G348" s="44">
        <v>12.0</v>
      </c>
      <c r="H348" s="44" t="s">
        <v>125</v>
      </c>
      <c r="I348" s="44" t="s">
        <v>1479</v>
      </c>
      <c r="J348" s="44" t="s">
        <v>1480</v>
      </c>
      <c r="K348" s="44">
        <v>1.7</v>
      </c>
      <c r="L348" s="44" t="s">
        <v>1489</v>
      </c>
      <c r="M348" s="44">
        <v>1.0</v>
      </c>
      <c r="N348" s="45"/>
      <c r="O348" s="45"/>
      <c r="P348" s="45"/>
      <c r="Q348" s="45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</row>
    <row r="349">
      <c r="A349" s="44">
        <v>346.0</v>
      </c>
      <c r="B349" s="41" t="s">
        <v>1834</v>
      </c>
      <c r="C349" s="42">
        <f t="array" ref="C349">INDEX(SkillBoxes!A348:D924,MATCH(E349,SkillBoxes!A348:A924,0),2)</f>
        <v>19</v>
      </c>
      <c r="D349" s="42" t="str">
        <f t="array" ref="D349">INDEX(SkillBoxes!A348:D924,MATCH(E349,SkillBoxes!A348:A924,0),3)</f>
        <v>Heavy Hunter</v>
      </c>
      <c r="E349" s="42">
        <v>346.0</v>
      </c>
      <c r="F349" s="42" t="str">
        <f t="array" ref="F349">INDEX(SkillBoxes!A348:D924,MATCH(E349,SkillBoxes!A348:A924,0),4)</f>
        <v>Powerful Draw IV</v>
      </c>
      <c r="G349" s="41">
        <v>14.0</v>
      </c>
      <c r="H349" s="41" t="s">
        <v>159</v>
      </c>
      <c r="I349" s="41" t="s">
        <v>1479</v>
      </c>
      <c r="J349" s="41" t="s">
        <v>1480</v>
      </c>
      <c r="K349" s="41">
        <v>2.0</v>
      </c>
      <c r="L349" s="41" t="s">
        <v>1489</v>
      </c>
      <c r="M349" s="41">
        <v>2.0</v>
      </c>
      <c r="N349" s="42"/>
      <c r="O349" s="42"/>
      <c r="P349" s="42"/>
      <c r="Q349" s="42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</row>
    <row r="350">
      <c r="A350" s="41">
        <v>347.0</v>
      </c>
      <c r="B350" s="44" t="s">
        <v>1835</v>
      </c>
      <c r="C350" s="45">
        <f t="array" ref="C350">INDEX(SkillBoxes!A349:D925,MATCH(E350,SkillBoxes!A349:A925,0),2)</f>
        <v>19</v>
      </c>
      <c r="D350" s="45" t="str">
        <f t="array" ref="D350">INDEX(SkillBoxes!A349:D925,MATCH(E350,SkillBoxes!A349:A925,0),3)</f>
        <v>Heavy Hunter</v>
      </c>
      <c r="E350" s="45">
        <v>347.0</v>
      </c>
      <c r="F350" s="45" t="str">
        <f t="array" ref="F350">INDEX(SkillBoxes!A349:D925,MATCH(E350,SkillBoxes!A349:A925,0),4)</f>
        <v>Careful Shot I</v>
      </c>
      <c r="G350" s="44">
        <v>7.0</v>
      </c>
      <c r="H350" s="44" t="s">
        <v>125</v>
      </c>
      <c r="I350" s="44" t="s">
        <v>1479</v>
      </c>
      <c r="J350" s="44" t="s">
        <v>1480</v>
      </c>
      <c r="K350" s="44">
        <v>1.3</v>
      </c>
      <c r="L350" s="44" t="s">
        <v>1513</v>
      </c>
      <c r="M350" s="44">
        <v>1.0</v>
      </c>
      <c r="N350" s="44">
        <v>0.1</v>
      </c>
      <c r="O350" s="44" t="s">
        <v>145</v>
      </c>
      <c r="P350" s="45"/>
      <c r="Q350" s="45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</row>
    <row r="351">
      <c r="A351" s="44">
        <v>348.0</v>
      </c>
      <c r="B351" s="41" t="s">
        <v>1836</v>
      </c>
      <c r="C351" s="42">
        <f t="array" ref="C351">INDEX(SkillBoxes!A350:D926,MATCH(E351,SkillBoxes!A350:A926,0),2)</f>
        <v>19</v>
      </c>
      <c r="D351" s="42" t="str">
        <f t="array" ref="D351">INDEX(SkillBoxes!A350:D926,MATCH(E351,SkillBoxes!A350:A926,0),3)</f>
        <v>Heavy Hunter</v>
      </c>
      <c r="E351" s="42">
        <v>348.0</v>
      </c>
      <c r="F351" s="42" t="str">
        <f t="array" ref="F351">INDEX(SkillBoxes!A350:D926,MATCH(E351,SkillBoxes!A350:A926,0),4)</f>
        <v>Careful Shot II</v>
      </c>
      <c r="G351" s="41">
        <v>9.0</v>
      </c>
      <c r="H351" s="41" t="s">
        <v>125</v>
      </c>
      <c r="I351" s="41" t="s">
        <v>1479</v>
      </c>
      <c r="J351" s="41" t="s">
        <v>1480</v>
      </c>
      <c r="K351" s="41">
        <v>1.4</v>
      </c>
      <c r="L351" s="41" t="s">
        <v>1513</v>
      </c>
      <c r="M351" s="41">
        <v>2.0</v>
      </c>
      <c r="N351" s="41">
        <v>0.15</v>
      </c>
      <c r="O351" s="41" t="s">
        <v>145</v>
      </c>
      <c r="P351" s="42"/>
      <c r="Q351" s="42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</row>
    <row r="352">
      <c r="A352" s="41">
        <v>349.0</v>
      </c>
      <c r="B352" s="44" t="s">
        <v>1837</v>
      </c>
      <c r="C352" s="45">
        <f t="array" ref="C352">INDEX(SkillBoxes!A351:D927,MATCH(E352,SkillBoxes!A351:A927,0),2)</f>
        <v>19</v>
      </c>
      <c r="D352" s="45" t="str">
        <f t="array" ref="D352">INDEX(SkillBoxes!A351:D927,MATCH(E352,SkillBoxes!A351:A927,0),3)</f>
        <v>Heavy Hunter</v>
      </c>
      <c r="E352" s="45">
        <v>349.0</v>
      </c>
      <c r="F352" s="45" t="str">
        <f t="array" ref="F352">INDEX(SkillBoxes!A351:D927,MATCH(E352,SkillBoxes!A351:A927,0),4)</f>
        <v>Careful Shot III</v>
      </c>
      <c r="G352" s="44">
        <v>11.0</v>
      </c>
      <c r="H352" s="44" t="s">
        <v>125</v>
      </c>
      <c r="I352" s="44" t="s">
        <v>1479</v>
      </c>
      <c r="J352" s="44" t="s">
        <v>1480</v>
      </c>
      <c r="K352" s="44">
        <v>1.6</v>
      </c>
      <c r="L352" s="44" t="s">
        <v>410</v>
      </c>
      <c r="M352" s="44">
        <v>2.0</v>
      </c>
      <c r="N352" s="44">
        <v>0.1</v>
      </c>
      <c r="O352" s="44" t="s">
        <v>133</v>
      </c>
      <c r="P352" s="45"/>
      <c r="Q352" s="45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</row>
    <row r="353">
      <c r="A353" s="41">
        <v>350.0</v>
      </c>
      <c r="B353" s="41" t="s">
        <v>1838</v>
      </c>
      <c r="C353" s="42">
        <f t="array" ref="C353">INDEX(SkillBoxes!A352:D928,MATCH(E353,SkillBoxes!A352:A928,0),2)</f>
        <v>19</v>
      </c>
      <c r="D353" s="42" t="str">
        <f t="array" ref="D353">INDEX(SkillBoxes!A352:D928,MATCH(E353,SkillBoxes!A352:A928,0),3)</f>
        <v>Heavy Hunter</v>
      </c>
      <c r="E353" s="42">
        <v>350.0</v>
      </c>
      <c r="F353" s="42" t="str">
        <f t="array" ref="F353">INDEX(SkillBoxes!A352:D928,MATCH(E353,SkillBoxes!A352:A928,0),4)</f>
        <v>Careful Shot IV</v>
      </c>
      <c r="G353" s="41">
        <v>13.0</v>
      </c>
      <c r="H353" s="41" t="s">
        <v>159</v>
      </c>
      <c r="I353" s="41" t="s">
        <v>1479</v>
      </c>
      <c r="J353" s="41" t="s">
        <v>1480</v>
      </c>
      <c r="K353" s="41">
        <v>1.9</v>
      </c>
      <c r="L353" s="41" t="s">
        <v>1484</v>
      </c>
      <c r="M353" s="41">
        <v>3.0</v>
      </c>
      <c r="N353" s="41">
        <v>-3.0</v>
      </c>
      <c r="O353" s="41" t="s">
        <v>141</v>
      </c>
      <c r="P353" s="42"/>
      <c r="Q353" s="42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</row>
    <row r="354">
      <c r="A354" s="44">
        <v>351.0</v>
      </c>
      <c r="B354" s="44" t="s">
        <v>1839</v>
      </c>
      <c r="C354" s="45">
        <f t="array" ref="C354">INDEX(SkillBoxes!A353:D929,MATCH(E354,SkillBoxes!A353:A929,0),2)</f>
        <v>19</v>
      </c>
      <c r="D354" s="45" t="str">
        <f t="array" ref="D354">INDEX(SkillBoxes!A353:D929,MATCH(E354,SkillBoxes!A353:A929,0),3)</f>
        <v>Heavy Hunter</v>
      </c>
      <c r="E354" s="45">
        <v>351.0</v>
      </c>
      <c r="F354" s="45" t="str">
        <f t="array" ref="F354">INDEX(SkillBoxes!A353:D929,MATCH(E354,SkillBoxes!A353:A929,0),4)</f>
        <v>Flurry I</v>
      </c>
      <c r="G354" s="44">
        <v>8.0</v>
      </c>
      <c r="H354" s="44" t="s">
        <v>125</v>
      </c>
      <c r="I354" s="44" t="s">
        <v>1479</v>
      </c>
      <c r="J354" s="44" t="s">
        <v>1491</v>
      </c>
      <c r="K354" s="44">
        <v>0.8</v>
      </c>
      <c r="L354" s="45"/>
      <c r="M354" s="45"/>
      <c r="N354" s="45"/>
      <c r="O354" s="45"/>
      <c r="P354" s="45"/>
      <c r="Q354" s="45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</row>
    <row r="355">
      <c r="A355" s="41">
        <v>352.0</v>
      </c>
      <c r="B355" s="41" t="s">
        <v>1840</v>
      </c>
      <c r="C355" s="42">
        <f t="array" ref="C355">INDEX(SkillBoxes!A354:D930,MATCH(E355,SkillBoxes!A354:A930,0),2)</f>
        <v>19</v>
      </c>
      <c r="D355" s="42" t="str">
        <f t="array" ref="D355">INDEX(SkillBoxes!A354:D930,MATCH(E355,SkillBoxes!A354:A930,0),3)</f>
        <v>Heavy Hunter</v>
      </c>
      <c r="E355" s="42">
        <v>352.0</v>
      </c>
      <c r="F355" s="42" t="str">
        <f t="array" ref="F355">INDEX(SkillBoxes!A354:D930,MATCH(E355,SkillBoxes!A354:A930,0),4)</f>
        <v>Flurry II</v>
      </c>
      <c r="G355" s="41">
        <v>10.0</v>
      </c>
      <c r="H355" s="41" t="s">
        <v>125</v>
      </c>
      <c r="I355" s="41" t="s">
        <v>1479</v>
      </c>
      <c r="J355" s="41" t="s">
        <v>1491</v>
      </c>
      <c r="K355" s="41">
        <v>0.9</v>
      </c>
      <c r="L355" s="42"/>
      <c r="M355" s="42"/>
      <c r="N355" s="42"/>
      <c r="O355" s="42"/>
      <c r="P355" s="42"/>
      <c r="Q355" s="42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</row>
    <row r="356">
      <c r="A356" s="44">
        <v>353.0</v>
      </c>
      <c r="B356" s="44" t="s">
        <v>1841</v>
      </c>
      <c r="C356" s="45">
        <f t="array" ref="C356">INDEX(SkillBoxes!A355:D931,MATCH(E356,SkillBoxes!A355:A931,0),2)</f>
        <v>19</v>
      </c>
      <c r="D356" s="45" t="str">
        <f t="array" ref="D356">INDEX(SkillBoxes!A355:D931,MATCH(E356,SkillBoxes!A355:A931,0),3)</f>
        <v>Heavy Hunter</v>
      </c>
      <c r="E356" s="45">
        <v>353.0</v>
      </c>
      <c r="F356" s="45" t="str">
        <f t="array" ref="F356">INDEX(SkillBoxes!A355:D931,MATCH(E356,SkillBoxes!A355:A931,0),4)</f>
        <v>Flurry III</v>
      </c>
      <c r="G356" s="44">
        <v>12.0</v>
      </c>
      <c r="H356" s="44" t="s">
        <v>125</v>
      </c>
      <c r="I356" s="44" t="s">
        <v>1479</v>
      </c>
      <c r="J356" s="44" t="s">
        <v>1491</v>
      </c>
      <c r="K356" s="44">
        <v>1.0</v>
      </c>
      <c r="L356" s="44" t="s">
        <v>1484</v>
      </c>
      <c r="M356" s="44">
        <v>1.0</v>
      </c>
      <c r="N356" s="44">
        <v>-1.0</v>
      </c>
      <c r="O356" s="44" t="s">
        <v>141</v>
      </c>
      <c r="P356" s="45"/>
      <c r="Q356" s="45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</row>
    <row r="357">
      <c r="A357" s="41">
        <v>354.0</v>
      </c>
      <c r="B357" s="41" t="s">
        <v>1842</v>
      </c>
      <c r="C357" s="42">
        <f t="array" ref="C357">INDEX(SkillBoxes!A356:D932,MATCH(E357,SkillBoxes!A356:A932,0),2)</f>
        <v>19</v>
      </c>
      <c r="D357" s="42" t="str">
        <f t="array" ref="D357">INDEX(SkillBoxes!A356:D932,MATCH(E357,SkillBoxes!A356:A932,0),3)</f>
        <v>Heavy Hunter</v>
      </c>
      <c r="E357" s="42">
        <v>354.0</v>
      </c>
      <c r="F357" s="42" t="str">
        <f t="array" ref="F357">INDEX(SkillBoxes!A356:D932,MATCH(E357,SkillBoxes!A356:A932,0),4)</f>
        <v>Flurry IV</v>
      </c>
      <c r="G357" s="41">
        <v>14.0</v>
      </c>
      <c r="H357" s="41" t="s">
        <v>159</v>
      </c>
      <c r="I357" s="41" t="s">
        <v>1479</v>
      </c>
      <c r="J357" s="41" t="s">
        <v>1491</v>
      </c>
      <c r="K357" s="41">
        <v>1.1</v>
      </c>
      <c r="L357" s="41" t="s">
        <v>1484</v>
      </c>
      <c r="M357" s="41">
        <v>2.0</v>
      </c>
      <c r="N357" s="41">
        <v>-2.0</v>
      </c>
      <c r="O357" s="41" t="s">
        <v>141</v>
      </c>
      <c r="P357" s="42"/>
      <c r="Q357" s="42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</row>
    <row r="358">
      <c r="A358" s="44">
        <v>355.0</v>
      </c>
      <c r="B358" s="44" t="s">
        <v>1843</v>
      </c>
      <c r="C358" s="45">
        <f t="array" ref="C358">INDEX(SkillBoxes!A357:D933,MATCH(E358,SkillBoxes!A357:A933,0),2)</f>
        <v>19</v>
      </c>
      <c r="D358" s="45" t="str">
        <f t="array" ref="D358">INDEX(SkillBoxes!A357:D933,MATCH(E358,SkillBoxes!A357:A933,0),3)</f>
        <v>Heavy Hunter</v>
      </c>
      <c r="E358" s="45">
        <v>355.0</v>
      </c>
      <c r="F358" s="45" t="str">
        <f t="array" ref="F358">INDEX(SkillBoxes!A357:D933,MATCH(E358,SkillBoxes!A357:A933,0),4)</f>
        <v>Bow Handling I</v>
      </c>
      <c r="G358" s="44">
        <v>7.0</v>
      </c>
      <c r="H358" s="44" t="s">
        <v>125</v>
      </c>
      <c r="I358" s="44" t="s">
        <v>1479</v>
      </c>
      <c r="J358" s="44" t="s">
        <v>1480</v>
      </c>
      <c r="K358" s="44">
        <v>1.2</v>
      </c>
      <c r="L358" s="45"/>
      <c r="M358" s="45"/>
      <c r="N358" s="45"/>
      <c r="O358" s="45"/>
      <c r="P358" s="45"/>
      <c r="Q358" s="45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</row>
    <row r="359">
      <c r="A359" s="41">
        <v>356.0</v>
      </c>
      <c r="B359" s="41" t="s">
        <v>1844</v>
      </c>
      <c r="C359" s="42">
        <f t="array" ref="C359">INDEX(SkillBoxes!A358:D934,MATCH(E359,SkillBoxes!A358:A934,0),2)</f>
        <v>19</v>
      </c>
      <c r="D359" s="42" t="str">
        <f t="array" ref="D359">INDEX(SkillBoxes!A358:D934,MATCH(E359,SkillBoxes!A358:A934,0),3)</f>
        <v>Heavy Hunter</v>
      </c>
      <c r="E359" s="42">
        <v>356.0</v>
      </c>
      <c r="F359" s="42" t="str">
        <f t="array" ref="F359">INDEX(SkillBoxes!A358:D934,MATCH(E359,SkillBoxes!A358:A934,0),4)</f>
        <v>Bow Handling II</v>
      </c>
      <c r="G359" s="41">
        <v>9.0</v>
      </c>
      <c r="H359" s="41" t="s">
        <v>125</v>
      </c>
      <c r="I359" s="41" t="s">
        <v>1479</v>
      </c>
      <c r="J359" s="41" t="s">
        <v>1480</v>
      </c>
      <c r="K359" s="41">
        <v>1.3</v>
      </c>
      <c r="L359" s="42"/>
      <c r="M359" s="42"/>
      <c r="N359" s="42"/>
      <c r="O359" s="42"/>
      <c r="P359" s="42"/>
      <c r="Q359" s="42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</row>
    <row r="360">
      <c r="A360" s="41">
        <v>357.0</v>
      </c>
      <c r="B360" s="44" t="s">
        <v>1845</v>
      </c>
      <c r="C360" s="45">
        <f t="array" ref="C360">INDEX(SkillBoxes!A359:D935,MATCH(E360,SkillBoxes!A359:A935,0),2)</f>
        <v>19</v>
      </c>
      <c r="D360" s="45" t="str">
        <f t="array" ref="D360">INDEX(SkillBoxes!A359:D935,MATCH(E360,SkillBoxes!A359:A935,0),3)</f>
        <v>Heavy Hunter</v>
      </c>
      <c r="E360" s="45">
        <v>357.0</v>
      </c>
      <c r="F360" s="45" t="str">
        <f t="array" ref="F360">INDEX(SkillBoxes!A359:D935,MATCH(E360,SkillBoxes!A359:A935,0),4)</f>
        <v>Bow Handling III</v>
      </c>
      <c r="G360" s="44">
        <v>11.0</v>
      </c>
      <c r="H360" s="44" t="s">
        <v>125</v>
      </c>
      <c r="I360" s="44" t="s">
        <v>1479</v>
      </c>
      <c r="J360" s="44" t="s">
        <v>1480</v>
      </c>
      <c r="K360" s="44">
        <v>1.5</v>
      </c>
      <c r="L360" s="44" t="s">
        <v>1513</v>
      </c>
      <c r="M360" s="44">
        <v>2.0</v>
      </c>
      <c r="N360" s="44">
        <v>0.1</v>
      </c>
      <c r="O360" s="44" t="s">
        <v>129</v>
      </c>
      <c r="P360" s="45"/>
      <c r="Q360" s="45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</row>
    <row r="361">
      <c r="A361" s="44">
        <v>358.0</v>
      </c>
      <c r="B361" s="41" t="s">
        <v>1846</v>
      </c>
      <c r="C361" s="42">
        <f t="array" ref="C361">INDEX(SkillBoxes!A360:D936,MATCH(E361,SkillBoxes!A360:A936,0),2)</f>
        <v>19</v>
      </c>
      <c r="D361" s="42" t="str">
        <f t="array" ref="D361">INDEX(SkillBoxes!A360:D936,MATCH(E361,SkillBoxes!A360:A936,0),3)</f>
        <v>Heavy Hunter</v>
      </c>
      <c r="E361" s="42">
        <v>358.0</v>
      </c>
      <c r="F361" s="42" t="str">
        <f t="array" ref="F361">INDEX(SkillBoxes!A360:D936,MATCH(E361,SkillBoxes!A360:A936,0),4)</f>
        <v>Bow Handling IV</v>
      </c>
      <c r="G361" s="41">
        <v>13.0</v>
      </c>
      <c r="H361" s="41" t="s">
        <v>159</v>
      </c>
      <c r="I361" s="41" t="s">
        <v>1479</v>
      </c>
      <c r="J361" s="41" t="s">
        <v>1480</v>
      </c>
      <c r="K361" s="41">
        <v>1.7</v>
      </c>
      <c r="L361" s="41" t="s">
        <v>1513</v>
      </c>
      <c r="M361" s="41">
        <v>3.0</v>
      </c>
      <c r="N361" s="41">
        <v>0.15</v>
      </c>
      <c r="O361" s="41" t="s">
        <v>129</v>
      </c>
      <c r="P361" s="42"/>
      <c r="Q361" s="42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</row>
    <row r="362">
      <c r="A362" s="41">
        <v>359.0</v>
      </c>
      <c r="B362" s="44" t="s">
        <v>1847</v>
      </c>
      <c r="C362" s="45">
        <f t="array" ref="C362">INDEX(SkillBoxes!A361:D937,MATCH(E362,SkillBoxes!A361:A937,0),2)</f>
        <v>19</v>
      </c>
      <c r="D362" s="45" t="str">
        <f t="array" ref="D362">INDEX(SkillBoxes!A361:D937,MATCH(E362,SkillBoxes!A361:A937,0),3)</f>
        <v>Heavy Hunter</v>
      </c>
      <c r="E362" s="45">
        <v>359.0</v>
      </c>
      <c r="F362" s="45" t="str">
        <f t="array" ref="F362">INDEX(SkillBoxes!A361:D937,MATCH(E362,SkillBoxes!A361:A937,0),4)</f>
        <v>Master Heavy Hunter</v>
      </c>
      <c r="G362" s="44">
        <v>20.0</v>
      </c>
      <c r="H362" s="44" t="s">
        <v>159</v>
      </c>
      <c r="I362" s="44" t="s">
        <v>1479</v>
      </c>
      <c r="J362" s="44" t="s">
        <v>1491</v>
      </c>
      <c r="K362" s="44">
        <v>1.3</v>
      </c>
      <c r="L362" s="44" t="s">
        <v>1484</v>
      </c>
      <c r="M362" s="44">
        <v>4.0</v>
      </c>
      <c r="N362" s="44">
        <v>-4.0</v>
      </c>
      <c r="O362" s="44" t="s">
        <v>141</v>
      </c>
      <c r="P362" s="45"/>
      <c r="Q362" s="45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</row>
    <row r="363">
      <c r="A363" s="44">
        <v>360.0</v>
      </c>
      <c r="B363" s="41" t="s">
        <v>1848</v>
      </c>
      <c r="C363" s="42">
        <f t="array" ref="C363">INDEX(SkillBoxes!A362:D938,MATCH(E363,SkillBoxes!A362:A938,0),2)</f>
        <v>20</v>
      </c>
      <c r="D363" s="42" t="str">
        <f t="array" ref="D363">INDEX(SkillBoxes!A362:D938,MATCH(E363,SkillBoxes!A362:A938,0),3)</f>
        <v>Servo Sniper</v>
      </c>
      <c r="E363" s="42">
        <v>360.0</v>
      </c>
      <c r="F363" s="42" t="str">
        <f t="array" ref="F363">INDEX(SkillBoxes!A362:D938,MATCH(E363,SkillBoxes!A362:A938,0),4)</f>
        <v>Novice Servo Sniper</v>
      </c>
      <c r="G363" s="41">
        <v>8.0</v>
      </c>
      <c r="H363" s="41" t="s">
        <v>125</v>
      </c>
      <c r="I363" s="41" t="s">
        <v>1479</v>
      </c>
      <c r="J363" s="41" t="s">
        <v>1480</v>
      </c>
      <c r="K363" s="41">
        <v>1.2</v>
      </c>
      <c r="L363" s="42"/>
      <c r="M363" s="42"/>
      <c r="N363" s="42"/>
      <c r="O363" s="42"/>
      <c r="P363" s="42"/>
      <c r="Q363" s="42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</row>
    <row r="364">
      <c r="A364" s="41">
        <v>361.0</v>
      </c>
      <c r="B364" s="44" t="s">
        <v>1849</v>
      </c>
      <c r="C364" s="45">
        <f t="array" ref="C364">INDEX(SkillBoxes!A363:D939,MATCH(E364,SkillBoxes!A363:A939,0),2)</f>
        <v>20</v>
      </c>
      <c r="D364" s="45" t="str">
        <f t="array" ref="D364">INDEX(SkillBoxes!A363:D939,MATCH(E364,SkillBoxes!A363:A939,0),3)</f>
        <v>Servo Sniper</v>
      </c>
      <c r="E364" s="45">
        <v>361.0</v>
      </c>
      <c r="F364" s="45" t="str">
        <f t="array" ref="F364">INDEX(SkillBoxes!A363:D939,MATCH(E364,SkillBoxes!A363:A939,0),4)</f>
        <v>Sniping I</v>
      </c>
      <c r="G364" s="44">
        <v>7.0</v>
      </c>
      <c r="H364" s="44" t="s">
        <v>125</v>
      </c>
      <c r="I364" s="44" t="s">
        <v>1479</v>
      </c>
      <c r="J364" s="44" t="s">
        <v>1480</v>
      </c>
      <c r="K364" s="44">
        <v>1.4</v>
      </c>
      <c r="L364" s="45"/>
      <c r="M364" s="45"/>
      <c r="N364" s="45"/>
      <c r="O364" s="45"/>
      <c r="P364" s="45"/>
      <c r="Q364" s="45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</row>
    <row r="365">
      <c r="A365" s="44">
        <v>362.0</v>
      </c>
      <c r="B365" s="41" t="s">
        <v>1850</v>
      </c>
      <c r="C365" s="42">
        <f t="array" ref="C365">INDEX(SkillBoxes!A364:D940,MATCH(E365,SkillBoxes!A364:A940,0),2)</f>
        <v>20</v>
      </c>
      <c r="D365" s="42" t="str">
        <f t="array" ref="D365">INDEX(SkillBoxes!A364:D940,MATCH(E365,SkillBoxes!A364:A940,0),3)</f>
        <v>Servo Sniper</v>
      </c>
      <c r="E365" s="42">
        <v>362.0</v>
      </c>
      <c r="F365" s="42" t="str">
        <f t="array" ref="F365">INDEX(SkillBoxes!A364:D940,MATCH(E365,SkillBoxes!A364:A940,0),4)</f>
        <v>Sniping II</v>
      </c>
      <c r="G365" s="41">
        <v>9.0</v>
      </c>
      <c r="H365" s="41" t="s">
        <v>125</v>
      </c>
      <c r="I365" s="41" t="s">
        <v>1479</v>
      </c>
      <c r="J365" s="41" t="s">
        <v>1480</v>
      </c>
      <c r="K365" s="41">
        <v>1.6</v>
      </c>
      <c r="L365" s="42"/>
      <c r="M365" s="42"/>
      <c r="N365" s="42"/>
      <c r="O365" s="42"/>
      <c r="P365" s="42"/>
      <c r="Q365" s="42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</row>
    <row r="366">
      <c r="A366" s="41">
        <v>363.0</v>
      </c>
      <c r="B366" s="44" t="s">
        <v>1851</v>
      </c>
      <c r="C366" s="45">
        <f t="array" ref="C366">INDEX(SkillBoxes!A365:D941,MATCH(E366,SkillBoxes!A365:A941,0),2)</f>
        <v>20</v>
      </c>
      <c r="D366" s="45" t="str">
        <f t="array" ref="D366">INDEX(SkillBoxes!A365:D941,MATCH(E366,SkillBoxes!A365:A941,0),3)</f>
        <v>Servo Sniper</v>
      </c>
      <c r="E366" s="45">
        <v>363.0</v>
      </c>
      <c r="F366" s="45" t="str">
        <f t="array" ref="F366">INDEX(SkillBoxes!A365:D941,MATCH(E366,SkillBoxes!A365:A941,0),4)</f>
        <v>Sniping III</v>
      </c>
      <c r="G366" s="44">
        <v>11.0</v>
      </c>
      <c r="H366" s="44" t="s">
        <v>125</v>
      </c>
      <c r="I366" s="44" t="s">
        <v>1479</v>
      </c>
      <c r="J366" s="44" t="s">
        <v>1480</v>
      </c>
      <c r="K366" s="44">
        <v>1.8</v>
      </c>
      <c r="L366" s="44" t="s">
        <v>1489</v>
      </c>
      <c r="M366" s="44">
        <v>1.0</v>
      </c>
      <c r="N366" s="45"/>
      <c r="O366" s="45"/>
      <c r="P366" s="45"/>
      <c r="Q366" s="45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</row>
    <row r="367">
      <c r="A367" s="41">
        <v>364.0</v>
      </c>
      <c r="B367" s="41" t="s">
        <v>1852</v>
      </c>
      <c r="C367" s="42">
        <f t="array" ref="C367">INDEX(SkillBoxes!A366:D942,MATCH(E367,SkillBoxes!A366:A942,0),2)</f>
        <v>20</v>
      </c>
      <c r="D367" s="42" t="str">
        <f t="array" ref="D367">INDEX(SkillBoxes!A366:D942,MATCH(E367,SkillBoxes!A366:A942,0),3)</f>
        <v>Servo Sniper</v>
      </c>
      <c r="E367" s="42">
        <v>364.0</v>
      </c>
      <c r="F367" s="42" t="str">
        <f t="array" ref="F367">INDEX(SkillBoxes!A366:D942,MATCH(E367,SkillBoxes!A366:A942,0),4)</f>
        <v>Sniping IV</v>
      </c>
      <c r="G367" s="41">
        <v>13.0</v>
      </c>
      <c r="H367" s="41" t="s">
        <v>159</v>
      </c>
      <c r="I367" s="41" t="s">
        <v>1479</v>
      </c>
      <c r="J367" s="41" t="s">
        <v>1480</v>
      </c>
      <c r="K367" s="41">
        <v>2.2</v>
      </c>
      <c r="L367" s="41" t="s">
        <v>1489</v>
      </c>
      <c r="M367" s="41">
        <v>2.0</v>
      </c>
      <c r="N367" s="42"/>
      <c r="O367" s="42"/>
      <c r="P367" s="42"/>
      <c r="Q367" s="42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</row>
    <row r="368">
      <c r="A368" s="44">
        <v>365.0</v>
      </c>
      <c r="B368" s="44" t="s">
        <v>1853</v>
      </c>
      <c r="C368" s="45">
        <f t="array" ref="C368">INDEX(SkillBoxes!A367:D943,MATCH(E368,SkillBoxes!A367:A943,0),2)</f>
        <v>20</v>
      </c>
      <c r="D368" s="45" t="str">
        <f t="array" ref="D368">INDEX(SkillBoxes!A367:D943,MATCH(E368,SkillBoxes!A367:A943,0),3)</f>
        <v>Servo Sniper</v>
      </c>
      <c r="E368" s="45">
        <v>365.0</v>
      </c>
      <c r="F368" s="45" t="str">
        <f t="array" ref="F368">INDEX(SkillBoxes!A367:D943,MATCH(E368,SkillBoxes!A367:A943,0),4)</f>
        <v>Aimed Shot I</v>
      </c>
      <c r="G368" s="44">
        <v>7.0</v>
      </c>
      <c r="H368" s="44" t="s">
        <v>125</v>
      </c>
      <c r="I368" s="44" t="s">
        <v>1479</v>
      </c>
      <c r="J368" s="44" t="s">
        <v>1480</v>
      </c>
      <c r="K368" s="44">
        <v>1.3</v>
      </c>
      <c r="L368" s="44" t="s">
        <v>1513</v>
      </c>
      <c r="M368" s="44">
        <v>1.0</v>
      </c>
      <c r="N368" s="44">
        <v>0.1</v>
      </c>
      <c r="O368" s="44" t="s">
        <v>145</v>
      </c>
      <c r="P368" s="45"/>
      <c r="Q368" s="45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</row>
    <row r="369">
      <c r="A369" s="41">
        <v>366.0</v>
      </c>
      <c r="B369" s="41" t="s">
        <v>1854</v>
      </c>
      <c r="C369" s="42">
        <f t="array" ref="C369">INDEX(SkillBoxes!A368:D944,MATCH(E369,SkillBoxes!A368:A944,0),2)</f>
        <v>20</v>
      </c>
      <c r="D369" s="42" t="str">
        <f t="array" ref="D369">INDEX(SkillBoxes!A368:D944,MATCH(E369,SkillBoxes!A368:A944,0),3)</f>
        <v>Servo Sniper</v>
      </c>
      <c r="E369" s="42">
        <v>366.0</v>
      </c>
      <c r="F369" s="42" t="str">
        <f t="array" ref="F369">INDEX(SkillBoxes!A368:D944,MATCH(E369,SkillBoxes!A368:A944,0),4)</f>
        <v>Aimed Shot II</v>
      </c>
      <c r="G369" s="41">
        <v>9.0</v>
      </c>
      <c r="H369" s="41" t="s">
        <v>125</v>
      </c>
      <c r="I369" s="41" t="s">
        <v>1479</v>
      </c>
      <c r="J369" s="41" t="s">
        <v>1480</v>
      </c>
      <c r="K369" s="41">
        <v>1.5</v>
      </c>
      <c r="L369" s="41" t="s">
        <v>1513</v>
      </c>
      <c r="M369" s="41">
        <v>2.0</v>
      </c>
      <c r="N369" s="41">
        <v>0.15</v>
      </c>
      <c r="O369" s="41" t="s">
        <v>145</v>
      </c>
      <c r="P369" s="42"/>
      <c r="Q369" s="42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</row>
    <row r="370">
      <c r="A370" s="44">
        <v>367.0</v>
      </c>
      <c r="B370" s="44" t="s">
        <v>1855</v>
      </c>
      <c r="C370" s="45">
        <f t="array" ref="C370">INDEX(SkillBoxes!A369:D945,MATCH(E370,SkillBoxes!A369:A945,0),2)</f>
        <v>20</v>
      </c>
      <c r="D370" s="45" t="str">
        <f t="array" ref="D370">INDEX(SkillBoxes!A369:D945,MATCH(E370,SkillBoxes!A369:A945,0),3)</f>
        <v>Servo Sniper</v>
      </c>
      <c r="E370" s="45">
        <v>367.0</v>
      </c>
      <c r="F370" s="45" t="str">
        <f t="array" ref="F370">INDEX(SkillBoxes!A369:D945,MATCH(E370,SkillBoxes!A369:A945,0),4)</f>
        <v>Aimed Shot III</v>
      </c>
      <c r="G370" s="44">
        <v>11.0</v>
      </c>
      <c r="H370" s="44" t="s">
        <v>125</v>
      </c>
      <c r="I370" s="44" t="s">
        <v>1479</v>
      </c>
      <c r="J370" s="44" t="s">
        <v>1480</v>
      </c>
      <c r="K370" s="44">
        <v>1.7</v>
      </c>
      <c r="L370" s="44" t="s">
        <v>1484</v>
      </c>
      <c r="M370" s="44">
        <v>2.0</v>
      </c>
      <c r="N370" s="44">
        <v>-2.0</v>
      </c>
      <c r="O370" s="44" t="s">
        <v>141</v>
      </c>
      <c r="P370" s="45"/>
      <c r="Q370" s="45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</row>
    <row r="371">
      <c r="A371" s="41">
        <v>368.0</v>
      </c>
      <c r="B371" s="41" t="s">
        <v>1856</v>
      </c>
      <c r="C371" s="42">
        <f t="array" ref="C371">INDEX(SkillBoxes!A370:D946,MATCH(E371,SkillBoxes!A370:A946,0),2)</f>
        <v>20</v>
      </c>
      <c r="D371" s="42" t="str">
        <f t="array" ref="D371">INDEX(SkillBoxes!A370:D946,MATCH(E371,SkillBoxes!A370:A946,0),3)</f>
        <v>Servo Sniper</v>
      </c>
      <c r="E371" s="42">
        <v>368.0</v>
      </c>
      <c r="F371" s="42" t="str">
        <f t="array" ref="F371">INDEX(SkillBoxes!A370:D946,MATCH(E371,SkillBoxes!A370:A946,0),4)</f>
        <v>Aimed Shot IV</v>
      </c>
      <c r="G371" s="41">
        <v>13.0</v>
      </c>
      <c r="H371" s="41" t="s">
        <v>159</v>
      </c>
      <c r="I371" s="41" t="s">
        <v>1479</v>
      </c>
      <c r="J371" s="41" t="s">
        <v>1480</v>
      </c>
      <c r="K371" s="41">
        <v>2.0</v>
      </c>
      <c r="L371" s="41" t="s">
        <v>1489</v>
      </c>
      <c r="M371" s="41">
        <v>3.0</v>
      </c>
      <c r="N371" s="42"/>
      <c r="O371" s="42"/>
      <c r="P371" s="42"/>
      <c r="Q371" s="42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</row>
    <row r="372">
      <c r="A372" s="44">
        <v>369.0</v>
      </c>
      <c r="B372" s="44" t="s">
        <v>1857</v>
      </c>
      <c r="C372" s="45">
        <f t="array" ref="C372">INDEX(SkillBoxes!A371:D947,MATCH(E372,SkillBoxes!A371:A947,0),2)</f>
        <v>20</v>
      </c>
      <c r="D372" s="45" t="str">
        <f t="array" ref="D372">INDEX(SkillBoxes!A371:D947,MATCH(E372,SkillBoxes!A371:A947,0),3)</f>
        <v>Servo Sniper</v>
      </c>
      <c r="E372" s="45">
        <v>369.0</v>
      </c>
      <c r="F372" s="45" t="str">
        <f t="array" ref="F372">INDEX(SkillBoxes!A371:D947,MATCH(E372,SkillBoxes!A371:A947,0),4)</f>
        <v>Counter Sniping I</v>
      </c>
      <c r="G372" s="44">
        <v>7.0</v>
      </c>
      <c r="H372" s="44" t="s">
        <v>125</v>
      </c>
      <c r="I372" s="44" t="s">
        <v>1479</v>
      </c>
      <c r="J372" s="44" t="s">
        <v>1480</v>
      </c>
      <c r="K372" s="44">
        <v>1.2</v>
      </c>
      <c r="L372" s="44" t="s">
        <v>1496</v>
      </c>
      <c r="M372" s="44">
        <v>1.0</v>
      </c>
      <c r="N372" s="45"/>
      <c r="O372" s="45"/>
      <c r="P372" s="45"/>
      <c r="Q372" s="45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</row>
    <row r="373">
      <c r="A373" s="41">
        <v>370.0</v>
      </c>
      <c r="B373" s="41" t="s">
        <v>1858</v>
      </c>
      <c r="C373" s="42">
        <f t="array" ref="C373">INDEX(SkillBoxes!A372:D948,MATCH(E373,SkillBoxes!A372:A948,0),2)</f>
        <v>20</v>
      </c>
      <c r="D373" s="42" t="str">
        <f t="array" ref="D373">INDEX(SkillBoxes!A372:D948,MATCH(E373,SkillBoxes!A372:A948,0),3)</f>
        <v>Servo Sniper</v>
      </c>
      <c r="E373" s="42">
        <v>370.0</v>
      </c>
      <c r="F373" s="42" t="str">
        <f t="array" ref="F373">INDEX(SkillBoxes!A372:D948,MATCH(E373,SkillBoxes!A372:A948,0),4)</f>
        <v>Counter Sniping II</v>
      </c>
      <c r="G373" s="41">
        <v>9.0</v>
      </c>
      <c r="H373" s="41" t="s">
        <v>125</v>
      </c>
      <c r="I373" s="41" t="s">
        <v>1479</v>
      </c>
      <c r="J373" s="41" t="s">
        <v>1480</v>
      </c>
      <c r="K373" s="41">
        <v>1.3</v>
      </c>
      <c r="L373" s="41" t="s">
        <v>1496</v>
      </c>
      <c r="M373" s="41">
        <v>2.0</v>
      </c>
      <c r="N373" s="42"/>
      <c r="O373" s="42"/>
      <c r="P373" s="42"/>
      <c r="Q373" s="42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</row>
    <row r="374">
      <c r="A374" s="41">
        <v>371.0</v>
      </c>
      <c r="B374" s="44" t="s">
        <v>1859</v>
      </c>
      <c r="C374" s="45">
        <f t="array" ref="C374">INDEX(SkillBoxes!A373:D949,MATCH(E374,SkillBoxes!A373:A949,0),2)</f>
        <v>20</v>
      </c>
      <c r="D374" s="45" t="str">
        <f t="array" ref="D374">INDEX(SkillBoxes!A373:D949,MATCH(E374,SkillBoxes!A373:A949,0),3)</f>
        <v>Servo Sniper</v>
      </c>
      <c r="E374" s="45">
        <v>371.0</v>
      </c>
      <c r="F374" s="45" t="str">
        <f t="array" ref="F374">INDEX(SkillBoxes!A373:D949,MATCH(E374,SkillBoxes!A373:A949,0),4)</f>
        <v>Counter Sniping III</v>
      </c>
      <c r="G374" s="44">
        <v>11.0</v>
      </c>
      <c r="H374" s="44" t="s">
        <v>125</v>
      </c>
      <c r="I374" s="44" t="s">
        <v>1479</v>
      </c>
      <c r="J374" s="44" t="s">
        <v>1480</v>
      </c>
      <c r="K374" s="44">
        <v>1.5</v>
      </c>
      <c r="L374" s="44" t="s">
        <v>410</v>
      </c>
      <c r="M374" s="44">
        <v>2.0</v>
      </c>
      <c r="N374" s="44">
        <v>0.1</v>
      </c>
      <c r="O374" s="44" t="s">
        <v>145</v>
      </c>
      <c r="P374" s="45"/>
      <c r="Q374" s="45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</row>
    <row r="375">
      <c r="A375" s="44">
        <v>372.0</v>
      </c>
      <c r="B375" s="41" t="s">
        <v>1860</v>
      </c>
      <c r="C375" s="42">
        <f t="array" ref="C375">INDEX(SkillBoxes!A374:D950,MATCH(E375,SkillBoxes!A374:A950,0),2)</f>
        <v>20</v>
      </c>
      <c r="D375" s="42" t="str">
        <f t="array" ref="D375">INDEX(SkillBoxes!A374:D950,MATCH(E375,SkillBoxes!A374:A950,0),3)</f>
        <v>Servo Sniper</v>
      </c>
      <c r="E375" s="42">
        <v>372.0</v>
      </c>
      <c r="F375" s="42" t="str">
        <f t="array" ref="F375">INDEX(SkillBoxes!A374:D950,MATCH(E375,SkillBoxes!A374:A950,0),4)</f>
        <v>Counter Sniping IV</v>
      </c>
      <c r="G375" s="41">
        <v>13.0</v>
      </c>
      <c r="H375" s="41" t="s">
        <v>159</v>
      </c>
      <c r="I375" s="41" t="s">
        <v>1479</v>
      </c>
      <c r="J375" s="41" t="s">
        <v>1480</v>
      </c>
      <c r="K375" s="41">
        <v>1.8</v>
      </c>
      <c r="L375" s="41" t="s">
        <v>410</v>
      </c>
      <c r="M375" s="41">
        <v>3.0</v>
      </c>
      <c r="N375" s="41">
        <v>0.15</v>
      </c>
      <c r="O375" s="41" t="s">
        <v>145</v>
      </c>
      <c r="P375" s="42"/>
      <c r="Q375" s="42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</row>
    <row r="376">
      <c r="A376" s="41">
        <v>373.0</v>
      </c>
      <c r="B376" s="44" t="s">
        <v>1861</v>
      </c>
      <c r="C376" s="45">
        <f t="array" ref="C376">INDEX(SkillBoxes!A375:D951,MATCH(E376,SkillBoxes!A375:A951,0),2)</f>
        <v>20</v>
      </c>
      <c r="D376" s="45" t="str">
        <f t="array" ref="D376">INDEX(SkillBoxes!A375:D951,MATCH(E376,SkillBoxes!A375:A951,0),3)</f>
        <v>Servo Sniper</v>
      </c>
      <c r="E376" s="45">
        <v>373.0</v>
      </c>
      <c r="F376" s="45" t="str">
        <f t="array" ref="F376">INDEX(SkillBoxes!A375:D951,MATCH(E376,SkillBoxes!A375:A951,0),4)</f>
        <v>Rifle Handling I</v>
      </c>
      <c r="G376" s="44">
        <v>7.0</v>
      </c>
      <c r="H376" s="44" t="s">
        <v>125</v>
      </c>
      <c r="I376" s="44" t="s">
        <v>1479</v>
      </c>
      <c r="J376" s="44" t="s">
        <v>1480</v>
      </c>
      <c r="K376" s="44">
        <v>1.1</v>
      </c>
      <c r="L376" s="45"/>
      <c r="M376" s="45"/>
      <c r="N376" s="45"/>
      <c r="O376" s="45"/>
      <c r="P376" s="45"/>
      <c r="Q376" s="45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</row>
    <row r="377">
      <c r="A377" s="44">
        <v>374.0</v>
      </c>
      <c r="B377" s="41" t="s">
        <v>1862</v>
      </c>
      <c r="C377" s="42">
        <f t="array" ref="C377">INDEX(SkillBoxes!A376:D952,MATCH(E377,SkillBoxes!A376:A952,0),2)</f>
        <v>20</v>
      </c>
      <c r="D377" s="42" t="str">
        <f t="array" ref="D377">INDEX(SkillBoxes!A376:D952,MATCH(E377,SkillBoxes!A376:A952,0),3)</f>
        <v>Servo Sniper</v>
      </c>
      <c r="E377" s="42">
        <v>374.0</v>
      </c>
      <c r="F377" s="42" t="str">
        <f t="array" ref="F377">INDEX(SkillBoxes!A376:D952,MATCH(E377,SkillBoxes!A376:A952,0),4)</f>
        <v>Rifle Handling II</v>
      </c>
      <c r="G377" s="41">
        <v>9.0</v>
      </c>
      <c r="H377" s="41" t="s">
        <v>125</v>
      </c>
      <c r="I377" s="41" t="s">
        <v>1479</v>
      </c>
      <c r="J377" s="41" t="s">
        <v>1480</v>
      </c>
      <c r="K377" s="41">
        <v>1.2</v>
      </c>
      <c r="L377" s="42"/>
      <c r="M377" s="42"/>
      <c r="N377" s="42"/>
      <c r="O377" s="42"/>
      <c r="P377" s="42"/>
      <c r="Q377" s="42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</row>
    <row r="378">
      <c r="A378" s="41">
        <v>375.0</v>
      </c>
      <c r="B378" s="44" t="s">
        <v>1863</v>
      </c>
      <c r="C378" s="45">
        <f t="array" ref="C378">INDEX(SkillBoxes!A377:D953,MATCH(E378,SkillBoxes!A377:A953,0),2)</f>
        <v>20</v>
      </c>
      <c r="D378" s="45" t="str">
        <f t="array" ref="D378">INDEX(SkillBoxes!A377:D953,MATCH(E378,SkillBoxes!A377:A953,0),3)</f>
        <v>Servo Sniper</v>
      </c>
      <c r="E378" s="45">
        <v>375.0</v>
      </c>
      <c r="F378" s="45" t="str">
        <f t="array" ref="F378">INDEX(SkillBoxes!A377:D953,MATCH(E378,SkillBoxes!A377:A953,0),4)</f>
        <v>Rifle Handling III</v>
      </c>
      <c r="G378" s="44">
        <v>11.0</v>
      </c>
      <c r="H378" s="44" t="s">
        <v>125</v>
      </c>
      <c r="I378" s="44" t="s">
        <v>1479</v>
      </c>
      <c r="J378" s="44" t="s">
        <v>1480</v>
      </c>
      <c r="K378" s="44">
        <v>1.4</v>
      </c>
      <c r="L378" s="44" t="s">
        <v>1513</v>
      </c>
      <c r="M378" s="44">
        <v>2.0</v>
      </c>
      <c r="N378" s="44">
        <v>0.1</v>
      </c>
      <c r="O378" s="44" t="s">
        <v>145</v>
      </c>
      <c r="P378" s="45"/>
      <c r="Q378" s="45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</row>
    <row r="379">
      <c r="A379" s="44">
        <v>376.0</v>
      </c>
      <c r="B379" s="41" t="s">
        <v>1864</v>
      </c>
      <c r="C379" s="42">
        <f t="array" ref="C379">INDEX(SkillBoxes!A378:D954,MATCH(E379,SkillBoxes!A378:A954,0),2)</f>
        <v>20</v>
      </c>
      <c r="D379" s="42" t="str">
        <f t="array" ref="D379">INDEX(SkillBoxes!A378:D954,MATCH(E379,SkillBoxes!A378:A954,0),3)</f>
        <v>Servo Sniper</v>
      </c>
      <c r="E379" s="42">
        <v>376.0</v>
      </c>
      <c r="F379" s="42" t="str">
        <f t="array" ref="F379">INDEX(SkillBoxes!A378:D954,MATCH(E379,SkillBoxes!A378:A954,0),4)</f>
        <v>Rifle Handling IV</v>
      </c>
      <c r="G379" s="41">
        <v>13.0</v>
      </c>
      <c r="H379" s="41" t="s">
        <v>159</v>
      </c>
      <c r="I379" s="41" t="s">
        <v>1479</v>
      </c>
      <c r="J379" s="41" t="s">
        <v>1480</v>
      </c>
      <c r="K379" s="41">
        <v>1.6</v>
      </c>
      <c r="L379" s="41" t="s">
        <v>1513</v>
      </c>
      <c r="M379" s="41">
        <v>3.0</v>
      </c>
      <c r="N379" s="41">
        <v>0.15</v>
      </c>
      <c r="O379" s="41" t="s">
        <v>145</v>
      </c>
      <c r="P379" s="42"/>
      <c r="Q379" s="42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</row>
    <row r="380">
      <c r="A380" s="41">
        <v>377.0</v>
      </c>
      <c r="B380" s="44" t="s">
        <v>1865</v>
      </c>
      <c r="C380" s="45">
        <f t="array" ref="C380">INDEX(SkillBoxes!A379:D955,MATCH(E380,SkillBoxes!A379:A955,0),2)</f>
        <v>20</v>
      </c>
      <c r="D380" s="45" t="str">
        <f t="array" ref="D380">INDEX(SkillBoxes!A379:D955,MATCH(E380,SkillBoxes!A379:A955,0),3)</f>
        <v>Servo Sniper</v>
      </c>
      <c r="E380" s="45">
        <v>377.0</v>
      </c>
      <c r="F380" s="45" t="str">
        <f t="array" ref="F380">INDEX(SkillBoxes!A379:D955,MATCH(E380,SkillBoxes!A379:A955,0),4)</f>
        <v>Master Servo Sniper</v>
      </c>
      <c r="G380" s="44">
        <v>20.0</v>
      </c>
      <c r="H380" s="44" t="s">
        <v>159</v>
      </c>
      <c r="I380" s="44" t="s">
        <v>1479</v>
      </c>
      <c r="J380" s="44" t="s">
        <v>1480</v>
      </c>
      <c r="K380" s="44">
        <v>3.0</v>
      </c>
      <c r="L380" s="44" t="s">
        <v>1489</v>
      </c>
      <c r="M380" s="44">
        <v>3.0</v>
      </c>
      <c r="N380" s="45"/>
      <c r="O380" s="45"/>
      <c r="P380" s="45"/>
      <c r="Q380" s="45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</row>
    <row r="381">
      <c r="A381" s="41">
        <v>378.0</v>
      </c>
      <c r="B381" s="41" t="s">
        <v>1866</v>
      </c>
      <c r="C381" s="42">
        <f t="array" ref="C381">INDEX(SkillBoxes!A380:D956,MATCH(E381,SkillBoxes!A380:A956,0),2)</f>
        <v>21</v>
      </c>
      <c r="D381" s="42" t="str">
        <f t="array" ref="D381">INDEX(SkillBoxes!A380:D956,MATCH(E381,SkillBoxes!A380:A956,0),3)</f>
        <v>Steam Gunner</v>
      </c>
      <c r="E381" s="42">
        <v>378.0</v>
      </c>
      <c r="F381" s="42" t="str">
        <f t="array" ref="F381">INDEX(SkillBoxes!A380:D956,MATCH(E381,SkillBoxes!A380:A956,0),4)</f>
        <v>Novice Steam Gunner</v>
      </c>
      <c r="G381" s="41">
        <v>8.0</v>
      </c>
      <c r="H381" s="41" t="s">
        <v>125</v>
      </c>
      <c r="I381" s="41" t="s">
        <v>1479</v>
      </c>
      <c r="J381" s="41" t="s">
        <v>1480</v>
      </c>
      <c r="K381" s="41">
        <v>1.1</v>
      </c>
      <c r="L381" s="42"/>
      <c r="M381" s="42"/>
      <c r="N381" s="42"/>
      <c r="O381" s="42"/>
      <c r="P381" s="42"/>
      <c r="Q381" s="42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</row>
    <row r="382">
      <c r="A382" s="44">
        <v>379.0</v>
      </c>
      <c r="B382" s="44" t="s">
        <v>1867</v>
      </c>
      <c r="C382" s="45">
        <f t="array" ref="C382">INDEX(SkillBoxes!A381:D957,MATCH(E382,SkillBoxes!A381:A957,0),2)</f>
        <v>21</v>
      </c>
      <c r="D382" s="45" t="str">
        <f t="array" ref="D382">INDEX(SkillBoxes!A381:D957,MATCH(E382,SkillBoxes!A381:A957,0),3)</f>
        <v>Steam Gunner</v>
      </c>
      <c r="E382" s="45">
        <v>379.0</v>
      </c>
      <c r="F382" s="45" t="str">
        <f t="array" ref="F382">INDEX(SkillBoxes!A381:D957,MATCH(E382,SkillBoxes!A381:A957,0),4)</f>
        <v>Rifle Accuracy I</v>
      </c>
      <c r="G382" s="44">
        <v>8.0</v>
      </c>
      <c r="H382" s="44" t="s">
        <v>125</v>
      </c>
      <c r="I382" s="44" t="s">
        <v>1479</v>
      </c>
      <c r="J382" s="44" t="s">
        <v>1480</v>
      </c>
      <c r="K382" s="44">
        <v>1.2</v>
      </c>
      <c r="L382" s="44" t="s">
        <v>1513</v>
      </c>
      <c r="M382" s="44">
        <v>1.0</v>
      </c>
      <c r="N382" s="44">
        <v>0.1</v>
      </c>
      <c r="O382" s="44" t="s">
        <v>145</v>
      </c>
      <c r="P382" s="45"/>
      <c r="Q382" s="45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</row>
    <row r="383">
      <c r="A383" s="41">
        <v>380.0</v>
      </c>
      <c r="B383" s="41" t="s">
        <v>1868</v>
      </c>
      <c r="C383" s="42">
        <f t="array" ref="C383">INDEX(SkillBoxes!A382:D958,MATCH(E383,SkillBoxes!A382:A958,0),2)</f>
        <v>21</v>
      </c>
      <c r="D383" s="42" t="str">
        <f t="array" ref="D383">INDEX(SkillBoxes!A382:D958,MATCH(E383,SkillBoxes!A382:A958,0),3)</f>
        <v>Steam Gunner</v>
      </c>
      <c r="E383" s="42">
        <v>380.0</v>
      </c>
      <c r="F383" s="42" t="str">
        <f t="array" ref="F383">INDEX(SkillBoxes!A382:D958,MATCH(E383,SkillBoxes!A382:A958,0),4)</f>
        <v>Rifle Accuracy II</v>
      </c>
      <c r="G383" s="41">
        <v>10.0</v>
      </c>
      <c r="H383" s="41" t="s">
        <v>125</v>
      </c>
      <c r="I383" s="41" t="s">
        <v>1479</v>
      </c>
      <c r="J383" s="41" t="s">
        <v>1480</v>
      </c>
      <c r="K383" s="41">
        <v>1.3</v>
      </c>
      <c r="L383" s="41" t="s">
        <v>1513</v>
      </c>
      <c r="M383" s="41">
        <v>2.0</v>
      </c>
      <c r="N383" s="41">
        <v>0.15</v>
      </c>
      <c r="O383" s="41" t="s">
        <v>145</v>
      </c>
      <c r="P383" s="42"/>
      <c r="Q383" s="42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</row>
    <row r="384">
      <c r="A384" s="44">
        <v>381.0</v>
      </c>
      <c r="B384" s="44" t="s">
        <v>1869</v>
      </c>
      <c r="C384" s="45">
        <f t="array" ref="C384">INDEX(SkillBoxes!A383:D959,MATCH(E384,SkillBoxes!A383:A959,0),2)</f>
        <v>21</v>
      </c>
      <c r="D384" s="45" t="str">
        <f t="array" ref="D384">INDEX(SkillBoxes!A383:D959,MATCH(E384,SkillBoxes!A383:A959,0),3)</f>
        <v>Steam Gunner</v>
      </c>
      <c r="E384" s="45">
        <v>381.0</v>
      </c>
      <c r="F384" s="45" t="str">
        <f t="array" ref="F384">INDEX(SkillBoxes!A383:D959,MATCH(E384,SkillBoxes!A383:A959,0),4)</f>
        <v>Rifle Accuracy III</v>
      </c>
      <c r="G384" s="44">
        <v>12.0</v>
      </c>
      <c r="H384" s="44" t="s">
        <v>125</v>
      </c>
      <c r="I384" s="44" t="s">
        <v>1479</v>
      </c>
      <c r="J384" s="44" t="s">
        <v>1480</v>
      </c>
      <c r="K384" s="44">
        <v>1.5</v>
      </c>
      <c r="L384" s="44" t="s">
        <v>1513</v>
      </c>
      <c r="M384" s="44">
        <v>2.0</v>
      </c>
      <c r="N384" s="44">
        <v>0.15</v>
      </c>
      <c r="O384" s="44" t="s">
        <v>145</v>
      </c>
      <c r="P384" s="45"/>
      <c r="Q384" s="45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</row>
    <row r="385">
      <c r="A385" s="41">
        <v>382.0</v>
      </c>
      <c r="B385" s="41" t="s">
        <v>1870</v>
      </c>
      <c r="C385" s="42">
        <f t="array" ref="C385">INDEX(SkillBoxes!A384:D960,MATCH(E385,SkillBoxes!A384:A960,0),2)</f>
        <v>21</v>
      </c>
      <c r="D385" s="42" t="str">
        <f t="array" ref="D385">INDEX(SkillBoxes!A384:D960,MATCH(E385,SkillBoxes!A384:A960,0),3)</f>
        <v>Steam Gunner</v>
      </c>
      <c r="E385" s="42">
        <v>382.0</v>
      </c>
      <c r="F385" s="42" t="str">
        <f t="array" ref="F385">INDEX(SkillBoxes!A384:D960,MATCH(E385,SkillBoxes!A384:A960,0),4)</f>
        <v>Rifle Accuracy IV</v>
      </c>
      <c r="G385" s="41">
        <v>14.0</v>
      </c>
      <c r="H385" s="41" t="s">
        <v>159</v>
      </c>
      <c r="I385" s="41" t="s">
        <v>1479</v>
      </c>
      <c r="J385" s="41" t="s">
        <v>1480</v>
      </c>
      <c r="K385" s="41">
        <v>1.8</v>
      </c>
      <c r="L385" s="41" t="s">
        <v>1513</v>
      </c>
      <c r="M385" s="41">
        <v>3.0</v>
      </c>
      <c r="N385" s="41">
        <v>0.2</v>
      </c>
      <c r="O385" s="41" t="s">
        <v>145</v>
      </c>
      <c r="P385" s="42"/>
      <c r="Q385" s="42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</row>
    <row r="386">
      <c r="A386" s="44">
        <v>383.0</v>
      </c>
      <c r="B386" s="44" t="s">
        <v>1871</v>
      </c>
      <c r="C386" s="45">
        <f t="array" ref="C386">INDEX(SkillBoxes!A385:D961,MATCH(E386,SkillBoxes!A385:A961,0),2)</f>
        <v>21</v>
      </c>
      <c r="D386" s="45" t="str">
        <f t="array" ref="D386">INDEX(SkillBoxes!A385:D961,MATCH(E386,SkillBoxes!A385:A961,0),3)</f>
        <v>Steam Gunner</v>
      </c>
      <c r="E386" s="45">
        <v>383.0</v>
      </c>
      <c r="F386" s="45" t="str">
        <f t="array" ref="F386">INDEX(SkillBoxes!A385:D961,MATCH(E386,SkillBoxes!A385:A961,0),4)</f>
        <v>Firearm Strike I</v>
      </c>
      <c r="G386" s="44">
        <v>8.0</v>
      </c>
      <c r="H386" s="44" t="s">
        <v>125</v>
      </c>
      <c r="I386" s="44" t="s">
        <v>1479</v>
      </c>
      <c r="J386" s="44" t="s">
        <v>1480</v>
      </c>
      <c r="K386" s="44">
        <v>1.2</v>
      </c>
      <c r="L386" s="44" t="s">
        <v>1489</v>
      </c>
      <c r="M386" s="44">
        <v>1.0</v>
      </c>
      <c r="N386" s="45"/>
      <c r="O386" s="45"/>
      <c r="P386" s="45"/>
      <c r="Q386" s="45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</row>
    <row r="387">
      <c r="A387" s="41">
        <v>384.0</v>
      </c>
      <c r="B387" s="41" t="s">
        <v>1872</v>
      </c>
      <c r="C387" s="42">
        <f t="array" ref="C387">INDEX(SkillBoxes!A386:D962,MATCH(E387,SkillBoxes!A386:A962,0),2)</f>
        <v>21</v>
      </c>
      <c r="D387" s="42" t="str">
        <f t="array" ref="D387">INDEX(SkillBoxes!A386:D962,MATCH(E387,SkillBoxes!A386:A962,0),3)</f>
        <v>Steam Gunner</v>
      </c>
      <c r="E387" s="42">
        <v>384.0</v>
      </c>
      <c r="F387" s="42" t="str">
        <f t="array" ref="F387">INDEX(SkillBoxes!A386:D962,MATCH(E387,SkillBoxes!A386:A962,0),4)</f>
        <v>Firearm Strike II</v>
      </c>
      <c r="G387" s="41">
        <v>10.0</v>
      </c>
      <c r="H387" s="41" t="s">
        <v>125</v>
      </c>
      <c r="I387" s="41" t="s">
        <v>1479</v>
      </c>
      <c r="J387" s="41" t="s">
        <v>1480</v>
      </c>
      <c r="K387" s="41">
        <v>1.35</v>
      </c>
      <c r="L387" s="41" t="s">
        <v>1489</v>
      </c>
      <c r="M387" s="41">
        <v>2.0</v>
      </c>
      <c r="N387" s="42"/>
      <c r="O387" s="42"/>
      <c r="P387" s="42"/>
      <c r="Q387" s="42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</row>
    <row r="388">
      <c r="A388" s="41">
        <v>385.0</v>
      </c>
      <c r="B388" s="44" t="s">
        <v>1873</v>
      </c>
      <c r="C388" s="45">
        <f t="array" ref="C388">INDEX(SkillBoxes!A387:D963,MATCH(E388,SkillBoxes!A387:A963,0),2)</f>
        <v>21</v>
      </c>
      <c r="D388" s="45" t="str">
        <f t="array" ref="D388">INDEX(SkillBoxes!A387:D963,MATCH(E388,SkillBoxes!A387:A963,0),3)</f>
        <v>Steam Gunner</v>
      </c>
      <c r="E388" s="45">
        <v>385.0</v>
      </c>
      <c r="F388" s="45" t="str">
        <f t="array" ref="F388">INDEX(SkillBoxes!A387:D963,MATCH(E388,SkillBoxes!A387:A963,0),4)</f>
        <v>Firearm Strike III</v>
      </c>
      <c r="G388" s="44">
        <v>12.0</v>
      </c>
      <c r="H388" s="44" t="s">
        <v>125</v>
      </c>
      <c r="I388" s="44" t="s">
        <v>1479</v>
      </c>
      <c r="J388" s="44" t="s">
        <v>1480</v>
      </c>
      <c r="K388" s="44">
        <v>1.5</v>
      </c>
      <c r="L388" s="44" t="s">
        <v>1489</v>
      </c>
      <c r="M388" s="44">
        <v>2.0</v>
      </c>
      <c r="N388" s="45"/>
      <c r="O388" s="45"/>
      <c r="P388" s="45"/>
      <c r="Q388" s="45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</row>
    <row r="389">
      <c r="A389" s="44">
        <v>386.0</v>
      </c>
      <c r="B389" s="41" t="s">
        <v>1874</v>
      </c>
      <c r="C389" s="42">
        <f t="array" ref="C389">INDEX(SkillBoxes!A388:D964,MATCH(E389,SkillBoxes!A388:A964,0),2)</f>
        <v>21</v>
      </c>
      <c r="D389" s="42" t="str">
        <f t="array" ref="D389">INDEX(SkillBoxes!A388:D964,MATCH(E389,SkillBoxes!A388:A964,0),3)</f>
        <v>Steam Gunner</v>
      </c>
      <c r="E389" s="42">
        <v>386.0</v>
      </c>
      <c r="F389" s="42" t="str">
        <f t="array" ref="F389">INDEX(SkillBoxes!A388:D964,MATCH(E389,SkillBoxes!A388:A964,0),4)</f>
        <v>Firearm Strike IV</v>
      </c>
      <c r="G389" s="41">
        <v>14.0</v>
      </c>
      <c r="H389" s="41" t="s">
        <v>159</v>
      </c>
      <c r="I389" s="41" t="s">
        <v>1479</v>
      </c>
      <c r="J389" s="41" t="s">
        <v>1480</v>
      </c>
      <c r="K389" s="41">
        <v>1.7</v>
      </c>
      <c r="L389" s="41" t="s">
        <v>1489</v>
      </c>
      <c r="M389" s="41">
        <v>3.0</v>
      </c>
      <c r="N389" s="42"/>
      <c r="O389" s="42"/>
      <c r="P389" s="42"/>
      <c r="Q389" s="42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</row>
    <row r="390">
      <c r="A390" s="41">
        <v>387.0</v>
      </c>
      <c r="B390" s="44" t="s">
        <v>1875</v>
      </c>
      <c r="C390" s="45">
        <f t="array" ref="C390">INDEX(SkillBoxes!A389:D965,MATCH(E390,SkillBoxes!A389:A965,0),2)</f>
        <v>21</v>
      </c>
      <c r="D390" s="45" t="str">
        <f t="array" ref="D390">INDEX(SkillBoxes!A389:D965,MATCH(E390,SkillBoxes!A389:A965,0),3)</f>
        <v>Steam Gunner</v>
      </c>
      <c r="E390" s="45">
        <v>387.0</v>
      </c>
      <c r="F390" s="45" t="str">
        <f t="array" ref="F390">INDEX(SkillBoxes!A389:D965,MATCH(E390,SkillBoxes!A389:A965,0),4)</f>
        <v>Suppressive Fire I</v>
      </c>
      <c r="G390" s="44">
        <v>8.0</v>
      </c>
      <c r="H390" s="44" t="s">
        <v>125</v>
      </c>
      <c r="I390" s="44" t="s">
        <v>1479</v>
      </c>
      <c r="J390" s="44" t="s">
        <v>1491</v>
      </c>
      <c r="K390" s="44">
        <v>0.7</v>
      </c>
      <c r="L390" s="44" t="s">
        <v>410</v>
      </c>
      <c r="M390" s="44">
        <v>1.0</v>
      </c>
      <c r="N390" s="44">
        <v>0.05</v>
      </c>
      <c r="O390" s="44" t="s">
        <v>145</v>
      </c>
      <c r="P390" s="45"/>
      <c r="Q390" s="45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</row>
    <row r="391">
      <c r="A391" s="44">
        <v>388.0</v>
      </c>
      <c r="B391" s="41" t="s">
        <v>1876</v>
      </c>
      <c r="C391" s="42">
        <f t="array" ref="C391">INDEX(SkillBoxes!A390:D966,MATCH(E391,SkillBoxes!A390:A966,0),2)</f>
        <v>21</v>
      </c>
      <c r="D391" s="42" t="str">
        <f t="array" ref="D391">INDEX(SkillBoxes!A390:D966,MATCH(E391,SkillBoxes!A390:A966,0),3)</f>
        <v>Steam Gunner</v>
      </c>
      <c r="E391" s="42">
        <v>388.0</v>
      </c>
      <c r="F391" s="42" t="str">
        <f t="array" ref="F391">INDEX(SkillBoxes!A390:D966,MATCH(E391,SkillBoxes!A390:A966,0),4)</f>
        <v>Suppressive Fire II</v>
      </c>
      <c r="G391" s="41">
        <v>10.0</v>
      </c>
      <c r="H391" s="41" t="s">
        <v>125</v>
      </c>
      <c r="I391" s="41" t="s">
        <v>1479</v>
      </c>
      <c r="J391" s="41" t="s">
        <v>1491</v>
      </c>
      <c r="K391" s="41">
        <v>0.8</v>
      </c>
      <c r="L391" s="41" t="s">
        <v>410</v>
      </c>
      <c r="M391" s="41">
        <v>2.0</v>
      </c>
      <c r="N391" s="41">
        <v>0.05</v>
      </c>
      <c r="O391" s="41" t="s">
        <v>145</v>
      </c>
      <c r="P391" s="42"/>
      <c r="Q391" s="42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</row>
    <row r="392">
      <c r="A392" s="41">
        <v>389.0</v>
      </c>
      <c r="B392" s="44" t="s">
        <v>1877</v>
      </c>
      <c r="C392" s="45">
        <f t="array" ref="C392">INDEX(SkillBoxes!A391:D967,MATCH(E392,SkillBoxes!A391:A967,0),2)</f>
        <v>21</v>
      </c>
      <c r="D392" s="45" t="str">
        <f t="array" ref="D392">INDEX(SkillBoxes!A391:D967,MATCH(E392,SkillBoxes!A391:A967,0),3)</f>
        <v>Steam Gunner</v>
      </c>
      <c r="E392" s="45">
        <v>389.0</v>
      </c>
      <c r="F392" s="45" t="str">
        <f t="array" ref="F392">INDEX(SkillBoxes!A391:D967,MATCH(E392,SkillBoxes!A391:A967,0),4)</f>
        <v>Suppressive Fire III</v>
      </c>
      <c r="G392" s="44">
        <v>12.0</v>
      </c>
      <c r="H392" s="44" t="s">
        <v>125</v>
      </c>
      <c r="I392" s="44" t="s">
        <v>1479</v>
      </c>
      <c r="J392" s="44" t="s">
        <v>1491</v>
      </c>
      <c r="K392" s="44">
        <v>0.9</v>
      </c>
      <c r="L392" s="44" t="s">
        <v>410</v>
      </c>
      <c r="M392" s="44">
        <v>2.0</v>
      </c>
      <c r="N392" s="44">
        <v>0.1</v>
      </c>
      <c r="O392" s="44" t="s">
        <v>137</v>
      </c>
      <c r="P392" s="45"/>
      <c r="Q392" s="45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</row>
    <row r="393">
      <c r="A393" s="44">
        <v>390.0</v>
      </c>
      <c r="B393" s="41" t="s">
        <v>1878</v>
      </c>
      <c r="C393" s="42">
        <f t="array" ref="C393">INDEX(SkillBoxes!A392:D968,MATCH(E393,SkillBoxes!A392:A968,0),2)</f>
        <v>21</v>
      </c>
      <c r="D393" s="42" t="str">
        <f t="array" ref="D393">INDEX(SkillBoxes!A392:D968,MATCH(E393,SkillBoxes!A392:A968,0),3)</f>
        <v>Steam Gunner</v>
      </c>
      <c r="E393" s="42">
        <v>390.0</v>
      </c>
      <c r="F393" s="42" t="str">
        <f t="array" ref="F393">INDEX(SkillBoxes!A392:D968,MATCH(E393,SkillBoxes!A392:A968,0),4)</f>
        <v>Suppressive Fire IV</v>
      </c>
      <c r="G393" s="41">
        <v>14.0</v>
      </c>
      <c r="H393" s="41" t="s">
        <v>159</v>
      </c>
      <c r="I393" s="41" t="s">
        <v>1479</v>
      </c>
      <c r="J393" s="41" t="s">
        <v>1491</v>
      </c>
      <c r="K393" s="41">
        <v>1.0</v>
      </c>
      <c r="L393" s="41" t="s">
        <v>410</v>
      </c>
      <c r="M393" s="41">
        <v>3.0</v>
      </c>
      <c r="N393" s="41">
        <v>0.15</v>
      </c>
      <c r="O393" s="41" t="s">
        <v>137</v>
      </c>
      <c r="P393" s="42"/>
      <c r="Q393" s="42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</row>
    <row r="394">
      <c r="A394" s="41">
        <v>391.0</v>
      </c>
      <c r="B394" s="44" t="s">
        <v>1879</v>
      </c>
      <c r="C394" s="45">
        <f t="array" ref="C394">INDEX(SkillBoxes!A393:D969,MATCH(E394,SkillBoxes!A393:A969,0),2)</f>
        <v>21</v>
      </c>
      <c r="D394" s="45" t="str">
        <f t="array" ref="D394">INDEX(SkillBoxes!A393:D969,MATCH(E394,SkillBoxes!A393:A969,0),3)</f>
        <v>Steam Gunner</v>
      </c>
      <c r="E394" s="45">
        <v>391.0</v>
      </c>
      <c r="F394" s="45" t="str">
        <f t="array" ref="F394">INDEX(SkillBoxes!A393:D969,MATCH(E394,SkillBoxes!A393:A969,0),4)</f>
        <v>Bayonet Handling I</v>
      </c>
      <c r="G394" s="44">
        <v>8.0</v>
      </c>
      <c r="H394" s="44" t="s">
        <v>125</v>
      </c>
      <c r="I394" s="44" t="s">
        <v>1479</v>
      </c>
      <c r="J394" s="44" t="s">
        <v>1480</v>
      </c>
      <c r="K394" s="44">
        <v>1.3</v>
      </c>
      <c r="L394" s="45"/>
      <c r="M394" s="45"/>
      <c r="N394" s="45"/>
      <c r="O394" s="45"/>
      <c r="P394" s="45"/>
      <c r="Q394" s="45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</row>
    <row r="395">
      <c r="A395" s="41">
        <v>392.0</v>
      </c>
      <c r="B395" s="41" t="s">
        <v>1880</v>
      </c>
      <c r="C395" s="42">
        <f t="array" ref="C395">INDEX(SkillBoxes!A394:D970,MATCH(E395,SkillBoxes!A394:A970,0),2)</f>
        <v>21</v>
      </c>
      <c r="D395" s="42" t="str">
        <f t="array" ref="D395">INDEX(SkillBoxes!A394:D970,MATCH(E395,SkillBoxes!A394:A970,0),3)</f>
        <v>Steam Gunner</v>
      </c>
      <c r="E395" s="42">
        <v>392.0</v>
      </c>
      <c r="F395" s="42" t="str">
        <f t="array" ref="F395">INDEX(SkillBoxes!A394:D970,MATCH(E395,SkillBoxes!A394:A970,0),4)</f>
        <v>Bayonet Handling II</v>
      </c>
      <c r="G395" s="41">
        <v>10.0</v>
      </c>
      <c r="H395" s="41" t="s">
        <v>125</v>
      </c>
      <c r="I395" s="41" t="s">
        <v>1479</v>
      </c>
      <c r="J395" s="41" t="s">
        <v>1480</v>
      </c>
      <c r="K395" s="41">
        <v>1.45</v>
      </c>
      <c r="L395" s="42"/>
      <c r="M395" s="42"/>
      <c r="N395" s="42"/>
      <c r="O395" s="42"/>
      <c r="P395" s="42"/>
      <c r="Q395" s="42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</row>
    <row r="396">
      <c r="A396" s="44">
        <v>393.0</v>
      </c>
      <c r="B396" s="44" t="s">
        <v>1881</v>
      </c>
      <c r="C396" s="45">
        <f t="array" ref="C396">INDEX(SkillBoxes!A395:D971,MATCH(E396,SkillBoxes!A395:A971,0),2)</f>
        <v>21</v>
      </c>
      <c r="D396" s="45" t="str">
        <f t="array" ref="D396">INDEX(SkillBoxes!A395:D971,MATCH(E396,SkillBoxes!A395:A971,0),3)</f>
        <v>Steam Gunner</v>
      </c>
      <c r="E396" s="45">
        <v>393.0</v>
      </c>
      <c r="F396" s="45" t="str">
        <f t="array" ref="F396">INDEX(SkillBoxes!A395:D971,MATCH(E396,SkillBoxes!A395:A971,0),4)</f>
        <v>Bayonet Handling III</v>
      </c>
      <c r="G396" s="44">
        <v>12.0</v>
      </c>
      <c r="H396" s="44" t="s">
        <v>125</v>
      </c>
      <c r="I396" s="44" t="s">
        <v>1479</v>
      </c>
      <c r="J396" s="44" t="s">
        <v>1480</v>
      </c>
      <c r="K396" s="44">
        <v>1.6</v>
      </c>
      <c r="L396" s="44" t="s">
        <v>1484</v>
      </c>
      <c r="M396" s="44">
        <v>2.0</v>
      </c>
      <c r="N396" s="44">
        <v>-2.0</v>
      </c>
      <c r="O396" s="44" t="s">
        <v>141</v>
      </c>
      <c r="P396" s="45"/>
      <c r="Q396" s="45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</row>
    <row r="397">
      <c r="A397" s="41">
        <v>394.0</v>
      </c>
      <c r="B397" s="41" t="s">
        <v>1882</v>
      </c>
      <c r="C397" s="42">
        <f t="array" ref="C397">INDEX(SkillBoxes!A396:D972,MATCH(E397,SkillBoxes!A396:A972,0),2)</f>
        <v>21</v>
      </c>
      <c r="D397" s="42" t="str">
        <f t="array" ref="D397">INDEX(SkillBoxes!A396:D972,MATCH(E397,SkillBoxes!A396:A972,0),3)</f>
        <v>Steam Gunner</v>
      </c>
      <c r="E397" s="42">
        <v>394.0</v>
      </c>
      <c r="F397" s="42" t="str">
        <f t="array" ref="F397">INDEX(SkillBoxes!A396:D972,MATCH(E397,SkillBoxes!A396:A972,0),4)</f>
        <v>Bayonet Handling IV</v>
      </c>
      <c r="G397" s="41">
        <v>14.0</v>
      </c>
      <c r="H397" s="41" t="s">
        <v>159</v>
      </c>
      <c r="I397" s="41" t="s">
        <v>1479</v>
      </c>
      <c r="J397" s="41" t="s">
        <v>1480</v>
      </c>
      <c r="K397" s="41">
        <v>1.8</v>
      </c>
      <c r="L397" s="41" t="s">
        <v>1484</v>
      </c>
      <c r="M397" s="41">
        <v>3.0</v>
      </c>
      <c r="N397" s="41">
        <v>-3.0</v>
      </c>
      <c r="O397" s="41" t="s">
        <v>141</v>
      </c>
      <c r="P397" s="42"/>
      <c r="Q397" s="42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</row>
    <row r="398">
      <c r="A398" s="44">
        <v>395.0</v>
      </c>
      <c r="B398" s="44" t="s">
        <v>1883</v>
      </c>
      <c r="C398" s="45">
        <f t="array" ref="C398">INDEX(SkillBoxes!A397:D973,MATCH(E398,SkillBoxes!A397:A973,0),2)</f>
        <v>21</v>
      </c>
      <c r="D398" s="45" t="str">
        <f t="array" ref="D398">INDEX(SkillBoxes!A397:D973,MATCH(E398,SkillBoxes!A397:A973,0),3)</f>
        <v>Steam Gunner</v>
      </c>
      <c r="E398" s="45">
        <v>395.0</v>
      </c>
      <c r="F398" s="45" t="str">
        <f t="array" ref="F398">INDEX(SkillBoxes!A397:D973,MATCH(E398,SkillBoxes!A397:A973,0),4)</f>
        <v>Master Steam Gunner</v>
      </c>
      <c r="G398" s="44">
        <v>20.0</v>
      </c>
      <c r="H398" s="44" t="s">
        <v>159</v>
      </c>
      <c r="I398" s="44" t="s">
        <v>1479</v>
      </c>
      <c r="J398" s="44" t="s">
        <v>1491</v>
      </c>
      <c r="K398" s="44">
        <v>1.1</v>
      </c>
      <c r="L398" s="44" t="s">
        <v>1489</v>
      </c>
      <c r="M398" s="44">
        <v>2.0</v>
      </c>
      <c r="N398" s="45"/>
      <c r="O398" s="45"/>
      <c r="P398" s="45"/>
      <c r="Q398" s="45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</row>
    <row r="399">
      <c r="A399" s="41">
        <v>396.0</v>
      </c>
      <c r="B399" s="41" t="s">
        <v>1884</v>
      </c>
      <c r="C399" s="42">
        <f t="array" ref="C399">INDEX(SkillBoxes!A398:D974,MATCH(E399,SkillBoxes!A398:A974,0),2)</f>
        <v>22</v>
      </c>
      <c r="D399" s="42" t="str">
        <f t="array" ref="D399">INDEX(SkillBoxes!A398:D974,MATCH(E399,SkillBoxes!A398:A974,0),3)</f>
        <v>Tribal Grappler</v>
      </c>
      <c r="E399" s="42">
        <v>396.0</v>
      </c>
      <c r="F399" s="42" t="str">
        <f t="array" ref="F399">INDEX(SkillBoxes!A398:D974,MATCH(E399,SkillBoxes!A398:A974,0),4)</f>
        <v>Novice Tribal Grappler</v>
      </c>
      <c r="G399" s="41">
        <v>8.0</v>
      </c>
      <c r="H399" s="41" t="s">
        <v>125</v>
      </c>
      <c r="I399" s="41" t="s">
        <v>1479</v>
      </c>
      <c r="J399" s="41" t="s">
        <v>1480</v>
      </c>
      <c r="K399" s="41">
        <v>1.1</v>
      </c>
      <c r="L399" s="41" t="s">
        <v>1489</v>
      </c>
      <c r="M399" s="41">
        <v>1.0</v>
      </c>
      <c r="N399" s="42"/>
      <c r="O399" s="42"/>
      <c r="P399" s="42"/>
      <c r="Q399" s="42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</row>
    <row r="400">
      <c r="A400" s="44">
        <v>397.0</v>
      </c>
      <c r="B400" s="44" t="s">
        <v>1885</v>
      </c>
      <c r="C400" s="45">
        <f t="array" ref="C400">INDEX(SkillBoxes!A399:D975,MATCH(E400,SkillBoxes!A399:A975,0),2)</f>
        <v>22</v>
      </c>
      <c r="D400" s="45" t="str">
        <f t="array" ref="D400">INDEX(SkillBoxes!A399:D975,MATCH(E400,SkillBoxes!A399:A975,0),3)</f>
        <v>Tribal Grappler</v>
      </c>
      <c r="E400" s="45">
        <v>397.0</v>
      </c>
      <c r="F400" s="45" t="str">
        <f t="array" ref="F400">INDEX(SkillBoxes!A399:D975,MATCH(E400,SkillBoxes!A399:A975,0),4)</f>
        <v>Grappling I</v>
      </c>
      <c r="G400" s="44">
        <v>8.0</v>
      </c>
      <c r="H400" s="44" t="s">
        <v>125</v>
      </c>
      <c r="I400" s="44" t="s">
        <v>1479</v>
      </c>
      <c r="J400" s="44" t="s">
        <v>1480</v>
      </c>
      <c r="K400" s="44">
        <v>1.2</v>
      </c>
      <c r="L400" s="44" t="s">
        <v>1489</v>
      </c>
      <c r="M400" s="44">
        <v>1.0</v>
      </c>
      <c r="N400" s="45"/>
      <c r="O400" s="45"/>
      <c r="P400" s="45"/>
      <c r="Q400" s="45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</row>
    <row r="401">
      <c r="A401" s="41">
        <v>398.0</v>
      </c>
      <c r="B401" s="41" t="s">
        <v>1886</v>
      </c>
      <c r="C401" s="42">
        <f t="array" ref="C401">INDEX(SkillBoxes!A400:D976,MATCH(E401,SkillBoxes!A400:A976,0),2)</f>
        <v>22</v>
      </c>
      <c r="D401" s="42" t="str">
        <f t="array" ref="D401">INDEX(SkillBoxes!A400:D976,MATCH(E401,SkillBoxes!A400:A976,0),3)</f>
        <v>Tribal Grappler</v>
      </c>
      <c r="E401" s="42">
        <v>398.0</v>
      </c>
      <c r="F401" s="42" t="str">
        <f t="array" ref="F401">INDEX(SkillBoxes!A400:D976,MATCH(E401,SkillBoxes!A400:A976,0),4)</f>
        <v>Grappling II</v>
      </c>
      <c r="G401" s="41">
        <v>10.0</v>
      </c>
      <c r="H401" s="41" t="s">
        <v>125</v>
      </c>
      <c r="I401" s="41" t="s">
        <v>1479</v>
      </c>
      <c r="J401" s="41" t="s">
        <v>1480</v>
      </c>
      <c r="K401" s="41">
        <v>1.35</v>
      </c>
      <c r="L401" s="41" t="s">
        <v>1489</v>
      </c>
      <c r="M401" s="41">
        <v>2.0</v>
      </c>
      <c r="N401" s="42"/>
      <c r="O401" s="42"/>
      <c r="P401" s="42"/>
      <c r="Q401" s="42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</row>
    <row r="402">
      <c r="A402" s="41">
        <v>399.0</v>
      </c>
      <c r="B402" s="44" t="s">
        <v>1887</v>
      </c>
      <c r="C402" s="45">
        <f t="array" ref="C402">INDEX(SkillBoxes!A401:D977,MATCH(E402,SkillBoxes!A401:A977,0),2)</f>
        <v>22</v>
      </c>
      <c r="D402" s="45" t="str">
        <f t="array" ref="D402">INDEX(SkillBoxes!A401:D977,MATCH(E402,SkillBoxes!A401:A977,0),3)</f>
        <v>Tribal Grappler</v>
      </c>
      <c r="E402" s="45">
        <v>399.0</v>
      </c>
      <c r="F402" s="45" t="str">
        <f t="array" ref="F402">INDEX(SkillBoxes!A401:D977,MATCH(E402,SkillBoxes!A401:A977,0),4)</f>
        <v>Grappling III</v>
      </c>
      <c r="G402" s="44">
        <v>12.0</v>
      </c>
      <c r="H402" s="44" t="s">
        <v>125</v>
      </c>
      <c r="I402" s="44" t="s">
        <v>1479</v>
      </c>
      <c r="J402" s="44" t="s">
        <v>1480</v>
      </c>
      <c r="K402" s="44">
        <v>1.4</v>
      </c>
      <c r="L402" s="44" t="s">
        <v>410</v>
      </c>
      <c r="M402" s="44">
        <v>2.0</v>
      </c>
      <c r="N402" s="44">
        <v>0.1</v>
      </c>
      <c r="O402" s="44" t="s">
        <v>137</v>
      </c>
      <c r="P402" s="45"/>
      <c r="Q402" s="45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</row>
    <row r="403">
      <c r="A403" s="44">
        <v>400.0</v>
      </c>
      <c r="B403" s="41" t="s">
        <v>1888</v>
      </c>
      <c r="C403" s="42">
        <f t="array" ref="C403">INDEX(SkillBoxes!A402:D978,MATCH(E403,SkillBoxes!A402:A978,0),2)</f>
        <v>22</v>
      </c>
      <c r="D403" s="42" t="str">
        <f t="array" ref="D403">INDEX(SkillBoxes!A402:D978,MATCH(E403,SkillBoxes!A402:A978,0),3)</f>
        <v>Tribal Grappler</v>
      </c>
      <c r="E403" s="42">
        <v>400.0</v>
      </c>
      <c r="F403" s="42" t="str">
        <f t="array" ref="F403">INDEX(SkillBoxes!A402:D978,MATCH(E403,SkillBoxes!A402:A978,0),4)</f>
        <v>Grappling IV</v>
      </c>
      <c r="G403" s="41">
        <v>14.0</v>
      </c>
      <c r="H403" s="41" t="s">
        <v>159</v>
      </c>
      <c r="I403" s="41" t="s">
        <v>1479</v>
      </c>
      <c r="J403" s="41" t="s">
        <v>1480</v>
      </c>
      <c r="K403" s="41">
        <v>1.6</v>
      </c>
      <c r="L403" s="41" t="s">
        <v>1489</v>
      </c>
      <c r="M403" s="41">
        <v>3.0</v>
      </c>
      <c r="N403" s="42"/>
      <c r="O403" s="42"/>
      <c r="P403" s="42"/>
      <c r="Q403" s="42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</row>
    <row r="404">
      <c r="A404" s="41">
        <v>401.0</v>
      </c>
      <c r="B404" s="44" t="s">
        <v>1889</v>
      </c>
      <c r="C404" s="45">
        <f t="array" ref="C404">INDEX(SkillBoxes!A403:D979,MATCH(E404,SkillBoxes!A403:A979,0),2)</f>
        <v>22</v>
      </c>
      <c r="D404" s="45" t="str">
        <f t="array" ref="D404">INDEX(SkillBoxes!A403:D979,MATCH(E404,SkillBoxes!A403:A979,0),3)</f>
        <v>Tribal Grappler</v>
      </c>
      <c r="E404" s="45">
        <v>401.0</v>
      </c>
      <c r="F404" s="45" t="str">
        <f t="array" ref="F404">INDEX(SkillBoxes!A403:D979,MATCH(E404,SkillBoxes!A403:A979,0),4)</f>
        <v>Ailments I</v>
      </c>
      <c r="G404" s="44">
        <v>7.0</v>
      </c>
      <c r="H404" s="44" t="s">
        <v>125</v>
      </c>
      <c r="I404" s="44" t="s">
        <v>1479</v>
      </c>
      <c r="J404" s="44" t="s">
        <v>1480</v>
      </c>
      <c r="K404" s="44">
        <v>1.0</v>
      </c>
      <c r="L404" s="44" t="s">
        <v>1484</v>
      </c>
      <c r="M404" s="44">
        <v>2.0</v>
      </c>
      <c r="N404" s="44">
        <v>-1.0</v>
      </c>
      <c r="O404" s="44" t="s">
        <v>141</v>
      </c>
      <c r="P404" s="45"/>
      <c r="Q404" s="45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</row>
    <row r="405">
      <c r="A405" s="44">
        <v>402.0</v>
      </c>
      <c r="B405" s="41" t="s">
        <v>1890</v>
      </c>
      <c r="C405" s="42">
        <f t="array" ref="C405">INDEX(SkillBoxes!A404:D980,MATCH(E405,SkillBoxes!A404:A980,0),2)</f>
        <v>22</v>
      </c>
      <c r="D405" s="42" t="str">
        <f t="array" ref="D405">INDEX(SkillBoxes!A404:D980,MATCH(E405,SkillBoxes!A404:A980,0),3)</f>
        <v>Tribal Grappler</v>
      </c>
      <c r="E405" s="42">
        <v>402.0</v>
      </c>
      <c r="F405" s="42" t="str">
        <f t="array" ref="F405">INDEX(SkillBoxes!A404:D980,MATCH(E405,SkillBoxes!A404:A980,0),4)</f>
        <v>Ailments II</v>
      </c>
      <c r="G405" s="41">
        <v>9.0</v>
      </c>
      <c r="H405" s="41" t="s">
        <v>125</v>
      </c>
      <c r="I405" s="41" t="s">
        <v>1479</v>
      </c>
      <c r="J405" s="41" t="s">
        <v>1480</v>
      </c>
      <c r="K405" s="41">
        <v>1.1</v>
      </c>
      <c r="L405" s="41" t="s">
        <v>1484</v>
      </c>
      <c r="M405" s="41">
        <v>3.0</v>
      </c>
      <c r="N405" s="41">
        <v>-2.0</v>
      </c>
      <c r="O405" s="41" t="s">
        <v>141</v>
      </c>
      <c r="P405" s="42"/>
      <c r="Q405" s="42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</row>
    <row r="406">
      <c r="A406" s="41">
        <v>403.0</v>
      </c>
      <c r="B406" s="44" t="s">
        <v>1891</v>
      </c>
      <c r="C406" s="45">
        <f t="array" ref="C406">INDEX(SkillBoxes!A405:D981,MATCH(E406,SkillBoxes!A405:A981,0),2)</f>
        <v>22</v>
      </c>
      <c r="D406" s="45" t="str">
        <f t="array" ref="D406">INDEX(SkillBoxes!A405:D981,MATCH(E406,SkillBoxes!A405:A981,0),3)</f>
        <v>Tribal Grappler</v>
      </c>
      <c r="E406" s="45">
        <v>403.0</v>
      </c>
      <c r="F406" s="45" t="str">
        <f t="array" ref="F406">INDEX(SkillBoxes!A405:D981,MATCH(E406,SkillBoxes!A405:A981,0),4)</f>
        <v>Ailments III</v>
      </c>
      <c r="G406" s="44">
        <v>11.0</v>
      </c>
      <c r="H406" s="44" t="s">
        <v>125</v>
      </c>
      <c r="I406" s="44" t="s">
        <v>1479</v>
      </c>
      <c r="J406" s="44" t="s">
        <v>1480</v>
      </c>
      <c r="K406" s="44">
        <v>1.2</v>
      </c>
      <c r="L406" s="44" t="s">
        <v>1484</v>
      </c>
      <c r="M406" s="44">
        <v>3.0</v>
      </c>
      <c r="N406" s="44">
        <v>-3.0</v>
      </c>
      <c r="O406" s="44" t="s">
        <v>141</v>
      </c>
      <c r="P406" s="45"/>
      <c r="Q406" s="45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</row>
    <row r="407">
      <c r="A407" s="44">
        <v>404.0</v>
      </c>
      <c r="B407" s="41" t="s">
        <v>1892</v>
      </c>
      <c r="C407" s="42">
        <f t="array" ref="C407">INDEX(SkillBoxes!A406:D982,MATCH(E407,SkillBoxes!A406:A982,0),2)</f>
        <v>22</v>
      </c>
      <c r="D407" s="42" t="str">
        <f t="array" ref="D407">INDEX(SkillBoxes!A406:D982,MATCH(E407,SkillBoxes!A406:A982,0),3)</f>
        <v>Tribal Grappler</v>
      </c>
      <c r="E407" s="42">
        <v>404.0</v>
      </c>
      <c r="F407" s="42" t="str">
        <f t="array" ref="F407">INDEX(SkillBoxes!A406:D982,MATCH(E407,SkillBoxes!A406:A982,0),4)</f>
        <v>Ailments IV</v>
      </c>
      <c r="G407" s="41">
        <v>13.0</v>
      </c>
      <c r="H407" s="41" t="s">
        <v>159</v>
      </c>
      <c r="I407" s="41" t="s">
        <v>1479</v>
      </c>
      <c r="J407" s="41" t="s">
        <v>1480</v>
      </c>
      <c r="K407" s="41">
        <v>1.3</v>
      </c>
      <c r="L407" s="41" t="s">
        <v>1484</v>
      </c>
      <c r="M407" s="41">
        <v>4.0</v>
      </c>
      <c r="N407" s="41">
        <v>-4.0</v>
      </c>
      <c r="O407" s="41" t="s">
        <v>141</v>
      </c>
      <c r="P407" s="42"/>
      <c r="Q407" s="42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</row>
    <row r="408">
      <c r="A408" s="41">
        <v>405.0</v>
      </c>
      <c r="B408" s="44" t="s">
        <v>1893</v>
      </c>
      <c r="C408" s="45">
        <f t="array" ref="C408">INDEX(SkillBoxes!A407:D983,MATCH(E408,SkillBoxes!A407:A983,0),2)</f>
        <v>22</v>
      </c>
      <c r="D408" s="45" t="str">
        <f t="array" ref="D408">INDEX(SkillBoxes!A407:D983,MATCH(E408,SkillBoxes!A407:A983,0),3)</f>
        <v>Tribal Grappler</v>
      </c>
      <c r="E408" s="45">
        <v>405.0</v>
      </c>
      <c r="F408" s="45" t="str">
        <f t="array" ref="F408">INDEX(SkillBoxes!A407:D983,MATCH(E408,SkillBoxes!A407:A983,0),4)</f>
        <v>Tribal Tactics I</v>
      </c>
      <c r="G408" s="44">
        <v>8.0</v>
      </c>
      <c r="H408" s="44" t="s">
        <v>125</v>
      </c>
      <c r="I408" s="44" t="s">
        <v>1479</v>
      </c>
      <c r="J408" s="44" t="s">
        <v>1491</v>
      </c>
      <c r="K408" s="44">
        <v>0.8</v>
      </c>
      <c r="L408" s="44" t="s">
        <v>1489</v>
      </c>
      <c r="M408" s="44">
        <v>1.0</v>
      </c>
      <c r="N408" s="45"/>
      <c r="O408" s="45"/>
      <c r="P408" s="45"/>
      <c r="Q408" s="45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</row>
    <row r="409">
      <c r="A409" s="41">
        <v>406.0</v>
      </c>
      <c r="B409" s="41" t="s">
        <v>1894</v>
      </c>
      <c r="C409" s="42">
        <f t="array" ref="C409">INDEX(SkillBoxes!A408:D984,MATCH(E409,SkillBoxes!A408:A984,0),2)</f>
        <v>22</v>
      </c>
      <c r="D409" s="42" t="str">
        <f t="array" ref="D409">INDEX(SkillBoxes!A408:D984,MATCH(E409,SkillBoxes!A408:A984,0),3)</f>
        <v>Tribal Grappler</v>
      </c>
      <c r="E409" s="42">
        <v>406.0</v>
      </c>
      <c r="F409" s="42" t="str">
        <f t="array" ref="F409">INDEX(SkillBoxes!A408:D984,MATCH(E409,SkillBoxes!A408:A984,0),4)</f>
        <v>Tribal Tactics II</v>
      </c>
      <c r="G409" s="41">
        <v>10.0</v>
      </c>
      <c r="H409" s="41" t="s">
        <v>125</v>
      </c>
      <c r="I409" s="41" t="s">
        <v>1479</v>
      </c>
      <c r="J409" s="41" t="s">
        <v>1491</v>
      </c>
      <c r="K409" s="41">
        <v>0.9</v>
      </c>
      <c r="L409" s="41" t="s">
        <v>1489</v>
      </c>
      <c r="M409" s="41">
        <v>1.0</v>
      </c>
      <c r="N409" s="42"/>
      <c r="O409" s="42"/>
      <c r="P409" s="42"/>
      <c r="Q409" s="42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</row>
    <row r="410">
      <c r="A410" s="44">
        <v>407.0</v>
      </c>
      <c r="B410" s="44" t="s">
        <v>1895</v>
      </c>
      <c r="C410" s="45">
        <f t="array" ref="C410">INDEX(SkillBoxes!A409:D985,MATCH(E410,SkillBoxes!A409:A985,0),2)</f>
        <v>22</v>
      </c>
      <c r="D410" s="45" t="str">
        <f t="array" ref="D410">INDEX(SkillBoxes!A409:D985,MATCH(E410,SkillBoxes!A409:A985,0),3)</f>
        <v>Tribal Grappler</v>
      </c>
      <c r="E410" s="45">
        <v>407.0</v>
      </c>
      <c r="F410" s="45" t="str">
        <f t="array" ref="F410">INDEX(SkillBoxes!A409:D985,MATCH(E410,SkillBoxes!A409:A985,0),4)</f>
        <v>Tribal Tactics III</v>
      </c>
      <c r="G410" s="44">
        <v>12.0</v>
      </c>
      <c r="H410" s="44" t="s">
        <v>125</v>
      </c>
      <c r="I410" s="44" t="s">
        <v>1479</v>
      </c>
      <c r="J410" s="44" t="s">
        <v>1491</v>
      </c>
      <c r="K410" s="44">
        <v>1.0</v>
      </c>
      <c r="L410" s="44" t="s">
        <v>1489</v>
      </c>
      <c r="M410" s="44">
        <v>2.0</v>
      </c>
      <c r="N410" s="45"/>
      <c r="O410" s="45"/>
      <c r="P410" s="45"/>
      <c r="Q410" s="45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</row>
    <row r="411">
      <c r="A411" s="41">
        <v>408.0</v>
      </c>
      <c r="B411" s="41" t="s">
        <v>1896</v>
      </c>
      <c r="C411" s="42">
        <f t="array" ref="C411">INDEX(SkillBoxes!A410:D986,MATCH(E411,SkillBoxes!A410:A986,0),2)</f>
        <v>22</v>
      </c>
      <c r="D411" s="42" t="str">
        <f t="array" ref="D411">INDEX(SkillBoxes!A410:D986,MATCH(E411,SkillBoxes!A410:A986,0),3)</f>
        <v>Tribal Grappler</v>
      </c>
      <c r="E411" s="42">
        <v>408.0</v>
      </c>
      <c r="F411" s="42" t="str">
        <f t="array" ref="F411">INDEX(SkillBoxes!A410:D986,MATCH(E411,SkillBoxes!A410:A986,0),4)</f>
        <v>Tribal Tactics IV</v>
      </c>
      <c r="G411" s="41">
        <v>14.0</v>
      </c>
      <c r="H411" s="41" t="s">
        <v>159</v>
      </c>
      <c r="I411" s="41" t="s">
        <v>1479</v>
      </c>
      <c r="J411" s="41" t="s">
        <v>1491</v>
      </c>
      <c r="K411" s="41">
        <v>1.1</v>
      </c>
      <c r="L411" s="41" t="s">
        <v>410</v>
      </c>
      <c r="M411" s="41">
        <v>2.0</v>
      </c>
      <c r="N411" s="41">
        <v>0.1</v>
      </c>
      <c r="O411" s="41" t="s">
        <v>133</v>
      </c>
      <c r="P411" s="42"/>
      <c r="Q411" s="42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</row>
    <row r="412">
      <c r="A412" s="44">
        <v>409.0</v>
      </c>
      <c r="B412" s="44" t="s">
        <v>1897</v>
      </c>
      <c r="C412" s="45">
        <f t="array" ref="C412">INDEX(SkillBoxes!A411:D987,MATCH(E412,SkillBoxes!A411:A987,0),2)</f>
        <v>22</v>
      </c>
      <c r="D412" s="45" t="str">
        <f t="array" ref="D412">INDEX(SkillBoxes!A411:D987,MATCH(E412,SkillBoxes!A411:A987,0),3)</f>
        <v>Tribal Grappler</v>
      </c>
      <c r="E412" s="45">
        <v>409.0</v>
      </c>
      <c r="F412" s="45" t="str">
        <f t="array" ref="F412">INDEX(SkillBoxes!A411:D987,MATCH(E412,SkillBoxes!A411:A987,0),4)</f>
        <v>Gauntlet Mastery I</v>
      </c>
      <c r="G412" s="44">
        <v>8.0</v>
      </c>
      <c r="H412" s="44" t="s">
        <v>125</v>
      </c>
      <c r="I412" s="44" t="s">
        <v>1479</v>
      </c>
      <c r="J412" s="44" t="s">
        <v>1480</v>
      </c>
      <c r="K412" s="44">
        <v>1.3</v>
      </c>
      <c r="L412" s="45"/>
      <c r="M412" s="45"/>
      <c r="N412" s="45"/>
      <c r="O412" s="45"/>
      <c r="P412" s="45"/>
      <c r="Q412" s="45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</row>
    <row r="413">
      <c r="A413" s="41">
        <v>410.0</v>
      </c>
      <c r="B413" s="41" t="s">
        <v>1898</v>
      </c>
      <c r="C413" s="42">
        <f t="array" ref="C413">INDEX(SkillBoxes!A412:D988,MATCH(E413,SkillBoxes!A412:A988,0),2)</f>
        <v>22</v>
      </c>
      <c r="D413" s="42" t="str">
        <f t="array" ref="D413">INDEX(SkillBoxes!A412:D988,MATCH(E413,SkillBoxes!A412:A988,0),3)</f>
        <v>Tribal Grappler</v>
      </c>
      <c r="E413" s="42">
        <v>410.0</v>
      </c>
      <c r="F413" s="42" t="str">
        <f t="array" ref="F413">INDEX(SkillBoxes!A412:D988,MATCH(E413,SkillBoxes!A412:A988,0),4)</f>
        <v>Gauntlet Mastery II</v>
      </c>
      <c r="G413" s="41">
        <v>10.0</v>
      </c>
      <c r="H413" s="41" t="s">
        <v>125</v>
      </c>
      <c r="I413" s="41" t="s">
        <v>1479</v>
      </c>
      <c r="J413" s="41" t="s">
        <v>1480</v>
      </c>
      <c r="K413" s="41">
        <v>1.45</v>
      </c>
      <c r="L413" s="42"/>
      <c r="M413" s="42"/>
      <c r="N413" s="42"/>
      <c r="O413" s="42"/>
      <c r="P413" s="42"/>
      <c r="Q413" s="42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</row>
    <row r="414">
      <c r="A414" s="44">
        <v>411.0</v>
      </c>
      <c r="B414" s="44" t="s">
        <v>1899</v>
      </c>
      <c r="C414" s="45">
        <f t="array" ref="C414">INDEX(SkillBoxes!A413:D989,MATCH(E414,SkillBoxes!A413:A989,0),2)</f>
        <v>22</v>
      </c>
      <c r="D414" s="45" t="str">
        <f t="array" ref="D414">INDEX(SkillBoxes!A413:D989,MATCH(E414,SkillBoxes!A413:A989,0),3)</f>
        <v>Tribal Grappler</v>
      </c>
      <c r="E414" s="45">
        <v>411.0</v>
      </c>
      <c r="F414" s="45" t="str">
        <f t="array" ref="F414">INDEX(SkillBoxes!A413:D989,MATCH(E414,SkillBoxes!A413:A989,0),4)</f>
        <v>Gauntlet Mastery III</v>
      </c>
      <c r="G414" s="44">
        <v>12.0</v>
      </c>
      <c r="H414" s="44" t="s">
        <v>125</v>
      </c>
      <c r="I414" s="44" t="s">
        <v>1479</v>
      </c>
      <c r="J414" s="44" t="s">
        <v>1480</v>
      </c>
      <c r="K414" s="44">
        <v>1.6</v>
      </c>
      <c r="L414" s="44" t="s">
        <v>1489</v>
      </c>
      <c r="M414" s="44">
        <v>1.0</v>
      </c>
      <c r="N414" s="45"/>
      <c r="O414" s="45"/>
      <c r="P414" s="45"/>
      <c r="Q414" s="45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</row>
    <row r="415">
      <c r="A415" s="41">
        <v>412.0</v>
      </c>
      <c r="B415" s="41" t="s">
        <v>1900</v>
      </c>
      <c r="C415" s="42">
        <f t="array" ref="C415">INDEX(SkillBoxes!A414:D990,MATCH(E415,SkillBoxes!A414:A990,0),2)</f>
        <v>22</v>
      </c>
      <c r="D415" s="42" t="str">
        <f t="array" ref="D415">INDEX(SkillBoxes!A414:D990,MATCH(E415,SkillBoxes!A414:A990,0),3)</f>
        <v>Tribal Grappler</v>
      </c>
      <c r="E415" s="42">
        <v>412.0</v>
      </c>
      <c r="F415" s="42" t="str">
        <f t="array" ref="F415">INDEX(SkillBoxes!A414:D990,MATCH(E415,SkillBoxes!A414:A990,0),4)</f>
        <v>Gauntlet Mastery IV</v>
      </c>
      <c r="G415" s="41">
        <v>14.0</v>
      </c>
      <c r="H415" s="41" t="s">
        <v>159</v>
      </c>
      <c r="I415" s="41" t="s">
        <v>1479</v>
      </c>
      <c r="J415" s="41" t="s">
        <v>1480</v>
      </c>
      <c r="K415" s="41">
        <v>1.8</v>
      </c>
      <c r="L415" s="41" t="s">
        <v>1489</v>
      </c>
      <c r="M415" s="41">
        <v>2.0</v>
      </c>
      <c r="N415" s="42"/>
      <c r="O415" s="42"/>
      <c r="P415" s="42"/>
      <c r="Q415" s="42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</row>
    <row r="416">
      <c r="A416" s="41">
        <v>413.0</v>
      </c>
      <c r="B416" s="44" t="s">
        <v>1901</v>
      </c>
      <c r="C416" s="45">
        <f t="array" ref="C416">INDEX(SkillBoxes!A415:D991,MATCH(E416,SkillBoxes!A415:A991,0),2)</f>
        <v>22</v>
      </c>
      <c r="D416" s="45" t="str">
        <f t="array" ref="D416">INDEX(SkillBoxes!A415:D991,MATCH(E416,SkillBoxes!A415:A991,0),3)</f>
        <v>Tribal Grappler</v>
      </c>
      <c r="E416" s="45">
        <v>413.0</v>
      </c>
      <c r="F416" s="45" t="str">
        <f t="array" ref="F416">INDEX(SkillBoxes!A415:D991,MATCH(E416,SkillBoxes!A415:A991,0),4)</f>
        <v>Master Tribal Grappler</v>
      </c>
      <c r="G416" s="44">
        <v>20.0</v>
      </c>
      <c r="H416" s="44" t="s">
        <v>159</v>
      </c>
      <c r="I416" s="44" t="s">
        <v>1479</v>
      </c>
      <c r="J416" s="44" t="s">
        <v>1491</v>
      </c>
      <c r="K416" s="44">
        <v>1.2</v>
      </c>
      <c r="L416" s="44" t="s">
        <v>1489</v>
      </c>
      <c r="M416" s="44">
        <v>3.0</v>
      </c>
      <c r="N416" s="45"/>
      <c r="O416" s="45"/>
      <c r="P416" s="45"/>
      <c r="Q416" s="45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</row>
    <row r="417">
      <c r="A417" s="44">
        <v>414.0</v>
      </c>
      <c r="B417" s="41" t="s">
        <v>1902</v>
      </c>
      <c r="C417" s="42">
        <f t="array" ref="C417">INDEX(SkillBoxes!A416:D992,MATCH(E417,SkillBoxes!A416:A992,0),2)</f>
        <v>23</v>
      </c>
      <c r="D417" s="42" t="str">
        <f t="array" ref="D417">INDEX(SkillBoxes!A416:D992,MATCH(E417,SkillBoxes!A416:A992,0),3)</f>
        <v>Flick Reaper</v>
      </c>
      <c r="E417" s="42">
        <v>414.0</v>
      </c>
      <c r="F417" s="42" t="str">
        <f t="array" ref="F417">INDEX(SkillBoxes!A416:D992,MATCH(E417,SkillBoxes!A416:A992,0),4)</f>
        <v>Novice Flick Reaper</v>
      </c>
      <c r="G417" s="41">
        <v>8.0</v>
      </c>
      <c r="H417" s="41" t="s">
        <v>125</v>
      </c>
      <c r="I417" s="41" t="s">
        <v>1479</v>
      </c>
      <c r="J417" s="41" t="s">
        <v>1480</v>
      </c>
      <c r="K417" s="41">
        <v>1.1</v>
      </c>
      <c r="L417" s="41" t="s">
        <v>1484</v>
      </c>
      <c r="M417" s="41">
        <v>1.0</v>
      </c>
      <c r="N417" s="41">
        <v>-1.0</v>
      </c>
      <c r="O417" s="41" t="s">
        <v>141</v>
      </c>
      <c r="P417" s="41" t="s">
        <v>1518</v>
      </c>
      <c r="Q417" s="42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</row>
    <row r="418">
      <c r="A418" s="41">
        <v>415.0</v>
      </c>
      <c r="B418" s="44" t="s">
        <v>1903</v>
      </c>
      <c r="C418" s="45">
        <f t="array" ref="C418">INDEX(SkillBoxes!A417:D993,MATCH(E418,SkillBoxes!A417:A993,0),2)</f>
        <v>23</v>
      </c>
      <c r="D418" s="45" t="str">
        <f t="array" ref="D418">INDEX(SkillBoxes!A417:D993,MATCH(E418,SkillBoxes!A417:A993,0),3)</f>
        <v>Flick Reaper</v>
      </c>
      <c r="E418" s="45">
        <v>415.0</v>
      </c>
      <c r="F418" s="45" t="str">
        <f t="array" ref="F418">INDEX(SkillBoxes!A417:D993,MATCH(E418,SkillBoxes!A417:A993,0),4)</f>
        <v>Crowd Control I</v>
      </c>
      <c r="G418" s="44">
        <v>8.0</v>
      </c>
      <c r="H418" s="44" t="s">
        <v>125</v>
      </c>
      <c r="I418" s="44" t="s">
        <v>1479</v>
      </c>
      <c r="J418" s="44" t="s">
        <v>1491</v>
      </c>
      <c r="K418" s="44">
        <v>0.8</v>
      </c>
      <c r="L418" s="44" t="s">
        <v>1489</v>
      </c>
      <c r="M418" s="44">
        <v>1.0</v>
      </c>
      <c r="N418" s="45"/>
      <c r="O418" s="45"/>
      <c r="P418" s="45"/>
      <c r="Q418" s="45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</row>
    <row r="419">
      <c r="A419" s="44">
        <v>416.0</v>
      </c>
      <c r="B419" s="41" t="s">
        <v>1904</v>
      </c>
      <c r="C419" s="42">
        <f t="array" ref="C419">INDEX(SkillBoxes!A418:D994,MATCH(E419,SkillBoxes!A418:A994,0),2)</f>
        <v>23</v>
      </c>
      <c r="D419" s="42" t="str">
        <f t="array" ref="D419">INDEX(SkillBoxes!A418:D994,MATCH(E419,SkillBoxes!A418:A994,0),3)</f>
        <v>Flick Reaper</v>
      </c>
      <c r="E419" s="42">
        <v>416.0</v>
      </c>
      <c r="F419" s="42" t="str">
        <f t="array" ref="F419">INDEX(SkillBoxes!A418:D994,MATCH(E419,SkillBoxes!A418:A994,0),4)</f>
        <v>Crowd Control II</v>
      </c>
      <c r="G419" s="41">
        <v>10.0</v>
      </c>
      <c r="H419" s="41" t="s">
        <v>125</v>
      </c>
      <c r="I419" s="41" t="s">
        <v>1479</v>
      </c>
      <c r="J419" s="41" t="s">
        <v>1491</v>
      </c>
      <c r="K419" s="41">
        <v>0.9</v>
      </c>
      <c r="L419" s="41" t="s">
        <v>1489</v>
      </c>
      <c r="M419" s="41">
        <v>1.0</v>
      </c>
      <c r="N419" s="42"/>
      <c r="O419" s="42"/>
      <c r="P419" s="42"/>
      <c r="Q419" s="42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</row>
    <row r="420">
      <c r="A420" s="41">
        <v>417.0</v>
      </c>
      <c r="B420" s="44" t="s">
        <v>1905</v>
      </c>
      <c r="C420" s="45">
        <f t="array" ref="C420">INDEX(SkillBoxes!A419:D995,MATCH(E420,SkillBoxes!A419:A995,0),2)</f>
        <v>23</v>
      </c>
      <c r="D420" s="45" t="str">
        <f t="array" ref="D420">INDEX(SkillBoxes!A419:D995,MATCH(E420,SkillBoxes!A419:A995,0),3)</f>
        <v>Flick Reaper</v>
      </c>
      <c r="E420" s="45">
        <v>417.0</v>
      </c>
      <c r="F420" s="45" t="str">
        <f t="array" ref="F420">INDEX(SkillBoxes!A419:D995,MATCH(E420,SkillBoxes!A419:A995,0),4)</f>
        <v>Crowd Control III</v>
      </c>
      <c r="G420" s="44">
        <v>12.0</v>
      </c>
      <c r="H420" s="44" t="s">
        <v>125</v>
      </c>
      <c r="I420" s="44" t="s">
        <v>1479</v>
      </c>
      <c r="J420" s="44" t="s">
        <v>1491</v>
      </c>
      <c r="K420" s="44">
        <v>1.0</v>
      </c>
      <c r="L420" s="44" t="s">
        <v>1489</v>
      </c>
      <c r="M420" s="44">
        <v>2.0</v>
      </c>
      <c r="N420" s="45"/>
      <c r="O420" s="45"/>
      <c r="P420" s="45"/>
      <c r="Q420" s="45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</row>
    <row r="421">
      <c r="A421" s="44">
        <v>418.0</v>
      </c>
      <c r="B421" s="41" t="s">
        <v>1906</v>
      </c>
      <c r="C421" s="42">
        <f t="array" ref="C421">INDEX(SkillBoxes!A420:D996,MATCH(E421,SkillBoxes!A420:A996,0),2)</f>
        <v>23</v>
      </c>
      <c r="D421" s="42" t="str">
        <f t="array" ref="D421">INDEX(SkillBoxes!A420:D996,MATCH(E421,SkillBoxes!A420:A996,0),3)</f>
        <v>Flick Reaper</v>
      </c>
      <c r="E421" s="42">
        <v>418.0</v>
      </c>
      <c r="F421" s="42" t="str">
        <f t="array" ref="F421">INDEX(SkillBoxes!A420:D996,MATCH(E421,SkillBoxes!A420:A996,0),4)</f>
        <v>Crowd Control IV</v>
      </c>
      <c r="G421" s="41">
        <v>14.0</v>
      </c>
      <c r="H421" s="41" t="s">
        <v>159</v>
      </c>
      <c r="I421" s="41" t="s">
        <v>1479</v>
      </c>
      <c r="J421" s="41" t="s">
        <v>1491</v>
      </c>
      <c r="K421" s="41">
        <v>1.1</v>
      </c>
      <c r="L421" s="41" t="s">
        <v>1489</v>
      </c>
      <c r="M421" s="41">
        <v>3.0</v>
      </c>
      <c r="N421" s="42"/>
      <c r="O421" s="42"/>
      <c r="P421" s="41" t="s">
        <v>1518</v>
      </c>
      <c r="Q421" s="42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</row>
    <row r="422">
      <c r="A422" s="41">
        <v>419.0</v>
      </c>
      <c r="B422" s="44" t="s">
        <v>1907</v>
      </c>
      <c r="C422" s="45">
        <f t="array" ref="C422">INDEX(SkillBoxes!A421:D997,MATCH(E422,SkillBoxes!A421:A997,0),2)</f>
        <v>23</v>
      </c>
      <c r="D422" s="45" t="str">
        <f t="array" ref="D422">INDEX(SkillBoxes!A421:D997,MATCH(E422,SkillBoxes!A421:A997,0),3)</f>
        <v>Flick Reaper</v>
      </c>
      <c r="E422" s="45">
        <v>419.0</v>
      </c>
      <c r="F422" s="45" t="str">
        <f t="array" ref="F422">INDEX(SkillBoxes!A421:D997,MATCH(E422,SkillBoxes!A421:A997,0),4)</f>
        <v>Devastating Swing I</v>
      </c>
      <c r="G422" s="44">
        <v>8.0</v>
      </c>
      <c r="H422" s="44" t="s">
        <v>125</v>
      </c>
      <c r="I422" s="44" t="s">
        <v>1479</v>
      </c>
      <c r="J422" s="44" t="s">
        <v>1480</v>
      </c>
      <c r="K422" s="44">
        <v>1.3</v>
      </c>
      <c r="L422" s="45"/>
      <c r="M422" s="45"/>
      <c r="N422" s="45"/>
      <c r="O422" s="45"/>
      <c r="P422" s="45"/>
      <c r="Q422" s="45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</row>
    <row r="423">
      <c r="A423" s="41">
        <v>420.0</v>
      </c>
      <c r="B423" s="41" t="s">
        <v>1908</v>
      </c>
      <c r="C423" s="42">
        <f t="array" ref="C423">INDEX(SkillBoxes!A422:D998,MATCH(E423,SkillBoxes!A422:A998,0),2)</f>
        <v>23</v>
      </c>
      <c r="D423" s="42" t="str">
        <f t="array" ref="D423">INDEX(SkillBoxes!A422:D998,MATCH(E423,SkillBoxes!A422:A998,0),3)</f>
        <v>Flick Reaper</v>
      </c>
      <c r="E423" s="42">
        <v>420.0</v>
      </c>
      <c r="F423" s="42" t="str">
        <f t="array" ref="F423">INDEX(SkillBoxes!A422:D998,MATCH(E423,SkillBoxes!A422:A998,0),4)</f>
        <v>Devastating Swing II</v>
      </c>
      <c r="G423" s="41">
        <v>10.0</v>
      </c>
      <c r="H423" s="41" t="s">
        <v>125</v>
      </c>
      <c r="I423" s="41" t="s">
        <v>1479</v>
      </c>
      <c r="J423" s="41" t="s">
        <v>1480</v>
      </c>
      <c r="K423" s="41">
        <v>1.5</v>
      </c>
      <c r="L423" s="42"/>
      <c r="M423" s="42"/>
      <c r="N423" s="42"/>
      <c r="O423" s="42"/>
      <c r="P423" s="42"/>
      <c r="Q423" s="42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</row>
    <row r="424">
      <c r="A424" s="44">
        <v>421.0</v>
      </c>
      <c r="B424" s="44" t="s">
        <v>1909</v>
      </c>
      <c r="C424" s="45">
        <f t="array" ref="C424">INDEX(SkillBoxes!A423:D999,MATCH(E424,SkillBoxes!A423:A999,0),2)</f>
        <v>23</v>
      </c>
      <c r="D424" s="45" t="str">
        <f t="array" ref="D424">INDEX(SkillBoxes!A423:D999,MATCH(E424,SkillBoxes!A423:A999,0),3)</f>
        <v>Flick Reaper</v>
      </c>
      <c r="E424" s="45">
        <v>421.0</v>
      </c>
      <c r="F424" s="45" t="str">
        <f t="array" ref="F424">INDEX(SkillBoxes!A423:D999,MATCH(E424,SkillBoxes!A423:A999,0),4)</f>
        <v>Devastating Swing III</v>
      </c>
      <c r="G424" s="44">
        <v>12.0</v>
      </c>
      <c r="H424" s="44" t="s">
        <v>125</v>
      </c>
      <c r="I424" s="44" t="s">
        <v>1479</v>
      </c>
      <c r="J424" s="44" t="s">
        <v>1480</v>
      </c>
      <c r="K424" s="44">
        <v>1.7</v>
      </c>
      <c r="L424" s="44" t="s">
        <v>1484</v>
      </c>
      <c r="M424" s="44">
        <v>2.0</v>
      </c>
      <c r="N424" s="44">
        <v>-2.0</v>
      </c>
      <c r="O424" s="44" t="s">
        <v>141</v>
      </c>
      <c r="P424" s="45"/>
      <c r="Q424" s="45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</row>
    <row r="425">
      <c r="A425" s="41">
        <v>422.0</v>
      </c>
      <c r="B425" s="41" t="s">
        <v>1910</v>
      </c>
      <c r="C425" s="42">
        <f t="array" ref="C425">INDEX(SkillBoxes!A424:D1000,MATCH(E425,SkillBoxes!A424:A1000,0),2)</f>
        <v>23</v>
      </c>
      <c r="D425" s="42" t="str">
        <f t="array" ref="D425">INDEX(SkillBoxes!A424:D1000,MATCH(E425,SkillBoxes!A424:A1000,0),3)</f>
        <v>Flick Reaper</v>
      </c>
      <c r="E425" s="42">
        <v>422.0</v>
      </c>
      <c r="F425" s="42" t="str">
        <f t="array" ref="F425">INDEX(SkillBoxes!A424:D1000,MATCH(E425,SkillBoxes!A424:A1000,0),4)</f>
        <v>Devastating Swing IV</v>
      </c>
      <c r="G425" s="41">
        <v>14.0</v>
      </c>
      <c r="H425" s="41" t="s">
        <v>159</v>
      </c>
      <c r="I425" s="41" t="s">
        <v>1479</v>
      </c>
      <c r="J425" s="41" t="s">
        <v>1480</v>
      </c>
      <c r="K425" s="41">
        <v>1.9</v>
      </c>
      <c r="L425" s="41" t="s">
        <v>1484</v>
      </c>
      <c r="M425" s="41">
        <v>4.0</v>
      </c>
      <c r="N425" s="41">
        <v>-4.0</v>
      </c>
      <c r="O425" s="41" t="s">
        <v>141</v>
      </c>
      <c r="P425" s="41" t="s">
        <v>1518</v>
      </c>
      <c r="Q425" s="42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</row>
    <row r="426">
      <c r="A426" s="44">
        <v>423.0</v>
      </c>
      <c r="B426" s="44" t="s">
        <v>1911</v>
      </c>
      <c r="C426" s="45">
        <f t="array" ref="C426">INDEX(SkillBoxes!A425:D1001,MATCH(E426,SkillBoxes!A425:A1001,0),2)</f>
        <v>23</v>
      </c>
      <c r="D426" s="45" t="str">
        <f t="array" ref="D426">INDEX(SkillBoxes!A425:D1001,MATCH(E426,SkillBoxes!A425:A1001,0),3)</f>
        <v>Flick Reaper</v>
      </c>
      <c r="E426" s="45">
        <v>423.0</v>
      </c>
      <c r="F426" s="45" t="str">
        <f t="array" ref="F426">INDEX(SkillBoxes!A425:D1001,MATCH(E426,SkillBoxes!A425:A1001,0),4)</f>
        <v>Spectral Affliction I</v>
      </c>
      <c r="G426" s="44">
        <v>8.0</v>
      </c>
      <c r="H426" s="44" t="s">
        <v>160</v>
      </c>
      <c r="I426" s="44" t="s">
        <v>1498</v>
      </c>
      <c r="J426" s="44" t="s">
        <v>1480</v>
      </c>
      <c r="K426" s="44">
        <v>1.2</v>
      </c>
      <c r="L426" s="44" t="s">
        <v>410</v>
      </c>
      <c r="M426" s="44">
        <v>2.0</v>
      </c>
      <c r="N426" s="44">
        <v>0.05</v>
      </c>
      <c r="O426" s="44" t="s">
        <v>161</v>
      </c>
      <c r="P426" s="44" t="s">
        <v>1518</v>
      </c>
      <c r="Q426" s="45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</row>
    <row r="427">
      <c r="A427" s="41">
        <v>424.0</v>
      </c>
      <c r="B427" s="41" t="s">
        <v>1912</v>
      </c>
      <c r="C427" s="42">
        <f t="array" ref="C427">INDEX(SkillBoxes!A426:D1002,MATCH(E427,SkillBoxes!A426:A1002,0),2)</f>
        <v>23</v>
      </c>
      <c r="D427" s="42" t="str">
        <f t="array" ref="D427">INDEX(SkillBoxes!A426:D1002,MATCH(E427,SkillBoxes!A426:A1002,0),3)</f>
        <v>Flick Reaper</v>
      </c>
      <c r="E427" s="42">
        <v>424.0</v>
      </c>
      <c r="F427" s="42" t="str">
        <f t="array" ref="F427">INDEX(SkillBoxes!A426:D1002,MATCH(E427,SkillBoxes!A426:A1002,0),4)</f>
        <v>Spectral Affliction II</v>
      </c>
      <c r="G427" s="41">
        <v>10.0</v>
      </c>
      <c r="H427" s="41" t="s">
        <v>160</v>
      </c>
      <c r="I427" s="41" t="s">
        <v>1498</v>
      </c>
      <c r="J427" s="41" t="s">
        <v>1480</v>
      </c>
      <c r="K427" s="41">
        <v>1.3</v>
      </c>
      <c r="L427" s="41" t="s">
        <v>410</v>
      </c>
      <c r="M427" s="41">
        <v>2.0</v>
      </c>
      <c r="N427" s="41">
        <v>0.1</v>
      </c>
      <c r="O427" s="41" t="s">
        <v>161</v>
      </c>
      <c r="P427" s="41" t="s">
        <v>1518</v>
      </c>
      <c r="Q427" s="42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</row>
    <row r="428">
      <c r="A428" s="44">
        <v>425.0</v>
      </c>
      <c r="B428" s="44" t="s">
        <v>1913</v>
      </c>
      <c r="C428" s="45">
        <f t="array" ref="C428">INDEX(SkillBoxes!A427:D1003,MATCH(E428,SkillBoxes!A427:A1003,0),2)</f>
        <v>23</v>
      </c>
      <c r="D428" s="45" t="str">
        <f t="array" ref="D428">INDEX(SkillBoxes!A427:D1003,MATCH(E428,SkillBoxes!A427:A1003,0),3)</f>
        <v>Flick Reaper</v>
      </c>
      <c r="E428" s="45">
        <v>425.0</v>
      </c>
      <c r="F428" s="45" t="str">
        <f t="array" ref="F428">INDEX(SkillBoxes!A427:D1003,MATCH(E428,SkillBoxes!A427:A1003,0),4)</f>
        <v>Spectral Affliction III</v>
      </c>
      <c r="G428" s="44">
        <v>12.0</v>
      </c>
      <c r="H428" s="44" t="s">
        <v>160</v>
      </c>
      <c r="I428" s="44" t="s">
        <v>1498</v>
      </c>
      <c r="J428" s="44" t="s">
        <v>1480</v>
      </c>
      <c r="K428" s="44">
        <v>1.5</v>
      </c>
      <c r="L428" s="44" t="s">
        <v>1484</v>
      </c>
      <c r="M428" s="44">
        <v>2.0</v>
      </c>
      <c r="N428" s="44">
        <v>-2.0</v>
      </c>
      <c r="O428" s="44" t="s">
        <v>141</v>
      </c>
      <c r="P428" s="44" t="s">
        <v>1518</v>
      </c>
      <c r="Q428" s="45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</row>
    <row r="429">
      <c r="A429" s="41">
        <v>426.0</v>
      </c>
      <c r="B429" s="41" t="s">
        <v>1914</v>
      </c>
      <c r="C429" s="42">
        <f t="array" ref="C429">INDEX(SkillBoxes!A428:D1004,MATCH(E429,SkillBoxes!A428:A1004,0),2)</f>
        <v>23</v>
      </c>
      <c r="D429" s="42" t="str">
        <f t="array" ref="D429">INDEX(SkillBoxes!A428:D1004,MATCH(E429,SkillBoxes!A428:A1004,0),3)</f>
        <v>Flick Reaper</v>
      </c>
      <c r="E429" s="42">
        <v>426.0</v>
      </c>
      <c r="F429" s="42" t="str">
        <f t="array" ref="F429">INDEX(SkillBoxes!A428:D1004,MATCH(E429,SkillBoxes!A428:A1004,0),4)</f>
        <v>Spectral Affliction IV</v>
      </c>
      <c r="G429" s="41">
        <v>14.0</v>
      </c>
      <c r="H429" s="41" t="s">
        <v>159</v>
      </c>
      <c r="I429" s="41" t="s">
        <v>1498</v>
      </c>
      <c r="J429" s="41" t="s">
        <v>1491</v>
      </c>
      <c r="K429" s="41">
        <v>1.0</v>
      </c>
      <c r="L429" s="41" t="s">
        <v>1484</v>
      </c>
      <c r="M429" s="41">
        <v>3.0</v>
      </c>
      <c r="N429" s="41">
        <v>-3.0</v>
      </c>
      <c r="O429" s="41" t="s">
        <v>141</v>
      </c>
      <c r="P429" s="41" t="s">
        <v>1518</v>
      </c>
      <c r="Q429" s="42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</row>
    <row r="430">
      <c r="A430" s="41">
        <v>427.0</v>
      </c>
      <c r="B430" s="44" t="s">
        <v>1915</v>
      </c>
      <c r="C430" s="45">
        <f t="array" ref="C430">INDEX(SkillBoxes!A429:D1005,MATCH(E430,SkillBoxes!A429:A1005,0),2)</f>
        <v>23</v>
      </c>
      <c r="D430" s="45" t="str">
        <f t="array" ref="D430">INDEX(SkillBoxes!A429:D1005,MATCH(E430,SkillBoxes!A429:A1005,0),3)</f>
        <v>Flick Reaper</v>
      </c>
      <c r="E430" s="45">
        <v>427.0</v>
      </c>
      <c r="F430" s="45" t="str">
        <f t="array" ref="F430">INDEX(SkillBoxes!A429:D1005,MATCH(E430,SkillBoxes!A429:A1005,0),4)</f>
        <v>Scythe Mastery I</v>
      </c>
      <c r="G430" s="44">
        <v>8.0</v>
      </c>
      <c r="H430" s="44" t="s">
        <v>125</v>
      </c>
      <c r="I430" s="44" t="s">
        <v>1479</v>
      </c>
      <c r="J430" s="44" t="s">
        <v>1480</v>
      </c>
      <c r="K430" s="44">
        <v>1.2</v>
      </c>
      <c r="L430" s="45"/>
      <c r="M430" s="45"/>
      <c r="N430" s="45"/>
      <c r="O430" s="45"/>
      <c r="P430" s="45"/>
      <c r="Q430" s="45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</row>
    <row r="431">
      <c r="A431" s="44">
        <v>428.0</v>
      </c>
      <c r="B431" s="41" t="s">
        <v>1916</v>
      </c>
      <c r="C431" s="42">
        <f t="array" ref="C431">INDEX(SkillBoxes!A430:D1006,MATCH(E431,SkillBoxes!A430:A1006,0),2)</f>
        <v>23</v>
      </c>
      <c r="D431" s="42" t="str">
        <f t="array" ref="D431">INDEX(SkillBoxes!A430:D1006,MATCH(E431,SkillBoxes!A430:A1006,0),3)</f>
        <v>Flick Reaper</v>
      </c>
      <c r="E431" s="42">
        <v>428.0</v>
      </c>
      <c r="F431" s="42" t="str">
        <f t="array" ref="F431">INDEX(SkillBoxes!A430:D1006,MATCH(E431,SkillBoxes!A430:A1006,0),4)</f>
        <v>Scythe Mastery II</v>
      </c>
      <c r="G431" s="41">
        <v>10.0</v>
      </c>
      <c r="H431" s="41" t="s">
        <v>125</v>
      </c>
      <c r="I431" s="41" t="s">
        <v>1479</v>
      </c>
      <c r="J431" s="41" t="s">
        <v>1480</v>
      </c>
      <c r="K431" s="41">
        <v>1.35</v>
      </c>
      <c r="L431" s="42"/>
      <c r="M431" s="42"/>
      <c r="N431" s="42"/>
      <c r="O431" s="42"/>
      <c r="P431" s="42"/>
      <c r="Q431" s="42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</row>
    <row r="432">
      <c r="A432" s="41">
        <v>429.0</v>
      </c>
      <c r="B432" s="44" t="s">
        <v>1917</v>
      </c>
      <c r="C432" s="45">
        <f t="array" ref="C432">INDEX(SkillBoxes!A431:D1007,MATCH(E432,SkillBoxes!A431:A1007,0),2)</f>
        <v>23</v>
      </c>
      <c r="D432" s="45" t="str">
        <f t="array" ref="D432">INDEX(SkillBoxes!A431:D1007,MATCH(E432,SkillBoxes!A431:A1007,0),3)</f>
        <v>Flick Reaper</v>
      </c>
      <c r="E432" s="45">
        <v>429.0</v>
      </c>
      <c r="F432" s="45" t="str">
        <f t="array" ref="F432">INDEX(SkillBoxes!A431:D1007,MATCH(E432,SkillBoxes!A431:A1007,0),4)</f>
        <v>Scythe Mastery III</v>
      </c>
      <c r="G432" s="44">
        <v>12.0</v>
      </c>
      <c r="H432" s="44" t="s">
        <v>125</v>
      </c>
      <c r="I432" s="44" t="s">
        <v>1479</v>
      </c>
      <c r="J432" s="44" t="s">
        <v>1491</v>
      </c>
      <c r="K432" s="44">
        <v>0.9</v>
      </c>
      <c r="L432" s="44" t="s">
        <v>1484</v>
      </c>
      <c r="M432" s="44">
        <v>1.0</v>
      </c>
      <c r="N432" s="44">
        <v>-1.0</v>
      </c>
      <c r="O432" s="44" t="s">
        <v>141</v>
      </c>
      <c r="P432" s="45"/>
      <c r="Q432" s="45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</row>
    <row r="433">
      <c r="A433" s="44">
        <v>430.0</v>
      </c>
      <c r="B433" s="41" t="s">
        <v>1918</v>
      </c>
      <c r="C433" s="42">
        <f t="array" ref="C433">INDEX(SkillBoxes!A432:D1008,MATCH(E433,SkillBoxes!A432:A1008,0),2)</f>
        <v>23</v>
      </c>
      <c r="D433" s="42" t="str">
        <f t="array" ref="D433">INDEX(SkillBoxes!A432:D1008,MATCH(E433,SkillBoxes!A432:A1008,0),3)</f>
        <v>Flick Reaper</v>
      </c>
      <c r="E433" s="42">
        <v>430.0</v>
      </c>
      <c r="F433" s="42" t="str">
        <f t="array" ref="F433">INDEX(SkillBoxes!A432:D1008,MATCH(E433,SkillBoxes!A432:A1008,0),4)</f>
        <v>Scythe Mastery IV</v>
      </c>
      <c r="G433" s="41">
        <v>14.0</v>
      </c>
      <c r="H433" s="41" t="s">
        <v>159</v>
      </c>
      <c r="I433" s="41" t="s">
        <v>1479</v>
      </c>
      <c r="J433" s="41" t="s">
        <v>1491</v>
      </c>
      <c r="K433" s="41">
        <v>1.1</v>
      </c>
      <c r="L433" s="41" t="s">
        <v>1484</v>
      </c>
      <c r="M433" s="41">
        <v>3.0</v>
      </c>
      <c r="N433" s="41">
        <v>-3.0</v>
      </c>
      <c r="O433" s="41" t="s">
        <v>141</v>
      </c>
      <c r="P433" s="41" t="s">
        <v>1518</v>
      </c>
      <c r="Q433" s="42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</row>
    <row r="434">
      <c r="A434" s="41">
        <v>431.0</v>
      </c>
      <c r="B434" s="44" t="s">
        <v>1919</v>
      </c>
      <c r="C434" s="45">
        <f t="array" ref="C434">INDEX(SkillBoxes!A433:D1009,MATCH(E434,SkillBoxes!A433:A1009,0),2)</f>
        <v>23</v>
      </c>
      <c r="D434" s="45" t="str">
        <f t="array" ref="D434">INDEX(SkillBoxes!A433:D1009,MATCH(E434,SkillBoxes!A433:A1009,0),3)</f>
        <v>Flick Reaper</v>
      </c>
      <c r="E434" s="45">
        <v>431.0</v>
      </c>
      <c r="F434" s="45" t="str">
        <f t="array" ref="F434">INDEX(SkillBoxes!A433:D1009,MATCH(E434,SkillBoxes!A433:A1009,0),4)</f>
        <v>Master Flick Reaper</v>
      </c>
      <c r="G434" s="44">
        <v>20.0</v>
      </c>
      <c r="H434" s="44" t="s">
        <v>159</v>
      </c>
      <c r="I434" s="44" t="s">
        <v>1498</v>
      </c>
      <c r="J434" s="44" t="s">
        <v>1491</v>
      </c>
      <c r="K434" s="44">
        <v>1.2</v>
      </c>
      <c r="L434" s="44" t="s">
        <v>1484</v>
      </c>
      <c r="M434" s="44">
        <v>5.0</v>
      </c>
      <c r="N434" s="44">
        <v>-5.0</v>
      </c>
      <c r="O434" s="44" t="s">
        <v>141</v>
      </c>
      <c r="P434" s="44" t="s">
        <v>1518</v>
      </c>
      <c r="Q434" s="45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</row>
    <row r="435">
      <c r="A435" s="44">
        <v>432.0</v>
      </c>
      <c r="B435" s="41" t="s">
        <v>1920</v>
      </c>
      <c r="C435" s="42">
        <f t="array" ref="C435">INDEX(SkillBoxes!A434:D1010,MATCH(E435,SkillBoxes!A434:A1010,0),2)</f>
        <v>24</v>
      </c>
      <c r="D435" s="42" t="str">
        <f t="array" ref="D435">INDEX(SkillBoxes!A434:D1010,MATCH(E435,SkillBoxes!A434:A1010,0),3)</f>
        <v>Wicked Warlock</v>
      </c>
      <c r="E435" s="42">
        <v>432.0</v>
      </c>
      <c r="F435" s="42" t="str">
        <f t="array" ref="F435">INDEX(SkillBoxes!A434:D1010,MATCH(E435,SkillBoxes!A434:A1010,0),4)</f>
        <v>Novice Wicked Warlock</v>
      </c>
      <c r="G435" s="41">
        <v>8.0</v>
      </c>
      <c r="H435" s="41" t="s">
        <v>160</v>
      </c>
      <c r="I435" s="41" t="s">
        <v>1498</v>
      </c>
      <c r="J435" s="41" t="s">
        <v>1480</v>
      </c>
      <c r="K435" s="41">
        <v>1.1</v>
      </c>
      <c r="L435" s="41" t="s">
        <v>410</v>
      </c>
      <c r="M435" s="41">
        <v>1.0</v>
      </c>
      <c r="N435" s="41">
        <v>0.05</v>
      </c>
      <c r="O435" s="41" t="s">
        <v>161</v>
      </c>
      <c r="P435" s="41" t="s">
        <v>1518</v>
      </c>
      <c r="Q435" s="42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</row>
    <row r="436">
      <c r="A436" s="41">
        <v>433.0</v>
      </c>
      <c r="B436" s="44" t="s">
        <v>1921</v>
      </c>
      <c r="C436" s="45">
        <f t="array" ref="C436">INDEX(SkillBoxes!A435:D1011,MATCH(E436,SkillBoxes!A435:A1011,0),2)</f>
        <v>24</v>
      </c>
      <c r="D436" s="45" t="str">
        <f t="array" ref="D436">INDEX(SkillBoxes!A435:D1011,MATCH(E436,SkillBoxes!A435:A1011,0),3)</f>
        <v>Wicked Warlock</v>
      </c>
      <c r="E436" s="45">
        <v>433.0</v>
      </c>
      <c r="F436" s="45" t="str">
        <f t="array" ref="F436">INDEX(SkillBoxes!A435:D1011,MATCH(E436,SkillBoxes!A435:A1011,0),4)</f>
        <v>Forbidden Knowledge I</v>
      </c>
      <c r="G436" s="44">
        <v>8.0</v>
      </c>
      <c r="H436" s="44" t="s">
        <v>160</v>
      </c>
      <c r="I436" s="44" t="s">
        <v>1498</v>
      </c>
      <c r="J436" s="44" t="s">
        <v>1480</v>
      </c>
      <c r="K436" s="44">
        <v>1.2</v>
      </c>
      <c r="L436" s="45"/>
      <c r="M436" s="45"/>
      <c r="N436" s="45"/>
      <c r="O436" s="45"/>
      <c r="P436" s="44" t="s">
        <v>1518</v>
      </c>
      <c r="Q436" s="45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</row>
    <row r="437">
      <c r="A437" s="41">
        <v>434.0</v>
      </c>
      <c r="B437" s="41" t="s">
        <v>1922</v>
      </c>
      <c r="C437" s="42">
        <f t="array" ref="C437">INDEX(SkillBoxes!A436:D1012,MATCH(E437,SkillBoxes!A436:A1012,0),2)</f>
        <v>24</v>
      </c>
      <c r="D437" s="42" t="str">
        <f t="array" ref="D437">INDEX(SkillBoxes!A436:D1012,MATCH(E437,SkillBoxes!A436:A1012,0),3)</f>
        <v>Wicked Warlock</v>
      </c>
      <c r="E437" s="42">
        <v>434.0</v>
      </c>
      <c r="F437" s="42" t="str">
        <f t="array" ref="F437">INDEX(SkillBoxes!A436:D1012,MATCH(E437,SkillBoxes!A436:A1012,0),4)</f>
        <v>Forbidden Knowledge II</v>
      </c>
      <c r="G437" s="41">
        <v>10.0</v>
      </c>
      <c r="H437" s="41" t="s">
        <v>160</v>
      </c>
      <c r="I437" s="41" t="s">
        <v>1498</v>
      </c>
      <c r="J437" s="41" t="s">
        <v>1480</v>
      </c>
      <c r="K437" s="41">
        <v>1.35</v>
      </c>
      <c r="L437" s="42"/>
      <c r="M437" s="42"/>
      <c r="N437" s="42"/>
      <c r="O437" s="42"/>
      <c r="P437" s="41" t="s">
        <v>1518</v>
      </c>
      <c r="Q437" s="42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</row>
    <row r="438">
      <c r="A438" s="44">
        <v>435.0</v>
      </c>
      <c r="B438" s="44" t="s">
        <v>1923</v>
      </c>
      <c r="C438" s="45">
        <f t="array" ref="C438">INDEX(SkillBoxes!A437:D1013,MATCH(E438,SkillBoxes!A437:A1013,0),2)</f>
        <v>24</v>
      </c>
      <c r="D438" s="45" t="str">
        <f t="array" ref="D438">INDEX(SkillBoxes!A437:D1013,MATCH(E438,SkillBoxes!A437:A1013,0),3)</f>
        <v>Wicked Warlock</v>
      </c>
      <c r="E438" s="45">
        <v>435.0</v>
      </c>
      <c r="F438" s="45" t="str">
        <f t="array" ref="F438">INDEX(SkillBoxes!A437:D1013,MATCH(E438,SkillBoxes!A437:A1013,0),4)</f>
        <v>Forbidden Knowledge III</v>
      </c>
      <c r="G438" s="44">
        <v>12.0</v>
      </c>
      <c r="H438" s="44" t="s">
        <v>160</v>
      </c>
      <c r="I438" s="44" t="s">
        <v>1498</v>
      </c>
      <c r="J438" s="44" t="s">
        <v>1480</v>
      </c>
      <c r="K438" s="44">
        <v>1.5</v>
      </c>
      <c r="L438" s="44" t="s">
        <v>410</v>
      </c>
      <c r="M438" s="44">
        <v>2.0</v>
      </c>
      <c r="N438" s="44">
        <v>0.1</v>
      </c>
      <c r="O438" s="44" t="s">
        <v>161</v>
      </c>
      <c r="P438" s="44" t="s">
        <v>1518</v>
      </c>
      <c r="Q438" s="45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</row>
    <row r="439">
      <c r="A439" s="41">
        <v>436.0</v>
      </c>
      <c r="B439" s="41" t="s">
        <v>1924</v>
      </c>
      <c r="C439" s="42">
        <f t="array" ref="C439">INDEX(SkillBoxes!A438:D1014,MATCH(E439,SkillBoxes!A438:A1014,0),2)</f>
        <v>24</v>
      </c>
      <c r="D439" s="42" t="str">
        <f t="array" ref="D439">INDEX(SkillBoxes!A438:D1014,MATCH(E439,SkillBoxes!A438:A1014,0),3)</f>
        <v>Wicked Warlock</v>
      </c>
      <c r="E439" s="42">
        <v>436.0</v>
      </c>
      <c r="F439" s="42" t="str">
        <f t="array" ref="F439">INDEX(SkillBoxes!A438:D1014,MATCH(E439,SkillBoxes!A438:A1014,0),4)</f>
        <v>Forbidden Knowledge IV</v>
      </c>
      <c r="G439" s="41">
        <v>14.0</v>
      </c>
      <c r="H439" s="41" t="s">
        <v>160</v>
      </c>
      <c r="I439" s="41" t="s">
        <v>1498</v>
      </c>
      <c r="J439" s="41" t="s">
        <v>1491</v>
      </c>
      <c r="K439" s="41">
        <v>1.0</v>
      </c>
      <c r="L439" s="41" t="s">
        <v>410</v>
      </c>
      <c r="M439" s="41">
        <v>3.0</v>
      </c>
      <c r="N439" s="41">
        <v>0.15</v>
      </c>
      <c r="O439" s="41" t="s">
        <v>161</v>
      </c>
      <c r="P439" s="41" t="s">
        <v>1518</v>
      </c>
      <c r="Q439" s="42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</row>
    <row r="440">
      <c r="A440" s="44">
        <v>437.0</v>
      </c>
      <c r="B440" s="44" t="s">
        <v>1925</v>
      </c>
      <c r="C440" s="45">
        <f t="array" ref="C440">INDEX(SkillBoxes!A439:D1015,MATCH(E440,SkillBoxes!A439:A1015,0),2)</f>
        <v>24</v>
      </c>
      <c r="D440" s="45" t="str">
        <f t="array" ref="D440">INDEX(SkillBoxes!A439:D1015,MATCH(E440,SkillBoxes!A439:A1015,0),3)</f>
        <v>Wicked Warlock</v>
      </c>
      <c r="E440" s="45">
        <v>437.0</v>
      </c>
      <c r="F440" s="45" t="str">
        <f t="array" ref="F440">INDEX(SkillBoxes!A439:D1015,MATCH(E440,SkillBoxes!A439:A1015,0),4)</f>
        <v>Crippling Curses I</v>
      </c>
      <c r="G440" s="44">
        <v>8.0</v>
      </c>
      <c r="H440" s="44" t="s">
        <v>160</v>
      </c>
      <c r="I440" s="44" t="s">
        <v>1498</v>
      </c>
      <c r="J440" s="44" t="s">
        <v>1480</v>
      </c>
      <c r="K440" s="44">
        <v>1.0</v>
      </c>
      <c r="L440" s="44" t="s">
        <v>410</v>
      </c>
      <c r="M440" s="44">
        <v>2.0</v>
      </c>
      <c r="N440" s="44">
        <v>0.1</v>
      </c>
      <c r="O440" s="44" t="s">
        <v>129</v>
      </c>
      <c r="P440" s="45"/>
      <c r="Q440" s="45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</row>
    <row r="441">
      <c r="A441" s="41">
        <v>438.0</v>
      </c>
      <c r="B441" s="41" t="s">
        <v>1926</v>
      </c>
      <c r="C441" s="42">
        <f t="array" ref="C441">INDEX(SkillBoxes!A440:D1016,MATCH(E441,SkillBoxes!A440:A1016,0),2)</f>
        <v>24</v>
      </c>
      <c r="D441" s="42" t="str">
        <f t="array" ref="D441">INDEX(SkillBoxes!A440:D1016,MATCH(E441,SkillBoxes!A440:A1016,0),3)</f>
        <v>Wicked Warlock</v>
      </c>
      <c r="E441" s="42">
        <v>438.0</v>
      </c>
      <c r="F441" s="42" t="str">
        <f t="array" ref="F441">INDEX(SkillBoxes!A440:D1016,MATCH(E441,SkillBoxes!A440:A1016,0),4)</f>
        <v>Crippling Curses II</v>
      </c>
      <c r="G441" s="41">
        <v>10.0</v>
      </c>
      <c r="H441" s="41" t="s">
        <v>160</v>
      </c>
      <c r="I441" s="41" t="s">
        <v>1498</v>
      </c>
      <c r="J441" s="41" t="s">
        <v>1480</v>
      </c>
      <c r="K441" s="41">
        <v>1.1</v>
      </c>
      <c r="L441" s="41" t="s">
        <v>410</v>
      </c>
      <c r="M441" s="41">
        <v>3.0</v>
      </c>
      <c r="N441" s="41">
        <v>0.1</v>
      </c>
      <c r="O441" s="41" t="s">
        <v>129</v>
      </c>
      <c r="P441" s="42"/>
      <c r="Q441" s="42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</row>
    <row r="442">
      <c r="A442" s="44">
        <v>439.0</v>
      </c>
      <c r="B442" s="44" t="s">
        <v>1927</v>
      </c>
      <c r="C442" s="45">
        <f t="array" ref="C442">INDEX(SkillBoxes!A441:D1017,MATCH(E442,SkillBoxes!A441:A1017,0),2)</f>
        <v>24</v>
      </c>
      <c r="D442" s="45" t="str">
        <f t="array" ref="D442">INDEX(SkillBoxes!A441:D1017,MATCH(E442,SkillBoxes!A441:A1017,0),3)</f>
        <v>Wicked Warlock</v>
      </c>
      <c r="E442" s="45">
        <v>439.0</v>
      </c>
      <c r="F442" s="45" t="str">
        <f t="array" ref="F442">INDEX(SkillBoxes!A441:D1017,MATCH(E442,SkillBoxes!A441:A1017,0),4)</f>
        <v>Crippling Curses III</v>
      </c>
      <c r="G442" s="44">
        <v>12.0</v>
      </c>
      <c r="H442" s="44" t="s">
        <v>160</v>
      </c>
      <c r="I442" s="44" t="s">
        <v>1498</v>
      </c>
      <c r="J442" s="44" t="s">
        <v>1491</v>
      </c>
      <c r="K442" s="44">
        <v>0.8</v>
      </c>
      <c r="L442" s="44" t="s">
        <v>410</v>
      </c>
      <c r="M442" s="44">
        <v>2.0</v>
      </c>
      <c r="N442" s="44">
        <v>0.1</v>
      </c>
      <c r="O442" s="44" t="s">
        <v>133</v>
      </c>
      <c r="P442" s="45"/>
      <c r="Q442" s="45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</row>
    <row r="443">
      <c r="A443" s="41">
        <v>440.0</v>
      </c>
      <c r="B443" s="41" t="s">
        <v>1928</v>
      </c>
      <c r="C443" s="42">
        <f t="array" ref="C443">INDEX(SkillBoxes!A442:D1018,MATCH(E443,SkillBoxes!A442:A1018,0),2)</f>
        <v>24</v>
      </c>
      <c r="D443" s="42" t="str">
        <f t="array" ref="D443">INDEX(SkillBoxes!A442:D1018,MATCH(E443,SkillBoxes!A442:A1018,0),3)</f>
        <v>Wicked Warlock</v>
      </c>
      <c r="E443" s="42">
        <v>440.0</v>
      </c>
      <c r="F443" s="42" t="str">
        <f t="array" ref="F443">INDEX(SkillBoxes!A442:D1018,MATCH(E443,SkillBoxes!A442:A1018,0),4)</f>
        <v>Crippling Curses IV</v>
      </c>
      <c r="G443" s="41">
        <v>14.0</v>
      </c>
      <c r="H443" s="41" t="s">
        <v>159</v>
      </c>
      <c r="I443" s="41" t="s">
        <v>1498</v>
      </c>
      <c r="J443" s="41" t="s">
        <v>1491</v>
      </c>
      <c r="K443" s="41">
        <v>0.9</v>
      </c>
      <c r="L443" s="41" t="s">
        <v>410</v>
      </c>
      <c r="M443" s="41">
        <v>4.0</v>
      </c>
      <c r="N443" s="41">
        <v>0.15</v>
      </c>
      <c r="O443" s="41" t="s">
        <v>126</v>
      </c>
      <c r="P443" s="41" t="s">
        <v>1518</v>
      </c>
      <c r="Q443" s="42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</row>
    <row r="444">
      <c r="A444" s="41">
        <v>441.0</v>
      </c>
      <c r="B444" s="44" t="s">
        <v>1929</v>
      </c>
      <c r="C444" s="45">
        <f t="array" ref="C444">INDEX(SkillBoxes!A443:D1019,MATCH(E444,SkillBoxes!A443:A1019,0),2)</f>
        <v>24</v>
      </c>
      <c r="D444" s="45" t="str">
        <f t="array" ref="D444">INDEX(SkillBoxes!A443:D1019,MATCH(E444,SkillBoxes!A443:A1019,0),3)</f>
        <v>Wicked Warlock</v>
      </c>
      <c r="E444" s="45">
        <v>441.0</v>
      </c>
      <c r="F444" s="45" t="str">
        <f t="array" ref="F444">INDEX(SkillBoxes!A443:D1019,MATCH(E444,SkillBoxes!A443:A1019,0),4)</f>
        <v>Toxic Waves I</v>
      </c>
      <c r="G444" s="44">
        <v>8.0</v>
      </c>
      <c r="H444" s="44" t="s">
        <v>160</v>
      </c>
      <c r="I444" s="44" t="s">
        <v>1498</v>
      </c>
      <c r="J444" s="44" t="s">
        <v>1480</v>
      </c>
      <c r="K444" s="44">
        <v>1.0</v>
      </c>
      <c r="L444" s="44" t="s">
        <v>1484</v>
      </c>
      <c r="M444" s="44">
        <v>2.0</v>
      </c>
      <c r="N444" s="44">
        <v>-2.0</v>
      </c>
      <c r="O444" s="44" t="s">
        <v>141</v>
      </c>
      <c r="P444" s="45"/>
      <c r="Q444" s="45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</row>
    <row r="445">
      <c r="A445" s="44">
        <v>442.0</v>
      </c>
      <c r="B445" s="41" t="s">
        <v>1930</v>
      </c>
      <c r="C445" s="42">
        <f t="array" ref="C445">INDEX(SkillBoxes!A444:D1020,MATCH(E445,SkillBoxes!A444:A1020,0),2)</f>
        <v>24</v>
      </c>
      <c r="D445" s="42" t="str">
        <f t="array" ref="D445">INDEX(SkillBoxes!A444:D1020,MATCH(E445,SkillBoxes!A444:A1020,0),3)</f>
        <v>Wicked Warlock</v>
      </c>
      <c r="E445" s="42">
        <v>442.0</v>
      </c>
      <c r="F445" s="42" t="str">
        <f t="array" ref="F445">INDEX(SkillBoxes!A444:D1020,MATCH(E445,SkillBoxes!A444:A1020,0),4)</f>
        <v>Toxic Waves II</v>
      </c>
      <c r="G445" s="41">
        <v>10.0</v>
      </c>
      <c r="H445" s="41" t="s">
        <v>160</v>
      </c>
      <c r="I445" s="41" t="s">
        <v>1498</v>
      </c>
      <c r="J445" s="41" t="s">
        <v>1480</v>
      </c>
      <c r="K445" s="41">
        <v>1.1</v>
      </c>
      <c r="L445" s="41" t="s">
        <v>1484</v>
      </c>
      <c r="M445" s="41">
        <v>3.0</v>
      </c>
      <c r="N445" s="41">
        <v>-3.0</v>
      </c>
      <c r="O445" s="41" t="s">
        <v>141</v>
      </c>
      <c r="P445" s="42"/>
      <c r="Q445" s="42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</row>
    <row r="446">
      <c r="A446" s="41">
        <v>443.0</v>
      </c>
      <c r="B446" s="44" t="s">
        <v>1931</v>
      </c>
      <c r="C446" s="45">
        <f t="array" ref="C446">INDEX(SkillBoxes!A445:D1021,MATCH(E446,SkillBoxes!A445:A1021,0),2)</f>
        <v>24</v>
      </c>
      <c r="D446" s="45" t="str">
        <f t="array" ref="D446">INDEX(SkillBoxes!A445:D1021,MATCH(E446,SkillBoxes!A445:A1021,0),3)</f>
        <v>Wicked Warlock</v>
      </c>
      <c r="E446" s="45">
        <v>443.0</v>
      </c>
      <c r="F446" s="45" t="str">
        <f t="array" ref="F446">INDEX(SkillBoxes!A445:D1021,MATCH(E446,SkillBoxes!A445:A1021,0),4)</f>
        <v>Toxic Waves III</v>
      </c>
      <c r="G446" s="44">
        <v>12.0</v>
      </c>
      <c r="H446" s="44" t="s">
        <v>160</v>
      </c>
      <c r="I446" s="44" t="s">
        <v>1498</v>
      </c>
      <c r="J446" s="44" t="s">
        <v>1491</v>
      </c>
      <c r="K446" s="44">
        <v>0.8</v>
      </c>
      <c r="L446" s="44" t="s">
        <v>1484</v>
      </c>
      <c r="M446" s="44">
        <v>3.0</v>
      </c>
      <c r="N446" s="44">
        <v>-2.0</v>
      </c>
      <c r="O446" s="44" t="s">
        <v>141</v>
      </c>
      <c r="P446" s="45"/>
      <c r="Q446" s="45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</row>
    <row r="447">
      <c r="A447" s="44">
        <v>444.0</v>
      </c>
      <c r="B447" s="41" t="s">
        <v>1932</v>
      </c>
      <c r="C447" s="42">
        <f t="array" ref="C447">INDEX(SkillBoxes!A446:D1022,MATCH(E447,SkillBoxes!A446:A1022,0),2)</f>
        <v>24</v>
      </c>
      <c r="D447" s="42" t="str">
        <f t="array" ref="D447">INDEX(SkillBoxes!A446:D1022,MATCH(E447,SkillBoxes!A446:A1022,0),3)</f>
        <v>Wicked Warlock</v>
      </c>
      <c r="E447" s="42">
        <v>444.0</v>
      </c>
      <c r="F447" s="42" t="str">
        <f t="array" ref="F447">INDEX(SkillBoxes!A446:D1022,MATCH(E447,SkillBoxes!A446:A1022,0),4)</f>
        <v>Toxic Waves IV</v>
      </c>
      <c r="G447" s="41">
        <v>14.0</v>
      </c>
      <c r="H447" s="41" t="s">
        <v>159</v>
      </c>
      <c r="I447" s="41" t="s">
        <v>1498</v>
      </c>
      <c r="J447" s="41" t="s">
        <v>1491</v>
      </c>
      <c r="K447" s="41">
        <v>0.9</v>
      </c>
      <c r="L447" s="41" t="s">
        <v>1484</v>
      </c>
      <c r="M447" s="41">
        <v>4.0</v>
      </c>
      <c r="N447" s="41">
        <v>-4.0</v>
      </c>
      <c r="O447" s="41" t="s">
        <v>141</v>
      </c>
      <c r="P447" s="41" t="s">
        <v>1518</v>
      </c>
      <c r="Q447" s="42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</row>
    <row r="448">
      <c r="A448" s="41">
        <v>445.0</v>
      </c>
      <c r="B448" s="44" t="s">
        <v>1933</v>
      </c>
      <c r="C448" s="45">
        <f t="array" ref="C448">INDEX(SkillBoxes!A447:D1023,MATCH(E448,SkillBoxes!A447:A1023,0),2)</f>
        <v>24</v>
      </c>
      <c r="D448" s="45" t="str">
        <f t="array" ref="D448">INDEX(SkillBoxes!A447:D1023,MATCH(E448,SkillBoxes!A447:A1023,0),3)</f>
        <v>Wicked Warlock</v>
      </c>
      <c r="E448" s="45">
        <v>445.0</v>
      </c>
      <c r="F448" s="45" t="str">
        <f t="array" ref="F448">INDEX(SkillBoxes!A447:D1023,MATCH(E448,SkillBoxes!A447:A1023,0),4)</f>
        <v>Steady Casting I</v>
      </c>
      <c r="G448" s="44">
        <v>7.0</v>
      </c>
      <c r="H448" s="44" t="s">
        <v>1557</v>
      </c>
      <c r="I448" s="44" t="s">
        <v>1498</v>
      </c>
      <c r="J448" s="44" t="s">
        <v>1495</v>
      </c>
      <c r="K448" s="44">
        <v>0.0</v>
      </c>
      <c r="L448" s="44" t="s">
        <v>1513</v>
      </c>
      <c r="M448" s="44">
        <v>2.0</v>
      </c>
      <c r="N448" s="44">
        <v>0.1</v>
      </c>
      <c r="O448" s="44" t="s">
        <v>126</v>
      </c>
      <c r="P448" s="45"/>
      <c r="Q448" s="45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</row>
    <row r="449">
      <c r="A449" s="44">
        <v>446.0</v>
      </c>
      <c r="B449" s="41" t="s">
        <v>1934</v>
      </c>
      <c r="C449" s="42">
        <f t="array" ref="C449">INDEX(SkillBoxes!A448:D1024,MATCH(E449,SkillBoxes!A448:A1024,0),2)</f>
        <v>24</v>
      </c>
      <c r="D449" s="42" t="str">
        <f t="array" ref="D449">INDEX(SkillBoxes!A448:D1024,MATCH(E449,SkillBoxes!A448:A1024,0),3)</f>
        <v>Wicked Warlock</v>
      </c>
      <c r="E449" s="42">
        <v>446.0</v>
      </c>
      <c r="F449" s="42" t="str">
        <f t="array" ref="F449">INDEX(SkillBoxes!A448:D1024,MATCH(E449,SkillBoxes!A448:A1024,0),4)</f>
        <v>Steady Casting II</v>
      </c>
      <c r="G449" s="41">
        <v>9.0</v>
      </c>
      <c r="H449" s="41" t="s">
        <v>1557</v>
      </c>
      <c r="I449" s="41" t="s">
        <v>1498</v>
      </c>
      <c r="J449" s="41" t="s">
        <v>1495</v>
      </c>
      <c r="K449" s="41">
        <v>0.0</v>
      </c>
      <c r="L449" s="41" t="s">
        <v>1513</v>
      </c>
      <c r="M449" s="41">
        <v>3.0</v>
      </c>
      <c r="N449" s="41">
        <v>0.15</v>
      </c>
      <c r="O449" s="41" t="s">
        <v>126</v>
      </c>
      <c r="P449" s="42"/>
      <c r="Q449" s="42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</row>
    <row r="450">
      <c r="A450" s="41">
        <v>447.0</v>
      </c>
      <c r="B450" s="44" t="s">
        <v>1935</v>
      </c>
      <c r="C450" s="45">
        <f t="array" ref="C450">INDEX(SkillBoxes!A449:D1025,MATCH(E450,SkillBoxes!A449:A1025,0),2)</f>
        <v>24</v>
      </c>
      <c r="D450" s="45" t="str">
        <f t="array" ref="D450">INDEX(SkillBoxes!A449:D1025,MATCH(E450,SkillBoxes!A449:A1025,0),3)</f>
        <v>Wicked Warlock</v>
      </c>
      <c r="E450" s="45">
        <v>447.0</v>
      </c>
      <c r="F450" s="45" t="str">
        <f t="array" ref="F450">INDEX(SkillBoxes!A449:D1025,MATCH(E450,SkillBoxes!A449:A1025,0),4)</f>
        <v>Steady Casting III</v>
      </c>
      <c r="G450" s="44">
        <v>11.0</v>
      </c>
      <c r="H450" s="44" t="s">
        <v>160</v>
      </c>
      <c r="I450" s="44" t="s">
        <v>1498</v>
      </c>
      <c r="J450" s="44" t="s">
        <v>1495</v>
      </c>
      <c r="K450" s="44">
        <v>0.0</v>
      </c>
      <c r="L450" s="44" t="s">
        <v>1513</v>
      </c>
      <c r="M450" s="44">
        <v>3.0</v>
      </c>
      <c r="N450" s="44">
        <v>0.2</v>
      </c>
      <c r="O450" s="44" t="s">
        <v>126</v>
      </c>
      <c r="P450" s="44" t="s">
        <v>1518</v>
      </c>
      <c r="Q450" s="45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</row>
    <row r="451">
      <c r="A451" s="41">
        <v>448.0</v>
      </c>
      <c r="B451" s="41" t="s">
        <v>1936</v>
      </c>
      <c r="C451" s="42">
        <f t="array" ref="C451">INDEX(SkillBoxes!A450:D1026,MATCH(E451,SkillBoxes!A450:A1026,0),2)</f>
        <v>24</v>
      </c>
      <c r="D451" s="42" t="str">
        <f t="array" ref="D451">INDEX(SkillBoxes!A450:D1026,MATCH(E451,SkillBoxes!A450:A1026,0),3)</f>
        <v>Wicked Warlock</v>
      </c>
      <c r="E451" s="42">
        <v>448.0</v>
      </c>
      <c r="F451" s="42" t="str">
        <f t="array" ref="F451">INDEX(SkillBoxes!A450:D1026,MATCH(E451,SkillBoxes!A450:A1026,0),4)</f>
        <v>Steady Casting IV</v>
      </c>
      <c r="G451" s="41">
        <v>13.0</v>
      </c>
      <c r="H451" s="41" t="s">
        <v>159</v>
      </c>
      <c r="I451" s="41" t="s">
        <v>1498</v>
      </c>
      <c r="J451" s="41" t="s">
        <v>1480</v>
      </c>
      <c r="K451" s="41">
        <v>1.7</v>
      </c>
      <c r="L451" s="41" t="s">
        <v>410</v>
      </c>
      <c r="M451" s="41">
        <v>4.0</v>
      </c>
      <c r="N451" s="41">
        <v>0.2</v>
      </c>
      <c r="O451" s="41" t="s">
        <v>161</v>
      </c>
      <c r="P451" s="41" t="s">
        <v>1518</v>
      </c>
      <c r="Q451" s="42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</row>
    <row r="452">
      <c r="A452" s="44">
        <v>449.0</v>
      </c>
      <c r="B452" s="44" t="s">
        <v>1937</v>
      </c>
      <c r="C452" s="45">
        <f t="array" ref="C452">INDEX(SkillBoxes!A451:D1027,MATCH(E452,SkillBoxes!A451:A1027,0),2)</f>
        <v>24</v>
      </c>
      <c r="D452" s="45" t="str">
        <f t="array" ref="D452">INDEX(SkillBoxes!A451:D1027,MATCH(E452,SkillBoxes!A451:A1027,0),3)</f>
        <v>Wicked Warlock</v>
      </c>
      <c r="E452" s="45">
        <v>449.0</v>
      </c>
      <c r="F452" s="45" t="str">
        <f t="array" ref="F452">INDEX(SkillBoxes!A451:D1027,MATCH(E452,SkillBoxes!A451:A1027,0),4)</f>
        <v>Master Wicked Warlock</v>
      </c>
      <c r="G452" s="44">
        <v>20.0</v>
      </c>
      <c r="H452" s="44" t="s">
        <v>159</v>
      </c>
      <c r="I452" s="44" t="s">
        <v>1498</v>
      </c>
      <c r="J452" s="44" t="s">
        <v>1491</v>
      </c>
      <c r="K452" s="44">
        <v>1.3</v>
      </c>
      <c r="L452" s="44" t="s">
        <v>410</v>
      </c>
      <c r="M452" s="44">
        <v>5.0</v>
      </c>
      <c r="N452" s="44">
        <v>0.25</v>
      </c>
      <c r="O452" s="44" t="s">
        <v>161</v>
      </c>
      <c r="P452" s="44" t="s">
        <v>1518</v>
      </c>
      <c r="Q452" s="45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</row>
    <row r="453">
      <c r="A453" s="41">
        <v>450.0</v>
      </c>
      <c r="B453" s="41" t="s">
        <v>1938</v>
      </c>
      <c r="C453" s="42">
        <f t="array" ref="C453">INDEX(SkillBoxes!A452:D1028,MATCH(E453,SkillBoxes!A452:A1028,0),2)</f>
        <v>25</v>
      </c>
      <c r="D453" s="42" t="str">
        <f t="array" ref="D453">INDEX(SkillBoxes!A452:D1028,MATCH(E453,SkillBoxes!A452:A1028,0),3)</f>
        <v>Scepter Sage</v>
      </c>
      <c r="E453" s="42">
        <v>450.0</v>
      </c>
      <c r="F453" s="42" t="str">
        <f t="array" ref="F453">INDEX(SkillBoxes!A452:D1028,MATCH(E453,SkillBoxes!A452:A1028,0),4)</f>
        <v>Novice Scepter Sage</v>
      </c>
      <c r="G453" s="41">
        <v>8.0</v>
      </c>
      <c r="H453" s="41" t="s">
        <v>160</v>
      </c>
      <c r="I453" s="41" t="s">
        <v>1498</v>
      </c>
      <c r="J453" s="41" t="s">
        <v>1480</v>
      </c>
      <c r="K453" s="41">
        <v>1.1</v>
      </c>
      <c r="L453" s="42"/>
      <c r="M453" s="42"/>
      <c r="N453" s="42"/>
      <c r="O453" s="42"/>
      <c r="P453" s="42"/>
      <c r="Q453" s="42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</row>
    <row r="454">
      <c r="A454" s="44">
        <v>451.0</v>
      </c>
      <c r="B454" s="44" t="s">
        <v>1939</v>
      </c>
      <c r="C454" s="45">
        <f t="array" ref="C454">INDEX(SkillBoxes!A453:D1029,MATCH(E454,SkillBoxes!A453:A1029,0),2)</f>
        <v>25</v>
      </c>
      <c r="D454" s="45" t="str">
        <f t="array" ref="D454">INDEX(SkillBoxes!A453:D1029,MATCH(E454,SkillBoxes!A453:A1029,0),3)</f>
        <v>Scepter Sage</v>
      </c>
      <c r="E454" s="45">
        <v>451.0</v>
      </c>
      <c r="F454" s="45" t="str">
        <f t="array" ref="F454">INDEX(SkillBoxes!A453:D1029,MATCH(E454,SkillBoxes!A453:A1029,0),4)</f>
        <v>Hidden Knowledge I</v>
      </c>
      <c r="G454" s="44">
        <v>8.0</v>
      </c>
      <c r="H454" s="44" t="s">
        <v>160</v>
      </c>
      <c r="I454" s="44" t="s">
        <v>1498</v>
      </c>
      <c r="J454" s="44" t="s">
        <v>1480</v>
      </c>
      <c r="K454" s="44">
        <v>1.2</v>
      </c>
      <c r="L454" s="45"/>
      <c r="M454" s="45"/>
      <c r="N454" s="45"/>
      <c r="O454" s="45"/>
      <c r="P454" s="45"/>
      <c r="Q454" s="45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</row>
    <row r="455">
      <c r="A455" s="41">
        <v>452.0</v>
      </c>
      <c r="B455" s="41" t="s">
        <v>1940</v>
      </c>
      <c r="C455" s="42">
        <f t="array" ref="C455">INDEX(SkillBoxes!A454:D1030,MATCH(E455,SkillBoxes!A454:A1030,0),2)</f>
        <v>25</v>
      </c>
      <c r="D455" s="42" t="str">
        <f t="array" ref="D455">INDEX(SkillBoxes!A454:D1030,MATCH(E455,SkillBoxes!A454:A1030,0),3)</f>
        <v>Scepter Sage</v>
      </c>
      <c r="E455" s="42">
        <v>452.0</v>
      </c>
      <c r="F455" s="42" t="str">
        <f t="array" ref="F455">INDEX(SkillBoxes!A454:D1030,MATCH(E455,SkillBoxes!A454:A1030,0),4)</f>
        <v>Hidden Knowledge II</v>
      </c>
      <c r="G455" s="41">
        <v>10.0</v>
      </c>
      <c r="H455" s="41" t="s">
        <v>160</v>
      </c>
      <c r="I455" s="41" t="s">
        <v>1498</v>
      </c>
      <c r="J455" s="41" t="s">
        <v>1480</v>
      </c>
      <c r="K455" s="41">
        <v>1.35</v>
      </c>
      <c r="L455" s="42"/>
      <c r="M455" s="42"/>
      <c r="N455" s="42"/>
      <c r="O455" s="42"/>
      <c r="P455" s="42"/>
      <c r="Q455" s="42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</row>
    <row r="456">
      <c r="A456" s="44">
        <v>453.0</v>
      </c>
      <c r="B456" s="44" t="s">
        <v>1941</v>
      </c>
      <c r="C456" s="45">
        <f t="array" ref="C456">INDEX(SkillBoxes!A455:D1031,MATCH(E456,SkillBoxes!A455:A1031,0),2)</f>
        <v>25</v>
      </c>
      <c r="D456" s="45" t="str">
        <f t="array" ref="D456">INDEX(SkillBoxes!A455:D1031,MATCH(E456,SkillBoxes!A455:A1031,0),3)</f>
        <v>Scepter Sage</v>
      </c>
      <c r="E456" s="45">
        <v>453.0</v>
      </c>
      <c r="F456" s="45" t="str">
        <f t="array" ref="F456">INDEX(SkillBoxes!A455:D1031,MATCH(E456,SkillBoxes!A455:A1031,0),4)</f>
        <v>Hidden Knowledge III</v>
      </c>
      <c r="G456" s="44">
        <v>12.0</v>
      </c>
      <c r="H456" s="44" t="s">
        <v>160</v>
      </c>
      <c r="I456" s="44" t="s">
        <v>1498</v>
      </c>
      <c r="J456" s="44" t="s">
        <v>1480</v>
      </c>
      <c r="K456" s="44">
        <v>1.5</v>
      </c>
      <c r="L456" s="44" t="s">
        <v>410</v>
      </c>
      <c r="M456" s="44">
        <v>2.0</v>
      </c>
      <c r="N456" s="44">
        <v>0.1</v>
      </c>
      <c r="O456" s="44" t="s">
        <v>161</v>
      </c>
      <c r="P456" s="45"/>
      <c r="Q456" s="45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</row>
    <row r="457">
      <c r="A457" s="41">
        <v>454.0</v>
      </c>
      <c r="B457" s="41" t="s">
        <v>1942</v>
      </c>
      <c r="C457" s="42">
        <f t="array" ref="C457">INDEX(SkillBoxes!A456:D1032,MATCH(E457,SkillBoxes!A456:A1032,0),2)</f>
        <v>25</v>
      </c>
      <c r="D457" s="42" t="str">
        <f t="array" ref="D457">INDEX(SkillBoxes!A456:D1032,MATCH(E457,SkillBoxes!A456:A1032,0),3)</f>
        <v>Scepter Sage</v>
      </c>
      <c r="E457" s="42">
        <v>454.0</v>
      </c>
      <c r="F457" s="42" t="str">
        <f t="array" ref="F457">INDEX(SkillBoxes!A456:D1032,MATCH(E457,SkillBoxes!A456:A1032,0),4)</f>
        <v>Hidden Knowledge IV</v>
      </c>
      <c r="G457" s="41">
        <v>14.0</v>
      </c>
      <c r="H457" s="41" t="s">
        <v>160</v>
      </c>
      <c r="I457" s="41" t="s">
        <v>1498</v>
      </c>
      <c r="J457" s="41" t="s">
        <v>1491</v>
      </c>
      <c r="K457" s="41">
        <v>1.0</v>
      </c>
      <c r="L457" s="41" t="s">
        <v>410</v>
      </c>
      <c r="M457" s="41">
        <v>3.0</v>
      </c>
      <c r="N457" s="41">
        <v>0.15</v>
      </c>
      <c r="O457" s="41" t="s">
        <v>161</v>
      </c>
      <c r="P457" s="42"/>
      <c r="Q457" s="42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</row>
    <row r="458">
      <c r="A458" s="41">
        <v>455.0</v>
      </c>
      <c r="B458" s="44" t="s">
        <v>1943</v>
      </c>
      <c r="C458" s="45">
        <f t="array" ref="C458">INDEX(SkillBoxes!A457:D1033,MATCH(E458,SkillBoxes!A457:A1033,0),2)</f>
        <v>25</v>
      </c>
      <c r="D458" s="45" t="str">
        <f t="array" ref="D458">INDEX(SkillBoxes!A457:D1033,MATCH(E458,SkillBoxes!A457:A1033,0),3)</f>
        <v>Scepter Sage</v>
      </c>
      <c r="E458" s="45">
        <v>455.0</v>
      </c>
      <c r="F458" s="45" t="str">
        <f t="array" ref="F458">INDEX(SkillBoxes!A457:D1033,MATCH(E458,SkillBoxes!A457:A1033,0),4)</f>
        <v>Wave Infusion I</v>
      </c>
      <c r="G458" s="44">
        <v>8.0</v>
      </c>
      <c r="H458" s="44" t="s">
        <v>160</v>
      </c>
      <c r="I458" s="44" t="s">
        <v>1498</v>
      </c>
      <c r="J458" s="44" t="s">
        <v>1480</v>
      </c>
      <c r="K458" s="44">
        <v>1.2</v>
      </c>
      <c r="L458" s="45"/>
      <c r="M458" s="45"/>
      <c r="N458" s="45"/>
      <c r="O458" s="45"/>
      <c r="P458" s="44" t="s">
        <v>41</v>
      </c>
      <c r="Q458" s="45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</row>
    <row r="459">
      <c r="A459" s="44">
        <v>456.0</v>
      </c>
      <c r="B459" s="41" t="s">
        <v>1944</v>
      </c>
      <c r="C459" s="42">
        <f t="array" ref="C459">INDEX(SkillBoxes!A458:D1034,MATCH(E459,SkillBoxes!A458:A1034,0),2)</f>
        <v>25</v>
      </c>
      <c r="D459" s="42" t="str">
        <f t="array" ref="D459">INDEX(SkillBoxes!A458:D1034,MATCH(E459,SkillBoxes!A458:A1034,0),3)</f>
        <v>Scepter Sage</v>
      </c>
      <c r="E459" s="42">
        <v>456.0</v>
      </c>
      <c r="F459" s="42" t="str">
        <f t="array" ref="F459">INDEX(SkillBoxes!A458:D1034,MATCH(E459,SkillBoxes!A458:A1034,0),4)</f>
        <v>Wave Infusion II</v>
      </c>
      <c r="G459" s="41">
        <v>10.0</v>
      </c>
      <c r="H459" s="41" t="s">
        <v>160</v>
      </c>
      <c r="I459" s="41" t="s">
        <v>1498</v>
      </c>
      <c r="J459" s="41" t="s">
        <v>1480</v>
      </c>
      <c r="K459" s="41">
        <v>1.3</v>
      </c>
      <c r="L459" s="42"/>
      <c r="M459" s="42"/>
      <c r="N459" s="42"/>
      <c r="O459" s="42"/>
      <c r="P459" s="41" t="s">
        <v>41</v>
      </c>
      <c r="Q459" s="42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</row>
    <row r="460">
      <c r="A460" s="41">
        <v>457.0</v>
      </c>
      <c r="B460" s="44" t="s">
        <v>1945</v>
      </c>
      <c r="C460" s="45">
        <f t="array" ref="C460">INDEX(SkillBoxes!A459:D1035,MATCH(E460,SkillBoxes!A459:A1035,0),2)</f>
        <v>25</v>
      </c>
      <c r="D460" s="45" t="str">
        <f t="array" ref="D460">INDEX(SkillBoxes!A459:D1035,MATCH(E460,SkillBoxes!A459:A1035,0),3)</f>
        <v>Scepter Sage</v>
      </c>
      <c r="E460" s="45">
        <v>457.0</v>
      </c>
      <c r="F460" s="45" t="str">
        <f t="array" ref="F460">INDEX(SkillBoxes!A459:D1035,MATCH(E460,SkillBoxes!A459:A1035,0),4)</f>
        <v>Wave Infusion III</v>
      </c>
      <c r="G460" s="44">
        <v>12.0</v>
      </c>
      <c r="H460" s="44" t="s">
        <v>160</v>
      </c>
      <c r="I460" s="44" t="s">
        <v>1498</v>
      </c>
      <c r="J460" s="44" t="s">
        <v>1480</v>
      </c>
      <c r="K460" s="44">
        <v>1.4</v>
      </c>
      <c r="L460" s="44" t="s">
        <v>1513</v>
      </c>
      <c r="M460" s="44">
        <v>2.0</v>
      </c>
      <c r="N460" s="44">
        <v>0.1</v>
      </c>
      <c r="O460" s="44" t="s">
        <v>126</v>
      </c>
      <c r="P460" s="45"/>
      <c r="Q460" s="45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</row>
    <row r="461">
      <c r="A461" s="44">
        <v>458.0</v>
      </c>
      <c r="B461" s="41" t="s">
        <v>1946</v>
      </c>
      <c r="C461" s="42">
        <f t="array" ref="C461">INDEX(SkillBoxes!A460:D1036,MATCH(E461,SkillBoxes!A460:A1036,0),2)</f>
        <v>25</v>
      </c>
      <c r="D461" s="42" t="str">
        <f t="array" ref="D461">INDEX(SkillBoxes!A460:D1036,MATCH(E461,SkillBoxes!A460:A1036,0),3)</f>
        <v>Scepter Sage</v>
      </c>
      <c r="E461" s="42">
        <v>458.0</v>
      </c>
      <c r="F461" s="42" t="str">
        <f t="array" ref="F461">INDEX(SkillBoxes!A460:D1036,MATCH(E461,SkillBoxes!A460:A1036,0),4)</f>
        <v>Wave Infusion IV</v>
      </c>
      <c r="G461" s="41">
        <v>14.0</v>
      </c>
      <c r="H461" s="41" t="s">
        <v>160</v>
      </c>
      <c r="I461" s="41" t="s">
        <v>1498</v>
      </c>
      <c r="J461" s="41" t="s">
        <v>1491</v>
      </c>
      <c r="K461" s="41">
        <v>1.0</v>
      </c>
      <c r="L461" s="41" t="s">
        <v>1513</v>
      </c>
      <c r="M461" s="41">
        <v>3.0</v>
      </c>
      <c r="N461" s="41">
        <v>0.15</v>
      </c>
      <c r="O461" s="41" t="s">
        <v>126</v>
      </c>
      <c r="P461" s="42"/>
      <c r="Q461" s="42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</row>
    <row r="462">
      <c r="A462" s="41">
        <v>459.0</v>
      </c>
      <c r="B462" s="44" t="s">
        <v>1947</v>
      </c>
      <c r="C462" s="45">
        <f t="array" ref="C462">INDEX(SkillBoxes!A461:D1037,MATCH(E462,SkillBoxes!A461:A1037,0),2)</f>
        <v>25</v>
      </c>
      <c r="D462" s="45" t="str">
        <f t="array" ref="D462">INDEX(SkillBoxes!A461:D1037,MATCH(E462,SkillBoxes!A461:A1037,0),3)</f>
        <v>Scepter Sage</v>
      </c>
      <c r="E462" s="45">
        <v>459.0</v>
      </c>
      <c r="F462" s="45" t="str">
        <f t="array" ref="F462">INDEX(SkillBoxes!A461:D1037,MATCH(E462,SkillBoxes!A461:A1037,0),4)</f>
        <v>Crystal Ray I</v>
      </c>
      <c r="G462" s="44">
        <v>8.0</v>
      </c>
      <c r="H462" s="44" t="s">
        <v>160</v>
      </c>
      <c r="I462" s="44" t="s">
        <v>1498</v>
      </c>
      <c r="J462" s="44" t="s">
        <v>1480</v>
      </c>
      <c r="K462" s="44">
        <v>1.2</v>
      </c>
      <c r="L462" s="45"/>
      <c r="M462" s="45"/>
      <c r="N462" s="45"/>
      <c r="O462" s="45"/>
      <c r="P462" s="45"/>
      <c r="Q462" s="45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</row>
    <row r="463">
      <c r="A463" s="44">
        <v>460.0</v>
      </c>
      <c r="B463" s="41" t="s">
        <v>1948</v>
      </c>
      <c r="C463" s="42">
        <f t="array" ref="C463">INDEX(SkillBoxes!A462:D1038,MATCH(E463,SkillBoxes!A462:A1038,0),2)</f>
        <v>25</v>
      </c>
      <c r="D463" s="42" t="str">
        <f t="array" ref="D463">INDEX(SkillBoxes!A462:D1038,MATCH(E463,SkillBoxes!A462:A1038,0),3)</f>
        <v>Scepter Sage</v>
      </c>
      <c r="E463" s="42">
        <v>460.0</v>
      </c>
      <c r="F463" s="42" t="str">
        <f t="array" ref="F463">INDEX(SkillBoxes!A462:D1038,MATCH(E463,SkillBoxes!A462:A1038,0),4)</f>
        <v>Crystal Ray II</v>
      </c>
      <c r="G463" s="41">
        <v>10.0</v>
      </c>
      <c r="H463" s="41" t="s">
        <v>160</v>
      </c>
      <c r="I463" s="41" t="s">
        <v>1498</v>
      </c>
      <c r="J463" s="41" t="s">
        <v>1480</v>
      </c>
      <c r="K463" s="41">
        <v>1.3</v>
      </c>
      <c r="L463" s="42"/>
      <c r="M463" s="42"/>
      <c r="N463" s="42"/>
      <c r="O463" s="42"/>
      <c r="P463" s="42"/>
      <c r="Q463" s="42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</row>
    <row r="464">
      <c r="A464" s="41">
        <v>461.0</v>
      </c>
      <c r="B464" s="44" t="s">
        <v>1949</v>
      </c>
      <c r="C464" s="45">
        <f t="array" ref="C464">INDEX(SkillBoxes!A463:D1039,MATCH(E464,SkillBoxes!A463:A1039,0),2)</f>
        <v>25</v>
      </c>
      <c r="D464" s="45" t="str">
        <f t="array" ref="D464">INDEX(SkillBoxes!A463:D1039,MATCH(E464,SkillBoxes!A463:A1039,0),3)</f>
        <v>Scepter Sage</v>
      </c>
      <c r="E464" s="45">
        <v>461.0</v>
      </c>
      <c r="F464" s="45" t="str">
        <f t="array" ref="F464">INDEX(SkillBoxes!A463:D1039,MATCH(E464,SkillBoxes!A463:A1039,0),4)</f>
        <v>Crystal Ray III</v>
      </c>
      <c r="G464" s="44">
        <v>12.0</v>
      </c>
      <c r="H464" s="44" t="s">
        <v>160</v>
      </c>
      <c r="I464" s="44" t="s">
        <v>1498</v>
      </c>
      <c r="J464" s="44" t="s">
        <v>1480</v>
      </c>
      <c r="K464" s="44">
        <v>1.5</v>
      </c>
      <c r="L464" s="44" t="s">
        <v>1489</v>
      </c>
      <c r="M464" s="44">
        <v>1.0</v>
      </c>
      <c r="N464" s="45"/>
      <c r="O464" s="45"/>
      <c r="P464" s="45"/>
      <c r="Q464" s="45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</row>
    <row r="465">
      <c r="A465" s="41">
        <v>462.0</v>
      </c>
      <c r="B465" s="41" t="s">
        <v>1950</v>
      </c>
      <c r="C465" s="42">
        <f t="array" ref="C465">INDEX(SkillBoxes!A464:D1040,MATCH(E465,SkillBoxes!A464:A1040,0),2)</f>
        <v>25</v>
      </c>
      <c r="D465" s="42" t="str">
        <f t="array" ref="D465">INDEX(SkillBoxes!A464:D1040,MATCH(E465,SkillBoxes!A464:A1040,0),3)</f>
        <v>Scepter Sage</v>
      </c>
      <c r="E465" s="42">
        <v>462.0</v>
      </c>
      <c r="F465" s="42" t="str">
        <f t="array" ref="F465">INDEX(SkillBoxes!A464:D1040,MATCH(E465,SkillBoxes!A464:A1040,0),4)</f>
        <v>Crystal Ray IV</v>
      </c>
      <c r="G465" s="41">
        <v>14.0</v>
      </c>
      <c r="H465" s="41" t="s">
        <v>159</v>
      </c>
      <c r="I465" s="41" t="s">
        <v>1498</v>
      </c>
      <c r="J465" s="41" t="s">
        <v>1480</v>
      </c>
      <c r="K465" s="41">
        <v>1.8</v>
      </c>
      <c r="L465" s="41" t="s">
        <v>1489</v>
      </c>
      <c r="M465" s="41">
        <v>2.0</v>
      </c>
      <c r="N465" s="42"/>
      <c r="O465" s="42"/>
      <c r="P465" s="41" t="s">
        <v>41</v>
      </c>
      <c r="Q465" s="42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</row>
    <row r="466">
      <c r="A466" s="44">
        <v>463.0</v>
      </c>
      <c r="B466" s="44" t="s">
        <v>1951</v>
      </c>
      <c r="C466" s="45">
        <f t="array" ref="C466">INDEX(SkillBoxes!A465:D1041,MATCH(E466,SkillBoxes!A465:A1041,0),2)</f>
        <v>25</v>
      </c>
      <c r="D466" s="45" t="str">
        <f t="array" ref="D466">INDEX(SkillBoxes!A465:D1041,MATCH(E466,SkillBoxes!A465:A1041,0),3)</f>
        <v>Scepter Sage</v>
      </c>
      <c r="E466" s="45">
        <v>463.0</v>
      </c>
      <c r="F466" s="45" t="str">
        <f t="array" ref="F466">INDEX(SkillBoxes!A465:D1041,MATCH(E466,SkillBoxes!A465:A1041,0),4)</f>
        <v>Channeling Nexus I</v>
      </c>
      <c r="G466" s="44">
        <v>7.0</v>
      </c>
      <c r="H466" s="44" t="s">
        <v>160</v>
      </c>
      <c r="I466" s="44" t="s">
        <v>1498</v>
      </c>
      <c r="J466" s="44" t="s">
        <v>1491</v>
      </c>
      <c r="K466" s="44">
        <v>0.8</v>
      </c>
      <c r="L466" s="44" t="s">
        <v>1513</v>
      </c>
      <c r="M466" s="44">
        <v>2.0</v>
      </c>
      <c r="N466" s="44">
        <v>0.1</v>
      </c>
      <c r="O466" s="44" t="s">
        <v>126</v>
      </c>
      <c r="P466" s="45"/>
      <c r="Q466" s="45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</row>
    <row r="467">
      <c r="A467" s="41">
        <v>464.0</v>
      </c>
      <c r="B467" s="41" t="s">
        <v>1952</v>
      </c>
      <c r="C467" s="42">
        <f t="array" ref="C467">INDEX(SkillBoxes!A466:D1042,MATCH(E467,SkillBoxes!A466:A1042,0),2)</f>
        <v>25</v>
      </c>
      <c r="D467" s="42" t="str">
        <f t="array" ref="D467">INDEX(SkillBoxes!A466:D1042,MATCH(E467,SkillBoxes!A466:A1042,0),3)</f>
        <v>Scepter Sage</v>
      </c>
      <c r="E467" s="42">
        <v>464.0</v>
      </c>
      <c r="F467" s="42" t="str">
        <f t="array" ref="F467">INDEX(SkillBoxes!A466:D1042,MATCH(E467,SkillBoxes!A466:A1042,0),4)</f>
        <v>Channeling Nexus II</v>
      </c>
      <c r="G467" s="41">
        <v>9.0</v>
      </c>
      <c r="H467" s="41" t="s">
        <v>160</v>
      </c>
      <c r="I467" s="41" t="s">
        <v>1498</v>
      </c>
      <c r="J467" s="41" t="s">
        <v>1491</v>
      </c>
      <c r="K467" s="41">
        <v>0.9</v>
      </c>
      <c r="L467" s="41" t="s">
        <v>1513</v>
      </c>
      <c r="M467" s="41">
        <v>3.0</v>
      </c>
      <c r="N467" s="41">
        <v>0.15</v>
      </c>
      <c r="O467" s="41" t="s">
        <v>126</v>
      </c>
      <c r="P467" s="42"/>
      <c r="Q467" s="42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</row>
    <row r="468">
      <c r="A468" s="44">
        <v>465.0</v>
      </c>
      <c r="B468" s="44" t="s">
        <v>1953</v>
      </c>
      <c r="C468" s="45">
        <f t="array" ref="C468">INDEX(SkillBoxes!A467:D1043,MATCH(E468,SkillBoxes!A467:A1043,0),2)</f>
        <v>25</v>
      </c>
      <c r="D468" s="45" t="str">
        <f t="array" ref="D468">INDEX(SkillBoxes!A467:D1043,MATCH(E468,SkillBoxes!A467:A1043,0),3)</f>
        <v>Scepter Sage</v>
      </c>
      <c r="E468" s="45">
        <v>465.0</v>
      </c>
      <c r="F468" s="45" t="str">
        <f t="array" ref="F468">INDEX(SkillBoxes!A467:D1043,MATCH(E468,SkillBoxes!A467:A1043,0),4)</f>
        <v>Channeling Nexus III</v>
      </c>
      <c r="G468" s="44">
        <v>11.0</v>
      </c>
      <c r="H468" s="44" t="s">
        <v>160</v>
      </c>
      <c r="I468" s="44" t="s">
        <v>1498</v>
      </c>
      <c r="J468" s="44" t="s">
        <v>1491</v>
      </c>
      <c r="K468" s="44">
        <v>1.0</v>
      </c>
      <c r="L468" s="44" t="s">
        <v>1513</v>
      </c>
      <c r="M468" s="44">
        <v>3.0</v>
      </c>
      <c r="N468" s="44">
        <v>0.2</v>
      </c>
      <c r="O468" s="44" t="s">
        <v>126</v>
      </c>
      <c r="P468" s="45"/>
      <c r="Q468" s="45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</row>
    <row r="469">
      <c r="A469" s="41">
        <v>466.0</v>
      </c>
      <c r="B469" s="41" t="s">
        <v>1954</v>
      </c>
      <c r="C469" s="42">
        <f t="array" ref="C469">INDEX(SkillBoxes!A468:D1044,MATCH(E469,SkillBoxes!A468:A1044,0),2)</f>
        <v>25</v>
      </c>
      <c r="D469" s="42" t="str">
        <f t="array" ref="D469">INDEX(SkillBoxes!A468:D1044,MATCH(E469,SkillBoxes!A468:A1044,0),3)</f>
        <v>Scepter Sage</v>
      </c>
      <c r="E469" s="42">
        <v>466.0</v>
      </c>
      <c r="F469" s="42" t="str">
        <f t="array" ref="F469">INDEX(SkillBoxes!A468:D1044,MATCH(E469,SkillBoxes!A468:A1044,0),4)</f>
        <v>Channeling Nexus IV</v>
      </c>
      <c r="G469" s="41">
        <v>13.0</v>
      </c>
      <c r="H469" s="41" t="s">
        <v>159</v>
      </c>
      <c r="I469" s="41" t="s">
        <v>1498</v>
      </c>
      <c r="J469" s="41" t="s">
        <v>1491</v>
      </c>
      <c r="K469" s="41">
        <v>1.1</v>
      </c>
      <c r="L469" s="41" t="s">
        <v>1513</v>
      </c>
      <c r="M469" s="41">
        <v>4.0</v>
      </c>
      <c r="N469" s="41">
        <v>0.25</v>
      </c>
      <c r="O469" s="41" t="s">
        <v>126</v>
      </c>
      <c r="P469" s="42"/>
      <c r="Q469" s="42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</row>
    <row r="470">
      <c r="A470" s="44">
        <v>467.0</v>
      </c>
      <c r="B470" s="44" t="s">
        <v>1955</v>
      </c>
      <c r="C470" s="45">
        <f t="array" ref="C470">INDEX(SkillBoxes!A469:D1045,MATCH(E470,SkillBoxes!A469:A1045,0),2)</f>
        <v>25</v>
      </c>
      <c r="D470" s="45" t="str">
        <f t="array" ref="D470">INDEX(SkillBoxes!A469:D1045,MATCH(E470,SkillBoxes!A469:A1045,0),3)</f>
        <v>Scepter Sage</v>
      </c>
      <c r="E470" s="45">
        <v>467.0</v>
      </c>
      <c r="F470" s="45" t="str">
        <f t="array" ref="F470">INDEX(SkillBoxes!A469:D1045,MATCH(E470,SkillBoxes!A469:A1045,0),4)</f>
        <v>Master Scepter Sage</v>
      </c>
      <c r="G470" s="44">
        <v>20.0</v>
      </c>
      <c r="H470" s="44" t="s">
        <v>159</v>
      </c>
      <c r="I470" s="44" t="s">
        <v>1498</v>
      </c>
      <c r="J470" s="44" t="s">
        <v>1491</v>
      </c>
      <c r="K470" s="44">
        <v>1.4</v>
      </c>
      <c r="L470" s="44" t="s">
        <v>1489</v>
      </c>
      <c r="M470" s="44">
        <v>3.0</v>
      </c>
      <c r="N470" s="45"/>
      <c r="O470" s="45"/>
      <c r="P470" s="44" t="s">
        <v>41</v>
      </c>
      <c r="Q470" s="45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</row>
    <row r="471">
      <c r="A471" s="41">
        <v>468.0</v>
      </c>
      <c r="B471" s="41" t="s">
        <v>1956</v>
      </c>
      <c r="C471" s="42">
        <f t="array" ref="C471">INDEX(SkillBoxes!A470:D1046,MATCH(E471,SkillBoxes!A470:A1046,0),2)</f>
        <v>26</v>
      </c>
      <c r="D471" s="42" t="str">
        <f t="array" ref="D471">INDEX(SkillBoxes!A470:D1046,MATCH(E471,SkillBoxes!A470:A1046,0),3)</f>
        <v>Fan Elementalist</v>
      </c>
      <c r="E471" s="42">
        <v>468.0</v>
      </c>
      <c r="F471" s="42" t="str">
        <f t="array" ref="F471">INDEX(SkillBoxes!A470:D1046,MATCH(E471,SkillBoxes!A470:A1046,0),4)</f>
        <v>Novice Fan Elementalist</v>
      </c>
      <c r="G471" s="41">
        <v>8.0</v>
      </c>
      <c r="H471" s="41" t="s">
        <v>160</v>
      </c>
      <c r="I471" s="41" t="s">
        <v>1498</v>
      </c>
      <c r="J471" s="41" t="s">
        <v>1480</v>
      </c>
      <c r="K471" s="41">
        <v>1.1</v>
      </c>
      <c r="L471" s="42"/>
      <c r="M471" s="42"/>
      <c r="N471" s="42"/>
      <c r="O471" s="42"/>
      <c r="P471" s="42"/>
      <c r="Q471" s="42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</row>
    <row r="472">
      <c r="A472" s="41">
        <v>469.0</v>
      </c>
      <c r="B472" s="44" t="s">
        <v>1957</v>
      </c>
      <c r="C472" s="45">
        <f t="array" ref="C472">INDEX(SkillBoxes!A471:D1047,MATCH(E472,SkillBoxes!A471:A1047,0),2)</f>
        <v>26</v>
      </c>
      <c r="D472" s="45" t="str">
        <f t="array" ref="D472">INDEX(SkillBoxes!A471:D1047,MATCH(E472,SkillBoxes!A471:A1047,0),3)</f>
        <v>Fan Elementalist</v>
      </c>
      <c r="E472" s="45">
        <v>469.0</v>
      </c>
      <c r="F472" s="45" t="str">
        <f t="array" ref="F472">INDEX(SkillBoxes!A471:D1047,MATCH(E472,SkillBoxes!A471:A1047,0),4)</f>
        <v>Elemental Manipulation I</v>
      </c>
      <c r="G472" s="44">
        <v>8.0</v>
      </c>
      <c r="H472" s="44" t="s">
        <v>160</v>
      </c>
      <c r="I472" s="44" t="s">
        <v>1498</v>
      </c>
      <c r="J472" s="44" t="s">
        <v>1480</v>
      </c>
      <c r="K472" s="44">
        <v>1.2</v>
      </c>
      <c r="L472" s="45"/>
      <c r="M472" s="45"/>
      <c r="N472" s="45"/>
      <c r="O472" s="45"/>
      <c r="P472" s="44" t="s">
        <v>1534</v>
      </c>
      <c r="Q472" s="45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</row>
    <row r="473">
      <c r="A473" s="44">
        <v>470.0</v>
      </c>
      <c r="B473" s="41" t="s">
        <v>1958</v>
      </c>
      <c r="C473" s="42">
        <f t="array" ref="C473">INDEX(SkillBoxes!A472:D1048,MATCH(E473,SkillBoxes!A472:A1048,0),2)</f>
        <v>26</v>
      </c>
      <c r="D473" s="42" t="str">
        <f t="array" ref="D473">INDEX(SkillBoxes!A472:D1048,MATCH(E473,SkillBoxes!A472:A1048,0),3)</f>
        <v>Fan Elementalist</v>
      </c>
      <c r="E473" s="42">
        <v>470.0</v>
      </c>
      <c r="F473" s="42" t="str">
        <f t="array" ref="F473">INDEX(SkillBoxes!A472:D1048,MATCH(E473,SkillBoxes!A472:A1048,0),4)</f>
        <v>Elemental Manipulation II</v>
      </c>
      <c r="G473" s="41">
        <v>10.0</v>
      </c>
      <c r="H473" s="41" t="s">
        <v>160</v>
      </c>
      <c r="I473" s="41" t="s">
        <v>1498</v>
      </c>
      <c r="J473" s="41" t="s">
        <v>1480</v>
      </c>
      <c r="K473" s="41">
        <v>1.3</v>
      </c>
      <c r="L473" s="42"/>
      <c r="M473" s="42"/>
      <c r="N473" s="42"/>
      <c r="O473" s="42"/>
      <c r="P473" s="41" t="s">
        <v>1536</v>
      </c>
      <c r="Q473" s="42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</row>
    <row r="474">
      <c r="A474" s="41">
        <v>471.0</v>
      </c>
      <c r="B474" s="44" t="s">
        <v>1694</v>
      </c>
      <c r="C474" s="45">
        <f t="array" ref="C474">INDEX(SkillBoxes!A473:D1049,MATCH(E474,SkillBoxes!A473:A1049,0),2)</f>
        <v>26</v>
      </c>
      <c r="D474" s="45" t="str">
        <f t="array" ref="D474">INDEX(SkillBoxes!A473:D1049,MATCH(E474,SkillBoxes!A473:A1049,0),3)</f>
        <v>Fan Elementalist</v>
      </c>
      <c r="E474" s="45">
        <v>471.0</v>
      </c>
      <c r="F474" s="45" t="str">
        <f t="array" ref="F474">INDEX(SkillBoxes!A473:D1049,MATCH(E474,SkillBoxes!A473:A1049,0),4)</f>
        <v>Elemental Manipulation III</v>
      </c>
      <c r="G474" s="44">
        <v>12.0</v>
      </c>
      <c r="H474" s="44" t="s">
        <v>160</v>
      </c>
      <c r="I474" s="44" t="s">
        <v>1498</v>
      </c>
      <c r="J474" s="44" t="s">
        <v>1480</v>
      </c>
      <c r="K474" s="44">
        <v>1.4</v>
      </c>
      <c r="L474" s="44" t="s">
        <v>410</v>
      </c>
      <c r="M474" s="44">
        <v>2.0</v>
      </c>
      <c r="N474" s="44">
        <v>0.1</v>
      </c>
      <c r="O474" s="44" t="s">
        <v>161</v>
      </c>
      <c r="P474" s="44" t="s">
        <v>1540</v>
      </c>
      <c r="Q474" s="45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</row>
    <row r="475">
      <c r="A475" s="44">
        <v>472.0</v>
      </c>
      <c r="B475" s="41" t="s">
        <v>1959</v>
      </c>
      <c r="C475" s="42">
        <f t="array" ref="C475">INDEX(SkillBoxes!A474:D1050,MATCH(E475,SkillBoxes!A474:A1050,0),2)</f>
        <v>26</v>
      </c>
      <c r="D475" s="42" t="str">
        <f t="array" ref="D475">INDEX(SkillBoxes!A474:D1050,MATCH(E475,SkillBoxes!A474:A1050,0),3)</f>
        <v>Fan Elementalist</v>
      </c>
      <c r="E475" s="42">
        <v>472.0</v>
      </c>
      <c r="F475" s="42" t="str">
        <f t="array" ref="F475">INDEX(SkillBoxes!A474:D1050,MATCH(E475,SkillBoxes!A474:A1050,0),4)</f>
        <v>Elemental Manipulation IV</v>
      </c>
      <c r="G475" s="41">
        <v>14.0</v>
      </c>
      <c r="H475" s="41" t="s">
        <v>160</v>
      </c>
      <c r="I475" s="41" t="s">
        <v>1498</v>
      </c>
      <c r="J475" s="41" t="s">
        <v>1491</v>
      </c>
      <c r="K475" s="41">
        <v>1.0</v>
      </c>
      <c r="L475" s="41" t="s">
        <v>410</v>
      </c>
      <c r="M475" s="41">
        <v>2.0</v>
      </c>
      <c r="N475" s="41">
        <v>0.1</v>
      </c>
      <c r="O475" s="41" t="s">
        <v>161</v>
      </c>
      <c r="P475" s="42"/>
      <c r="Q475" s="42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</row>
    <row r="476">
      <c r="A476" s="41">
        <v>473.0</v>
      </c>
      <c r="B476" s="44" t="s">
        <v>1960</v>
      </c>
      <c r="C476" s="45">
        <f t="array" ref="C476">INDEX(SkillBoxes!A475:D1051,MATCH(E476,SkillBoxes!A475:A1051,0),2)</f>
        <v>26</v>
      </c>
      <c r="D476" s="45" t="str">
        <f t="array" ref="D476">INDEX(SkillBoxes!A475:D1051,MATCH(E476,SkillBoxes!A475:A1051,0),3)</f>
        <v>Fan Elementalist</v>
      </c>
      <c r="E476" s="45">
        <v>473.0</v>
      </c>
      <c r="F476" s="45" t="str">
        <f t="array" ref="F476">INDEX(SkillBoxes!A475:D1051,MATCH(E476,SkillBoxes!A475:A1051,0),4)</f>
        <v>Storm Waves I</v>
      </c>
      <c r="G476" s="44">
        <v>8.0</v>
      </c>
      <c r="H476" s="44" t="s">
        <v>160</v>
      </c>
      <c r="I476" s="44" t="s">
        <v>1498</v>
      </c>
      <c r="J476" s="44" t="s">
        <v>1480</v>
      </c>
      <c r="K476" s="44">
        <v>1.2</v>
      </c>
      <c r="L476" s="45"/>
      <c r="M476" s="45"/>
      <c r="N476" s="45"/>
      <c r="O476" s="45"/>
      <c r="P476" s="44" t="s">
        <v>1540</v>
      </c>
      <c r="Q476" s="45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</row>
    <row r="477">
      <c r="A477" s="44">
        <v>474.0</v>
      </c>
      <c r="B477" s="41" t="s">
        <v>1961</v>
      </c>
      <c r="C477" s="42">
        <f t="array" ref="C477">INDEX(SkillBoxes!A476:D1052,MATCH(E477,SkillBoxes!A476:A1052,0),2)</f>
        <v>26</v>
      </c>
      <c r="D477" s="42" t="str">
        <f t="array" ref="D477">INDEX(SkillBoxes!A476:D1052,MATCH(E477,SkillBoxes!A476:A1052,0),3)</f>
        <v>Fan Elementalist</v>
      </c>
      <c r="E477" s="42">
        <v>474.0</v>
      </c>
      <c r="F477" s="42" t="str">
        <f t="array" ref="F477">INDEX(SkillBoxes!A476:D1052,MATCH(E477,SkillBoxes!A476:A1052,0),4)</f>
        <v>Storm Waves II</v>
      </c>
      <c r="G477" s="41">
        <v>10.0</v>
      </c>
      <c r="H477" s="41" t="s">
        <v>160</v>
      </c>
      <c r="I477" s="41" t="s">
        <v>1498</v>
      </c>
      <c r="J477" s="41" t="s">
        <v>1480</v>
      </c>
      <c r="K477" s="41">
        <v>1.3</v>
      </c>
      <c r="L477" s="42"/>
      <c r="M477" s="42"/>
      <c r="N477" s="42"/>
      <c r="O477" s="42"/>
      <c r="P477" s="41" t="s">
        <v>1540</v>
      </c>
      <c r="Q477" s="42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</row>
    <row r="478">
      <c r="A478" s="41">
        <v>475.0</v>
      </c>
      <c r="B478" s="44" t="s">
        <v>1962</v>
      </c>
      <c r="C478" s="45">
        <f t="array" ref="C478">INDEX(SkillBoxes!A477:D1053,MATCH(E478,SkillBoxes!A477:A1053,0),2)</f>
        <v>26</v>
      </c>
      <c r="D478" s="45" t="str">
        <f t="array" ref="D478">INDEX(SkillBoxes!A477:D1053,MATCH(E478,SkillBoxes!A477:A1053,0),3)</f>
        <v>Fan Elementalist</v>
      </c>
      <c r="E478" s="45">
        <v>475.0</v>
      </c>
      <c r="F478" s="45" t="str">
        <f t="array" ref="F478">INDEX(SkillBoxes!A477:D1053,MATCH(E478,SkillBoxes!A477:A1053,0),4)</f>
        <v>Storm Waves III</v>
      </c>
      <c r="G478" s="44">
        <v>12.0</v>
      </c>
      <c r="H478" s="44" t="s">
        <v>160</v>
      </c>
      <c r="I478" s="44" t="s">
        <v>1498</v>
      </c>
      <c r="J478" s="44" t="s">
        <v>1491</v>
      </c>
      <c r="K478" s="44">
        <v>0.9</v>
      </c>
      <c r="L478" s="44" t="s">
        <v>1489</v>
      </c>
      <c r="M478" s="44">
        <v>1.0</v>
      </c>
      <c r="N478" s="45"/>
      <c r="O478" s="45"/>
      <c r="P478" s="44" t="s">
        <v>1540</v>
      </c>
      <c r="Q478" s="45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</row>
    <row r="479">
      <c r="A479" s="41">
        <v>476.0</v>
      </c>
      <c r="B479" s="41" t="s">
        <v>1963</v>
      </c>
      <c r="C479" s="42">
        <f t="array" ref="C479">INDEX(SkillBoxes!A478:D1054,MATCH(E479,SkillBoxes!A478:A1054,0),2)</f>
        <v>26</v>
      </c>
      <c r="D479" s="42" t="str">
        <f t="array" ref="D479">INDEX(SkillBoxes!A478:D1054,MATCH(E479,SkillBoxes!A478:A1054,0),3)</f>
        <v>Fan Elementalist</v>
      </c>
      <c r="E479" s="42">
        <v>476.0</v>
      </c>
      <c r="F479" s="42" t="str">
        <f t="array" ref="F479">INDEX(SkillBoxes!A478:D1054,MATCH(E479,SkillBoxes!A478:A1054,0),4)</f>
        <v>Storm Waves IV</v>
      </c>
      <c r="G479" s="41">
        <v>14.0</v>
      </c>
      <c r="H479" s="41" t="s">
        <v>159</v>
      </c>
      <c r="I479" s="41" t="s">
        <v>1498</v>
      </c>
      <c r="J479" s="41" t="s">
        <v>1491</v>
      </c>
      <c r="K479" s="41">
        <v>1.0</v>
      </c>
      <c r="L479" s="41" t="s">
        <v>1489</v>
      </c>
      <c r="M479" s="41">
        <v>2.0</v>
      </c>
      <c r="N479" s="42"/>
      <c r="O479" s="42"/>
      <c r="P479" s="41" t="s">
        <v>1540</v>
      </c>
      <c r="Q479" s="42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</row>
    <row r="480">
      <c r="A480" s="44">
        <v>477.0</v>
      </c>
      <c r="B480" s="44" t="s">
        <v>1964</v>
      </c>
      <c r="C480" s="45">
        <f t="array" ref="C480">INDEX(SkillBoxes!A479:D1055,MATCH(E480,SkillBoxes!A479:A1055,0),2)</f>
        <v>26</v>
      </c>
      <c r="D480" s="45" t="str">
        <f t="array" ref="D480">INDEX(SkillBoxes!A479:D1055,MATCH(E480,SkillBoxes!A479:A1055,0),3)</f>
        <v>Fan Elementalist</v>
      </c>
      <c r="E480" s="45">
        <v>477.0</v>
      </c>
      <c r="F480" s="45" t="str">
        <f t="array" ref="F480">INDEX(SkillBoxes!A479:D1055,MATCH(E480,SkillBoxes!A479:A1055,0),4)</f>
        <v>Vortex I</v>
      </c>
      <c r="G480" s="44">
        <v>8.0</v>
      </c>
      <c r="H480" s="44" t="s">
        <v>160</v>
      </c>
      <c r="I480" s="44" t="s">
        <v>1498</v>
      </c>
      <c r="J480" s="44" t="s">
        <v>1480</v>
      </c>
      <c r="K480" s="44">
        <v>1.1</v>
      </c>
      <c r="L480" s="44" t="s">
        <v>410</v>
      </c>
      <c r="M480" s="44">
        <v>1.0</v>
      </c>
      <c r="N480" s="44">
        <v>0.05</v>
      </c>
      <c r="O480" s="44" t="s">
        <v>137</v>
      </c>
      <c r="P480" s="44" t="s">
        <v>1540</v>
      </c>
      <c r="Q480" s="45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</row>
    <row r="481">
      <c r="A481" s="41">
        <v>478.0</v>
      </c>
      <c r="B481" s="41" t="s">
        <v>1965</v>
      </c>
      <c r="C481" s="42">
        <f t="array" ref="C481">INDEX(SkillBoxes!A480:D1056,MATCH(E481,SkillBoxes!A480:A1056,0),2)</f>
        <v>26</v>
      </c>
      <c r="D481" s="42" t="str">
        <f t="array" ref="D481">INDEX(SkillBoxes!A480:D1056,MATCH(E481,SkillBoxes!A480:A1056,0),3)</f>
        <v>Fan Elementalist</v>
      </c>
      <c r="E481" s="42">
        <v>478.0</v>
      </c>
      <c r="F481" s="42" t="str">
        <f t="array" ref="F481">INDEX(SkillBoxes!A480:D1056,MATCH(E481,SkillBoxes!A480:A1056,0),4)</f>
        <v>Vortex II</v>
      </c>
      <c r="G481" s="41">
        <v>10.0</v>
      </c>
      <c r="H481" s="41" t="s">
        <v>160</v>
      </c>
      <c r="I481" s="41" t="s">
        <v>1498</v>
      </c>
      <c r="J481" s="41" t="s">
        <v>1480</v>
      </c>
      <c r="K481" s="41">
        <v>1.2</v>
      </c>
      <c r="L481" s="41" t="s">
        <v>410</v>
      </c>
      <c r="M481" s="41">
        <v>2.0</v>
      </c>
      <c r="N481" s="41">
        <v>0.1</v>
      </c>
      <c r="O481" s="41" t="s">
        <v>137</v>
      </c>
      <c r="P481" s="41" t="s">
        <v>1540</v>
      </c>
      <c r="Q481" s="42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</row>
    <row r="482">
      <c r="A482" s="44">
        <v>479.0</v>
      </c>
      <c r="B482" s="44" t="s">
        <v>1966</v>
      </c>
      <c r="C482" s="45">
        <f t="array" ref="C482">INDEX(SkillBoxes!A481:D1057,MATCH(E482,SkillBoxes!A481:A1057,0),2)</f>
        <v>26</v>
      </c>
      <c r="D482" s="45" t="str">
        <f t="array" ref="D482">INDEX(SkillBoxes!A481:D1057,MATCH(E482,SkillBoxes!A481:A1057,0),3)</f>
        <v>Fan Elementalist</v>
      </c>
      <c r="E482" s="45">
        <v>479.0</v>
      </c>
      <c r="F482" s="45" t="str">
        <f t="array" ref="F482">INDEX(SkillBoxes!A481:D1057,MATCH(E482,SkillBoxes!A481:A1057,0),4)</f>
        <v>Vortex III</v>
      </c>
      <c r="G482" s="44">
        <v>12.0</v>
      </c>
      <c r="H482" s="44" t="s">
        <v>160</v>
      </c>
      <c r="I482" s="44" t="s">
        <v>1498</v>
      </c>
      <c r="J482" s="44" t="s">
        <v>1491</v>
      </c>
      <c r="K482" s="44">
        <v>0.9</v>
      </c>
      <c r="L482" s="44" t="s">
        <v>1489</v>
      </c>
      <c r="M482" s="44">
        <v>1.0</v>
      </c>
      <c r="N482" s="45"/>
      <c r="O482" s="45"/>
      <c r="P482" s="44" t="s">
        <v>1540</v>
      </c>
      <c r="Q482" s="45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</row>
    <row r="483">
      <c r="A483" s="41">
        <v>480.0</v>
      </c>
      <c r="B483" s="41" t="s">
        <v>1967</v>
      </c>
      <c r="C483" s="42">
        <f t="array" ref="C483">INDEX(SkillBoxes!A482:D1058,MATCH(E483,SkillBoxes!A482:A1058,0),2)</f>
        <v>26</v>
      </c>
      <c r="D483" s="42" t="str">
        <f t="array" ref="D483">INDEX(SkillBoxes!A482:D1058,MATCH(E483,SkillBoxes!A482:A1058,0),3)</f>
        <v>Fan Elementalist</v>
      </c>
      <c r="E483" s="42">
        <v>480.0</v>
      </c>
      <c r="F483" s="42" t="str">
        <f t="array" ref="F483">INDEX(SkillBoxes!A482:D1058,MATCH(E483,SkillBoxes!A482:A1058,0),4)</f>
        <v>Vortex IV</v>
      </c>
      <c r="G483" s="41">
        <v>14.0</v>
      </c>
      <c r="H483" s="41" t="s">
        <v>159</v>
      </c>
      <c r="I483" s="41" t="s">
        <v>1498</v>
      </c>
      <c r="J483" s="41" t="s">
        <v>1491</v>
      </c>
      <c r="K483" s="41">
        <v>1.0</v>
      </c>
      <c r="L483" s="41" t="s">
        <v>410</v>
      </c>
      <c r="M483" s="41">
        <v>3.0</v>
      </c>
      <c r="N483" s="41">
        <v>0.15</v>
      </c>
      <c r="O483" s="41" t="s">
        <v>137</v>
      </c>
      <c r="P483" s="41" t="s">
        <v>1540</v>
      </c>
      <c r="Q483" s="42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</row>
    <row r="484">
      <c r="A484" s="44">
        <v>481.0</v>
      </c>
      <c r="B484" s="44" t="s">
        <v>1968</v>
      </c>
      <c r="C484" s="45">
        <f t="array" ref="C484">INDEX(SkillBoxes!A483:D1059,MATCH(E484,SkillBoxes!A483:A1059,0),2)</f>
        <v>26</v>
      </c>
      <c r="D484" s="45" t="str">
        <f t="array" ref="D484">INDEX(SkillBoxes!A483:D1059,MATCH(E484,SkillBoxes!A483:A1059,0),3)</f>
        <v>Fan Elementalist</v>
      </c>
      <c r="E484" s="45">
        <v>481.0</v>
      </c>
      <c r="F484" s="45" t="str">
        <f t="array" ref="F484">INDEX(SkillBoxes!A483:D1059,MATCH(E484,SkillBoxes!A483:A1059,0),4)</f>
        <v>Elemental Chaos I</v>
      </c>
      <c r="G484" s="44">
        <v>8.0</v>
      </c>
      <c r="H484" s="44" t="s">
        <v>160</v>
      </c>
      <c r="I484" s="44" t="s">
        <v>1498</v>
      </c>
      <c r="J484" s="44" t="s">
        <v>1480</v>
      </c>
      <c r="K484" s="44">
        <v>1.2</v>
      </c>
      <c r="L484" s="45"/>
      <c r="M484" s="45"/>
      <c r="N484" s="45"/>
      <c r="O484" s="45"/>
      <c r="P484" s="44" t="s">
        <v>1534</v>
      </c>
      <c r="Q484" s="45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</row>
    <row r="485">
      <c r="A485" s="41">
        <v>482.0</v>
      </c>
      <c r="B485" s="41" t="s">
        <v>1969</v>
      </c>
      <c r="C485" s="42">
        <f t="array" ref="C485">INDEX(SkillBoxes!A484:D1060,MATCH(E485,SkillBoxes!A484:A1060,0),2)</f>
        <v>26</v>
      </c>
      <c r="D485" s="42" t="str">
        <f t="array" ref="D485">INDEX(SkillBoxes!A484:D1060,MATCH(E485,SkillBoxes!A484:A1060,0),3)</f>
        <v>Fan Elementalist</v>
      </c>
      <c r="E485" s="42">
        <v>482.0</v>
      </c>
      <c r="F485" s="42" t="str">
        <f t="array" ref="F485">INDEX(SkillBoxes!A484:D1060,MATCH(E485,SkillBoxes!A484:A1060,0),4)</f>
        <v>Elemental Chaos II</v>
      </c>
      <c r="G485" s="41">
        <v>10.0</v>
      </c>
      <c r="H485" s="41" t="s">
        <v>160</v>
      </c>
      <c r="I485" s="41" t="s">
        <v>1498</v>
      </c>
      <c r="J485" s="41" t="s">
        <v>1480</v>
      </c>
      <c r="K485" s="41">
        <v>1.3</v>
      </c>
      <c r="L485" s="42"/>
      <c r="M485" s="42"/>
      <c r="N485" s="42"/>
      <c r="O485" s="42"/>
      <c r="P485" s="41" t="s">
        <v>1538</v>
      </c>
      <c r="Q485" s="42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</row>
    <row r="486">
      <c r="A486" s="41">
        <v>483.0</v>
      </c>
      <c r="B486" s="44" t="s">
        <v>1970</v>
      </c>
      <c r="C486" s="45">
        <f t="array" ref="C486">INDEX(SkillBoxes!A485:D1061,MATCH(E486,SkillBoxes!A485:A1061,0),2)</f>
        <v>26</v>
      </c>
      <c r="D486" s="45" t="str">
        <f t="array" ref="D486">INDEX(SkillBoxes!A485:D1061,MATCH(E486,SkillBoxes!A485:A1061,0),3)</f>
        <v>Fan Elementalist</v>
      </c>
      <c r="E486" s="45">
        <v>483.0</v>
      </c>
      <c r="F486" s="45" t="str">
        <f t="array" ref="F486">INDEX(SkillBoxes!A485:D1061,MATCH(E486,SkillBoxes!A485:A1061,0),4)</f>
        <v>Elemental Chaos III</v>
      </c>
      <c r="G486" s="44">
        <v>12.0</v>
      </c>
      <c r="H486" s="44" t="s">
        <v>160</v>
      </c>
      <c r="I486" s="44" t="s">
        <v>1498</v>
      </c>
      <c r="J486" s="44" t="s">
        <v>1491</v>
      </c>
      <c r="K486" s="44">
        <v>0.9</v>
      </c>
      <c r="L486" s="44" t="s">
        <v>410</v>
      </c>
      <c r="M486" s="44">
        <v>2.0</v>
      </c>
      <c r="N486" s="44">
        <v>0.1</v>
      </c>
      <c r="O486" s="44" t="s">
        <v>161</v>
      </c>
      <c r="P486" s="45"/>
      <c r="Q486" s="45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</row>
    <row r="487">
      <c r="A487" s="44">
        <v>484.0</v>
      </c>
      <c r="B487" s="41" t="s">
        <v>1971</v>
      </c>
      <c r="C487" s="42">
        <f t="array" ref="C487">INDEX(SkillBoxes!A486:D1062,MATCH(E487,SkillBoxes!A486:A1062,0),2)</f>
        <v>26</v>
      </c>
      <c r="D487" s="42" t="str">
        <f t="array" ref="D487">INDEX(SkillBoxes!A486:D1062,MATCH(E487,SkillBoxes!A486:A1062,0),3)</f>
        <v>Fan Elementalist</v>
      </c>
      <c r="E487" s="42">
        <v>484.0</v>
      </c>
      <c r="F487" s="42" t="str">
        <f t="array" ref="F487">INDEX(SkillBoxes!A486:D1062,MATCH(E487,SkillBoxes!A486:A1062,0),4)</f>
        <v>Elemental Chaos IV</v>
      </c>
      <c r="G487" s="41">
        <v>14.0</v>
      </c>
      <c r="H487" s="41" t="s">
        <v>159</v>
      </c>
      <c r="I487" s="41" t="s">
        <v>1498</v>
      </c>
      <c r="J487" s="41" t="s">
        <v>1491</v>
      </c>
      <c r="K487" s="41">
        <v>1.1</v>
      </c>
      <c r="L487" s="41" t="s">
        <v>1489</v>
      </c>
      <c r="M487" s="41">
        <v>2.0</v>
      </c>
      <c r="N487" s="42"/>
      <c r="O487" s="42"/>
      <c r="P487" s="42"/>
      <c r="Q487" s="42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</row>
    <row r="488">
      <c r="A488" s="41">
        <v>485.0</v>
      </c>
      <c r="B488" s="44" t="s">
        <v>1972</v>
      </c>
      <c r="C488" s="45">
        <f t="array" ref="C488">INDEX(SkillBoxes!A487:D1063,MATCH(E488,SkillBoxes!A487:A1063,0),2)</f>
        <v>26</v>
      </c>
      <c r="D488" s="45" t="str">
        <f t="array" ref="D488">INDEX(SkillBoxes!A487:D1063,MATCH(E488,SkillBoxes!A487:A1063,0),3)</f>
        <v>Fan Elementalist</v>
      </c>
      <c r="E488" s="45">
        <v>485.0</v>
      </c>
      <c r="F488" s="45" t="str">
        <f t="array" ref="F488">INDEX(SkillBoxes!A487:D1063,MATCH(E488,SkillBoxes!A487:A1063,0),4)</f>
        <v>Master Fan Elementalist</v>
      </c>
      <c r="G488" s="44">
        <v>20.0</v>
      </c>
      <c r="H488" s="44" t="s">
        <v>159</v>
      </c>
      <c r="I488" s="44" t="s">
        <v>1498</v>
      </c>
      <c r="J488" s="44" t="s">
        <v>1491</v>
      </c>
      <c r="K488" s="44">
        <v>1.3</v>
      </c>
      <c r="L488" s="44" t="s">
        <v>410</v>
      </c>
      <c r="M488" s="44">
        <v>4.0</v>
      </c>
      <c r="N488" s="44">
        <v>0.2</v>
      </c>
      <c r="O488" s="44" t="s">
        <v>161</v>
      </c>
      <c r="P488" s="45"/>
      <c r="Q488" s="45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</row>
    <row r="489">
      <c r="A489" s="44">
        <v>486.0</v>
      </c>
      <c r="B489" s="41" t="s">
        <v>1973</v>
      </c>
      <c r="C489" s="42">
        <f t="array" ref="C489">INDEX(SkillBoxes!A488:D1064,MATCH(E489,SkillBoxes!A488:A1064,0),2)</f>
        <v>27</v>
      </c>
      <c r="D489" s="42" t="str">
        <f t="array" ref="D489">INDEX(SkillBoxes!A488:D1064,MATCH(E489,SkillBoxes!A488:A1064,0),3)</f>
        <v>Cursed Necromancer</v>
      </c>
      <c r="E489" s="42">
        <v>486.0</v>
      </c>
      <c r="F489" s="42" t="str">
        <f t="array" ref="F489">INDEX(SkillBoxes!A488:D1064,MATCH(E489,SkillBoxes!A488:A1064,0),4)</f>
        <v>Novice Cursed Necromancer</v>
      </c>
      <c r="G489" s="41">
        <v>8.0</v>
      </c>
      <c r="H489" s="41" t="s">
        <v>160</v>
      </c>
      <c r="I489" s="41" t="s">
        <v>1498</v>
      </c>
      <c r="J489" s="41" t="s">
        <v>1480</v>
      </c>
      <c r="K489" s="41">
        <v>1.0</v>
      </c>
      <c r="L489" s="41" t="s">
        <v>1484</v>
      </c>
      <c r="M489" s="41">
        <v>1.0</v>
      </c>
      <c r="N489" s="41">
        <v>-1.0</v>
      </c>
      <c r="O489" s="41" t="s">
        <v>141</v>
      </c>
      <c r="P489" s="41" t="s">
        <v>1518</v>
      </c>
      <c r="Q489" s="42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</row>
    <row r="490">
      <c r="A490" s="41">
        <v>487.0</v>
      </c>
      <c r="B490" s="44" t="s">
        <v>1974</v>
      </c>
      <c r="C490" s="45">
        <f t="array" ref="C490">INDEX(SkillBoxes!A489:D1065,MATCH(E490,SkillBoxes!A489:A1065,0),2)</f>
        <v>27</v>
      </c>
      <c r="D490" s="45" t="str">
        <f t="array" ref="D490">INDEX(SkillBoxes!A489:D1065,MATCH(E490,SkillBoxes!A489:A1065,0),3)</f>
        <v>Cursed Necromancer</v>
      </c>
      <c r="E490" s="45">
        <v>487.0</v>
      </c>
      <c r="F490" s="45" t="str">
        <f t="array" ref="F490">INDEX(SkillBoxes!A489:D1065,MATCH(E490,SkillBoxes!A489:A1065,0),4)</f>
        <v>Necromantic Mastery I</v>
      </c>
      <c r="G490" s="44">
        <v>8.0</v>
      </c>
      <c r="H490" s="44" t="s">
        <v>160</v>
      </c>
      <c r="I490" s="44" t="s">
        <v>1498</v>
      </c>
      <c r="J490" s="44" t="s">
        <v>1480</v>
      </c>
      <c r="K490" s="44">
        <v>1.2</v>
      </c>
      <c r="L490" s="45"/>
      <c r="M490" s="45"/>
      <c r="N490" s="45"/>
      <c r="O490" s="45"/>
      <c r="P490" s="44" t="s">
        <v>1518</v>
      </c>
      <c r="Q490" s="45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</row>
    <row r="491">
      <c r="A491" s="44">
        <v>488.0</v>
      </c>
      <c r="B491" s="41" t="s">
        <v>1975</v>
      </c>
      <c r="C491" s="42">
        <f t="array" ref="C491">INDEX(SkillBoxes!A490:D1066,MATCH(E491,SkillBoxes!A490:A1066,0),2)</f>
        <v>27</v>
      </c>
      <c r="D491" s="42" t="str">
        <f t="array" ref="D491">INDEX(SkillBoxes!A490:D1066,MATCH(E491,SkillBoxes!A490:A1066,0),3)</f>
        <v>Cursed Necromancer</v>
      </c>
      <c r="E491" s="42">
        <v>488.0</v>
      </c>
      <c r="F491" s="42" t="str">
        <f t="array" ref="F491">INDEX(SkillBoxes!A490:D1066,MATCH(E491,SkillBoxes!A490:A1066,0),4)</f>
        <v>Necromantic Mastery II</v>
      </c>
      <c r="G491" s="41">
        <v>10.0</v>
      </c>
      <c r="H491" s="41" t="s">
        <v>160</v>
      </c>
      <c r="I491" s="41" t="s">
        <v>1498</v>
      </c>
      <c r="J491" s="41" t="s">
        <v>1480</v>
      </c>
      <c r="K491" s="41">
        <v>1.35</v>
      </c>
      <c r="L491" s="42"/>
      <c r="M491" s="42"/>
      <c r="N491" s="42"/>
      <c r="O491" s="42"/>
      <c r="P491" s="41" t="s">
        <v>1518</v>
      </c>
      <c r="Q491" s="42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</row>
    <row r="492">
      <c r="A492" s="41">
        <v>489.0</v>
      </c>
      <c r="B492" s="44" t="s">
        <v>1976</v>
      </c>
      <c r="C492" s="45">
        <f t="array" ref="C492">INDEX(SkillBoxes!A491:D1067,MATCH(E492,SkillBoxes!A491:A1067,0),2)</f>
        <v>27</v>
      </c>
      <c r="D492" s="45" t="str">
        <f t="array" ref="D492">INDEX(SkillBoxes!A491:D1067,MATCH(E492,SkillBoxes!A491:A1067,0),3)</f>
        <v>Cursed Necromancer</v>
      </c>
      <c r="E492" s="45">
        <v>489.0</v>
      </c>
      <c r="F492" s="45" t="str">
        <f t="array" ref="F492">INDEX(SkillBoxes!A491:D1067,MATCH(E492,SkillBoxes!A491:A1067,0),4)</f>
        <v>Necromantic Mastery III</v>
      </c>
      <c r="G492" s="44">
        <v>12.0</v>
      </c>
      <c r="H492" s="44" t="s">
        <v>160</v>
      </c>
      <c r="I492" s="44" t="s">
        <v>1498</v>
      </c>
      <c r="J492" s="44" t="s">
        <v>1480</v>
      </c>
      <c r="K492" s="44">
        <v>1.5</v>
      </c>
      <c r="L492" s="44" t="s">
        <v>410</v>
      </c>
      <c r="M492" s="44">
        <v>2.0</v>
      </c>
      <c r="N492" s="44">
        <v>0.1</v>
      </c>
      <c r="O492" s="44" t="s">
        <v>161</v>
      </c>
      <c r="P492" s="44" t="s">
        <v>1518</v>
      </c>
      <c r="Q492" s="45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</row>
    <row r="493">
      <c r="A493" s="41">
        <v>490.0</v>
      </c>
      <c r="B493" s="41" t="s">
        <v>1977</v>
      </c>
      <c r="C493" s="42">
        <f t="array" ref="C493">INDEX(SkillBoxes!A492:D1068,MATCH(E493,SkillBoxes!A492:A1068,0),2)</f>
        <v>27</v>
      </c>
      <c r="D493" s="42" t="str">
        <f t="array" ref="D493">INDEX(SkillBoxes!A492:D1068,MATCH(E493,SkillBoxes!A492:A1068,0),3)</f>
        <v>Cursed Necromancer</v>
      </c>
      <c r="E493" s="42">
        <v>490.0</v>
      </c>
      <c r="F493" s="42" t="str">
        <f t="array" ref="F493">INDEX(SkillBoxes!A492:D1068,MATCH(E493,SkillBoxes!A492:A1068,0),4)</f>
        <v>Necromantic Mastery IV</v>
      </c>
      <c r="G493" s="41">
        <v>14.0</v>
      </c>
      <c r="H493" s="41" t="s">
        <v>160</v>
      </c>
      <c r="I493" s="41" t="s">
        <v>1498</v>
      </c>
      <c r="J493" s="41" t="s">
        <v>1491</v>
      </c>
      <c r="K493" s="41">
        <v>1.0</v>
      </c>
      <c r="L493" s="41" t="s">
        <v>410</v>
      </c>
      <c r="M493" s="41">
        <v>3.0</v>
      </c>
      <c r="N493" s="41">
        <v>0.15</v>
      </c>
      <c r="O493" s="41" t="s">
        <v>161</v>
      </c>
      <c r="P493" s="41" t="s">
        <v>1518</v>
      </c>
      <c r="Q493" s="42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</row>
    <row r="494">
      <c r="A494" s="44">
        <v>491.0</v>
      </c>
      <c r="B494" s="44" t="s">
        <v>1978</v>
      </c>
      <c r="C494" s="45">
        <f t="array" ref="C494">INDEX(SkillBoxes!A493:D1069,MATCH(E494,SkillBoxes!A493:A1069,0),2)</f>
        <v>27</v>
      </c>
      <c r="D494" s="45" t="str">
        <f t="array" ref="D494">INDEX(SkillBoxes!A493:D1069,MATCH(E494,SkillBoxes!A493:A1069,0),3)</f>
        <v>Cursed Necromancer</v>
      </c>
      <c r="E494" s="45">
        <v>491.0</v>
      </c>
      <c r="F494" s="45" t="str">
        <f t="array" ref="F494">INDEX(SkillBoxes!A493:D1069,MATCH(E494,SkillBoxes!A493:A1069,0),4)</f>
        <v>Minions I</v>
      </c>
      <c r="G494" s="44">
        <v>8.0</v>
      </c>
      <c r="H494" s="44" t="s">
        <v>160</v>
      </c>
      <c r="I494" s="44" t="s">
        <v>1498</v>
      </c>
      <c r="J494" s="44" t="s">
        <v>1480</v>
      </c>
      <c r="K494" s="44">
        <v>1.1</v>
      </c>
      <c r="L494" s="45"/>
      <c r="M494" s="45"/>
      <c r="N494" s="45"/>
      <c r="O494" s="45"/>
      <c r="P494" s="44" t="s">
        <v>1518</v>
      </c>
      <c r="Q494" s="45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</row>
    <row r="495">
      <c r="A495" s="41">
        <v>492.0</v>
      </c>
      <c r="B495" s="41" t="s">
        <v>1979</v>
      </c>
      <c r="C495" s="42">
        <f t="array" ref="C495">INDEX(SkillBoxes!A494:D1070,MATCH(E495,SkillBoxes!A494:A1070,0),2)</f>
        <v>27</v>
      </c>
      <c r="D495" s="42" t="str">
        <f t="array" ref="D495">INDEX(SkillBoxes!A494:D1070,MATCH(E495,SkillBoxes!A494:A1070,0),3)</f>
        <v>Cursed Necromancer</v>
      </c>
      <c r="E495" s="42">
        <v>492.0</v>
      </c>
      <c r="F495" s="42" t="str">
        <f t="array" ref="F495">INDEX(SkillBoxes!A494:D1070,MATCH(E495,SkillBoxes!A494:A1070,0),4)</f>
        <v>Minions II</v>
      </c>
      <c r="G495" s="41">
        <v>10.0</v>
      </c>
      <c r="H495" s="41" t="s">
        <v>160</v>
      </c>
      <c r="I495" s="41" t="s">
        <v>1498</v>
      </c>
      <c r="J495" s="41" t="s">
        <v>1480</v>
      </c>
      <c r="K495" s="41">
        <v>1.2</v>
      </c>
      <c r="L495" s="42"/>
      <c r="M495" s="42"/>
      <c r="N495" s="42"/>
      <c r="O495" s="42"/>
      <c r="P495" s="41" t="s">
        <v>1518</v>
      </c>
      <c r="Q495" s="42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</row>
    <row r="496">
      <c r="A496" s="44">
        <v>493.0</v>
      </c>
      <c r="B496" s="44" t="s">
        <v>1980</v>
      </c>
      <c r="C496" s="45">
        <f t="array" ref="C496">INDEX(SkillBoxes!A495:D1071,MATCH(E496,SkillBoxes!A495:A1071,0),2)</f>
        <v>27</v>
      </c>
      <c r="D496" s="45" t="str">
        <f t="array" ref="D496">INDEX(SkillBoxes!A495:D1071,MATCH(E496,SkillBoxes!A495:A1071,0),3)</f>
        <v>Cursed Necromancer</v>
      </c>
      <c r="E496" s="45">
        <v>493.0</v>
      </c>
      <c r="F496" s="45" t="str">
        <f t="array" ref="F496">INDEX(SkillBoxes!A495:D1071,MATCH(E496,SkillBoxes!A495:A1071,0),4)</f>
        <v>Minions III</v>
      </c>
      <c r="G496" s="44">
        <v>12.0</v>
      </c>
      <c r="H496" s="44" t="s">
        <v>160</v>
      </c>
      <c r="I496" s="44" t="s">
        <v>1498</v>
      </c>
      <c r="J496" s="44" t="s">
        <v>1491</v>
      </c>
      <c r="K496" s="44">
        <v>0.9</v>
      </c>
      <c r="L496" s="44" t="s">
        <v>1484</v>
      </c>
      <c r="M496" s="44">
        <v>1.0</v>
      </c>
      <c r="N496" s="44">
        <v>-1.0</v>
      </c>
      <c r="O496" s="44" t="s">
        <v>141</v>
      </c>
      <c r="P496" s="44" t="s">
        <v>1518</v>
      </c>
      <c r="Q496" s="45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</row>
    <row r="497">
      <c r="A497" s="41">
        <v>494.0</v>
      </c>
      <c r="B497" s="41" t="s">
        <v>1981</v>
      </c>
      <c r="C497" s="42">
        <f t="array" ref="C497">INDEX(SkillBoxes!A496:D1072,MATCH(E497,SkillBoxes!A496:A1072,0),2)</f>
        <v>27</v>
      </c>
      <c r="D497" s="42" t="str">
        <f t="array" ref="D497">INDEX(SkillBoxes!A496:D1072,MATCH(E497,SkillBoxes!A496:A1072,0),3)</f>
        <v>Cursed Necromancer</v>
      </c>
      <c r="E497" s="42">
        <v>494.0</v>
      </c>
      <c r="F497" s="42" t="str">
        <f t="array" ref="F497">INDEX(SkillBoxes!A496:D1072,MATCH(E497,SkillBoxes!A496:A1072,0),4)</f>
        <v>Minions IV</v>
      </c>
      <c r="G497" s="41">
        <v>14.0</v>
      </c>
      <c r="H497" s="41" t="s">
        <v>159</v>
      </c>
      <c r="I497" s="41" t="s">
        <v>1498</v>
      </c>
      <c r="J497" s="41" t="s">
        <v>1491</v>
      </c>
      <c r="K497" s="41">
        <v>1.0</v>
      </c>
      <c r="L497" s="41" t="s">
        <v>410</v>
      </c>
      <c r="M497" s="41">
        <v>2.0</v>
      </c>
      <c r="N497" s="41">
        <v>0.1</v>
      </c>
      <c r="O497" s="41" t="s">
        <v>161</v>
      </c>
      <c r="P497" s="41" t="s">
        <v>1518</v>
      </c>
      <c r="Q497" s="42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</row>
    <row r="498">
      <c r="A498" s="44">
        <v>495.0</v>
      </c>
      <c r="B498" s="44" t="s">
        <v>1982</v>
      </c>
      <c r="C498" s="45">
        <f t="array" ref="C498">INDEX(SkillBoxes!A497:D1073,MATCH(E498,SkillBoxes!A497:A1073,0),2)</f>
        <v>27</v>
      </c>
      <c r="D498" s="45" t="str">
        <f t="array" ref="D498">INDEX(SkillBoxes!A497:D1073,MATCH(E498,SkillBoxes!A497:A1073,0),3)</f>
        <v>Cursed Necromancer</v>
      </c>
      <c r="E498" s="45">
        <v>495.0</v>
      </c>
      <c r="F498" s="45" t="str">
        <f t="array" ref="F498">INDEX(SkillBoxes!A497:D1073,MATCH(E498,SkillBoxes!A497:A1073,0),4)</f>
        <v>Dark Rituals I</v>
      </c>
      <c r="G498" s="44">
        <v>7.0</v>
      </c>
      <c r="H498" s="44" t="s">
        <v>160</v>
      </c>
      <c r="I498" s="44" t="s">
        <v>1498</v>
      </c>
      <c r="J498" s="44" t="s">
        <v>1495</v>
      </c>
      <c r="K498" s="44">
        <v>0.0</v>
      </c>
      <c r="L498" s="44" t="s">
        <v>1513</v>
      </c>
      <c r="M498" s="44">
        <v>2.0</v>
      </c>
      <c r="N498" s="44">
        <v>0.1</v>
      </c>
      <c r="O498" s="44" t="s">
        <v>126</v>
      </c>
      <c r="P498" s="44" t="s">
        <v>1518</v>
      </c>
      <c r="Q498" s="45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</row>
    <row r="499">
      <c r="A499" s="41">
        <v>496.0</v>
      </c>
      <c r="B499" s="41" t="s">
        <v>1983</v>
      </c>
      <c r="C499" s="42">
        <f t="array" ref="C499">INDEX(SkillBoxes!A498:D1074,MATCH(E499,SkillBoxes!A498:A1074,0),2)</f>
        <v>27</v>
      </c>
      <c r="D499" s="42" t="str">
        <f t="array" ref="D499">INDEX(SkillBoxes!A498:D1074,MATCH(E499,SkillBoxes!A498:A1074,0),3)</f>
        <v>Cursed Necromancer</v>
      </c>
      <c r="E499" s="42">
        <v>496.0</v>
      </c>
      <c r="F499" s="42" t="str">
        <f t="array" ref="F499">INDEX(SkillBoxes!A498:D1074,MATCH(E499,SkillBoxes!A498:A1074,0),4)</f>
        <v>Dark Rituals II</v>
      </c>
      <c r="G499" s="41">
        <v>9.0</v>
      </c>
      <c r="H499" s="41" t="s">
        <v>160</v>
      </c>
      <c r="I499" s="41" t="s">
        <v>1498</v>
      </c>
      <c r="J499" s="41" t="s">
        <v>1495</v>
      </c>
      <c r="K499" s="41">
        <v>0.0</v>
      </c>
      <c r="L499" s="41" t="s">
        <v>1513</v>
      </c>
      <c r="M499" s="41">
        <v>3.0</v>
      </c>
      <c r="N499" s="41">
        <v>0.15</v>
      </c>
      <c r="O499" s="41" t="s">
        <v>126</v>
      </c>
      <c r="P499" s="41" t="s">
        <v>1518</v>
      </c>
      <c r="Q499" s="42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</row>
    <row r="500">
      <c r="A500" s="41">
        <v>497.0</v>
      </c>
      <c r="B500" s="44" t="s">
        <v>1984</v>
      </c>
      <c r="C500" s="45">
        <f t="array" ref="C500">INDEX(SkillBoxes!A499:D1075,MATCH(E500,SkillBoxes!A499:A1075,0),2)</f>
        <v>27</v>
      </c>
      <c r="D500" s="45" t="str">
        <f t="array" ref="D500">INDEX(SkillBoxes!A499:D1075,MATCH(E500,SkillBoxes!A499:A1075,0),3)</f>
        <v>Cursed Necromancer</v>
      </c>
      <c r="E500" s="45">
        <v>497.0</v>
      </c>
      <c r="F500" s="45" t="str">
        <f t="array" ref="F500">INDEX(SkillBoxes!A499:D1075,MATCH(E500,SkillBoxes!A499:A1075,0),4)</f>
        <v>Dark Rituals III</v>
      </c>
      <c r="G500" s="44">
        <v>11.0</v>
      </c>
      <c r="H500" s="44" t="s">
        <v>160</v>
      </c>
      <c r="I500" s="44" t="s">
        <v>1498</v>
      </c>
      <c r="J500" s="44" t="s">
        <v>1480</v>
      </c>
      <c r="K500" s="44">
        <v>1.4</v>
      </c>
      <c r="L500" s="44" t="s">
        <v>1484</v>
      </c>
      <c r="M500" s="44">
        <v>3.0</v>
      </c>
      <c r="N500" s="44">
        <v>-3.0</v>
      </c>
      <c r="O500" s="44" t="s">
        <v>141</v>
      </c>
      <c r="P500" s="44" t="s">
        <v>1518</v>
      </c>
      <c r="Q500" s="45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</row>
    <row r="501">
      <c r="A501" s="44">
        <v>498.0</v>
      </c>
      <c r="B501" s="41" t="s">
        <v>1985</v>
      </c>
      <c r="C501" s="42">
        <f t="array" ref="C501">INDEX(SkillBoxes!A500:D1076,MATCH(E501,SkillBoxes!A500:A1076,0),2)</f>
        <v>27</v>
      </c>
      <c r="D501" s="42" t="str">
        <f t="array" ref="D501">INDEX(SkillBoxes!A500:D1076,MATCH(E501,SkillBoxes!A500:A1076,0),3)</f>
        <v>Cursed Necromancer</v>
      </c>
      <c r="E501" s="42">
        <v>498.0</v>
      </c>
      <c r="F501" s="42" t="str">
        <f t="array" ref="F501">INDEX(SkillBoxes!A500:D1076,MATCH(E501,SkillBoxes!A500:A1076,0),4)</f>
        <v>Dark Rituals IV</v>
      </c>
      <c r="G501" s="41">
        <v>13.0</v>
      </c>
      <c r="H501" s="41" t="s">
        <v>159</v>
      </c>
      <c r="I501" s="41" t="s">
        <v>1498</v>
      </c>
      <c r="J501" s="41" t="s">
        <v>1491</v>
      </c>
      <c r="K501" s="41">
        <v>1.0</v>
      </c>
      <c r="L501" s="41" t="s">
        <v>1484</v>
      </c>
      <c r="M501" s="41">
        <v>4.0</v>
      </c>
      <c r="N501" s="41">
        <v>-3.0</v>
      </c>
      <c r="O501" s="41" t="s">
        <v>141</v>
      </c>
      <c r="P501" s="41" t="s">
        <v>1518</v>
      </c>
      <c r="Q501" s="42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</row>
    <row r="502">
      <c r="A502" s="41">
        <v>499.0</v>
      </c>
      <c r="B502" s="44" t="s">
        <v>1986</v>
      </c>
      <c r="C502" s="45">
        <f t="array" ref="C502">INDEX(SkillBoxes!A501:D1077,MATCH(E502,SkillBoxes!A501:A1077,0),2)</f>
        <v>27</v>
      </c>
      <c r="D502" s="45" t="str">
        <f t="array" ref="D502">INDEX(SkillBoxes!A501:D1077,MATCH(E502,SkillBoxes!A501:A1077,0),3)</f>
        <v>Cursed Necromancer</v>
      </c>
      <c r="E502" s="45">
        <v>499.0</v>
      </c>
      <c r="F502" s="45" t="str">
        <f t="array" ref="F502">INDEX(SkillBoxes!A501:D1077,MATCH(E502,SkillBoxes!A501:A1077,0),4)</f>
        <v>Bloody Rites I</v>
      </c>
      <c r="G502" s="44">
        <v>8.0</v>
      </c>
      <c r="H502" s="44" t="s">
        <v>160</v>
      </c>
      <c r="I502" s="44" t="s">
        <v>1498</v>
      </c>
      <c r="J502" s="44" t="s">
        <v>1480</v>
      </c>
      <c r="K502" s="44">
        <v>1.3</v>
      </c>
      <c r="L502" s="44" t="s">
        <v>1484</v>
      </c>
      <c r="M502" s="44">
        <v>2.0</v>
      </c>
      <c r="N502" s="44">
        <v>-1.0</v>
      </c>
      <c r="O502" s="44" t="s">
        <v>141</v>
      </c>
      <c r="P502" s="44" t="s">
        <v>1518</v>
      </c>
      <c r="Q502" s="45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</row>
    <row r="503">
      <c r="A503" s="44">
        <v>500.0</v>
      </c>
      <c r="B503" s="41" t="s">
        <v>1987</v>
      </c>
      <c r="C503" s="42">
        <f t="array" ref="C503">INDEX(SkillBoxes!A502:D1078,MATCH(E503,SkillBoxes!A502:A1078,0),2)</f>
        <v>27</v>
      </c>
      <c r="D503" s="42" t="str">
        <f t="array" ref="D503">INDEX(SkillBoxes!A502:D1078,MATCH(E503,SkillBoxes!A502:A1078,0),3)</f>
        <v>Cursed Necromancer</v>
      </c>
      <c r="E503" s="42">
        <v>500.0</v>
      </c>
      <c r="F503" s="42" t="str">
        <f t="array" ref="F503">INDEX(SkillBoxes!A502:D1078,MATCH(E503,SkillBoxes!A502:A1078,0),4)</f>
        <v>Bloody Rites II</v>
      </c>
      <c r="G503" s="41">
        <v>10.0</v>
      </c>
      <c r="H503" s="41" t="s">
        <v>160</v>
      </c>
      <c r="I503" s="41" t="s">
        <v>1498</v>
      </c>
      <c r="J503" s="41" t="s">
        <v>1480</v>
      </c>
      <c r="K503" s="41">
        <v>1.4</v>
      </c>
      <c r="L503" s="41" t="s">
        <v>1484</v>
      </c>
      <c r="M503" s="41">
        <v>3.0</v>
      </c>
      <c r="N503" s="41">
        <v>-2.0</v>
      </c>
      <c r="O503" s="41" t="s">
        <v>141</v>
      </c>
      <c r="P503" s="41" t="s">
        <v>1518</v>
      </c>
      <c r="Q503" s="42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</row>
    <row r="504">
      <c r="A504" s="41">
        <v>501.0</v>
      </c>
      <c r="B504" s="44" t="s">
        <v>1988</v>
      </c>
      <c r="C504" s="45">
        <f t="array" ref="C504">INDEX(SkillBoxes!A503:D1079,MATCH(E504,SkillBoxes!A503:A1079,0),2)</f>
        <v>27</v>
      </c>
      <c r="D504" s="45" t="str">
        <f t="array" ref="D504">INDEX(SkillBoxes!A503:D1079,MATCH(E504,SkillBoxes!A503:A1079,0),3)</f>
        <v>Cursed Necromancer</v>
      </c>
      <c r="E504" s="45">
        <v>501.0</v>
      </c>
      <c r="F504" s="45" t="str">
        <f t="array" ref="F504">INDEX(SkillBoxes!A503:D1079,MATCH(E504,SkillBoxes!A503:A1079,0),4)</f>
        <v>Bloody Rites III</v>
      </c>
      <c r="G504" s="44">
        <v>12.0</v>
      </c>
      <c r="H504" s="44" t="s">
        <v>160</v>
      </c>
      <c r="I504" s="44" t="s">
        <v>1498</v>
      </c>
      <c r="J504" s="44" t="s">
        <v>1480</v>
      </c>
      <c r="K504" s="44">
        <v>1.6</v>
      </c>
      <c r="L504" s="44" t="s">
        <v>1484</v>
      </c>
      <c r="M504" s="44">
        <v>3.0</v>
      </c>
      <c r="N504" s="44">
        <v>-3.0</v>
      </c>
      <c r="O504" s="44" t="s">
        <v>141</v>
      </c>
      <c r="P504" s="44" t="s">
        <v>1518</v>
      </c>
      <c r="Q504" s="45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</row>
    <row r="505">
      <c r="A505" s="44">
        <v>502.0</v>
      </c>
      <c r="B505" s="41" t="s">
        <v>1989</v>
      </c>
      <c r="C505" s="42">
        <f t="array" ref="C505">INDEX(SkillBoxes!A504:D1080,MATCH(E505,SkillBoxes!A504:A1080,0),2)</f>
        <v>27</v>
      </c>
      <c r="D505" s="42" t="str">
        <f t="array" ref="D505">INDEX(SkillBoxes!A504:D1080,MATCH(E505,SkillBoxes!A504:A1080,0),3)</f>
        <v>Cursed Necromancer</v>
      </c>
      <c r="E505" s="42">
        <v>502.0</v>
      </c>
      <c r="F505" s="42" t="str">
        <f t="array" ref="F505">INDEX(SkillBoxes!A504:D1080,MATCH(E505,SkillBoxes!A504:A1080,0),4)</f>
        <v>Bloody Rites IV</v>
      </c>
      <c r="G505" s="41">
        <v>14.0</v>
      </c>
      <c r="H505" s="41" t="s">
        <v>159</v>
      </c>
      <c r="I505" s="41" t="s">
        <v>1498</v>
      </c>
      <c r="J505" s="41" t="s">
        <v>1491</v>
      </c>
      <c r="K505" s="41">
        <v>1.0</v>
      </c>
      <c r="L505" s="41" t="s">
        <v>1484</v>
      </c>
      <c r="M505" s="41">
        <v>5.0</v>
      </c>
      <c r="N505" s="41">
        <v>-4.0</v>
      </c>
      <c r="O505" s="41" t="s">
        <v>141</v>
      </c>
      <c r="P505" s="41" t="s">
        <v>1518</v>
      </c>
      <c r="Q505" s="42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</row>
    <row r="506">
      <c r="A506" s="41">
        <v>503.0</v>
      </c>
      <c r="B506" s="44" t="s">
        <v>1990</v>
      </c>
      <c r="C506" s="45">
        <f t="array" ref="C506">INDEX(SkillBoxes!A505:D1081,MATCH(E506,SkillBoxes!A505:A1081,0),2)</f>
        <v>27</v>
      </c>
      <c r="D506" s="45" t="str">
        <f t="array" ref="D506">INDEX(SkillBoxes!A505:D1081,MATCH(E506,SkillBoxes!A505:A1081,0),3)</f>
        <v>Cursed Necromancer</v>
      </c>
      <c r="E506" s="45">
        <v>503.0</v>
      </c>
      <c r="F506" s="45" t="str">
        <f t="array" ref="F506">INDEX(SkillBoxes!A505:D1081,MATCH(E506,SkillBoxes!A505:A1081,0),4)</f>
        <v>Master Cursed Necromancer</v>
      </c>
      <c r="G506" s="44">
        <v>20.0</v>
      </c>
      <c r="H506" s="44" t="s">
        <v>159</v>
      </c>
      <c r="I506" s="44" t="s">
        <v>1498</v>
      </c>
      <c r="J506" s="44" t="s">
        <v>1491</v>
      </c>
      <c r="K506" s="44">
        <v>1.3</v>
      </c>
      <c r="L506" s="44" t="s">
        <v>1484</v>
      </c>
      <c r="M506" s="44">
        <v>5.0</v>
      </c>
      <c r="N506" s="44">
        <v>-5.0</v>
      </c>
      <c r="O506" s="44" t="s">
        <v>141</v>
      </c>
      <c r="P506" s="44" t="s">
        <v>1518</v>
      </c>
      <c r="Q506" s="45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</row>
    <row r="507">
      <c r="A507" s="41">
        <v>504.0</v>
      </c>
      <c r="B507" s="41" t="s">
        <v>1991</v>
      </c>
      <c r="C507" s="42">
        <f t="array" ref="C507">INDEX(SkillBoxes!A506:D1082,MATCH(E507,SkillBoxes!A506:A1082,0),2)</f>
        <v>28</v>
      </c>
      <c r="D507" s="42" t="str">
        <f t="array" ref="D507">INDEX(SkillBoxes!A506:D1082,MATCH(E507,SkillBoxes!A506:A1082,0),3)</f>
        <v>Grim Hierophant</v>
      </c>
      <c r="E507" s="42">
        <v>504.0</v>
      </c>
      <c r="F507" s="42" t="str">
        <f t="array" ref="F507">INDEX(SkillBoxes!A506:D1082,MATCH(E507,SkillBoxes!A506:A1082,0),4)</f>
        <v>Novice Grim Hierophant</v>
      </c>
      <c r="G507" s="41">
        <v>8.0</v>
      </c>
      <c r="H507" s="41" t="s">
        <v>160</v>
      </c>
      <c r="I507" s="41" t="s">
        <v>1498</v>
      </c>
      <c r="J507" s="41" t="s">
        <v>1543</v>
      </c>
      <c r="K507" s="41">
        <v>0.0</v>
      </c>
      <c r="L507" s="41" t="s">
        <v>1544</v>
      </c>
      <c r="M507" s="41">
        <v>1.0</v>
      </c>
      <c r="N507" s="41">
        <v>30.0</v>
      </c>
      <c r="O507" s="41" t="s">
        <v>141</v>
      </c>
      <c r="P507" s="42"/>
      <c r="Q507" s="42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</row>
    <row r="508">
      <c r="A508" s="44">
        <v>505.0</v>
      </c>
      <c r="B508" s="44" t="s">
        <v>1992</v>
      </c>
      <c r="C508" s="45">
        <f t="array" ref="C508">INDEX(SkillBoxes!A507:D1083,MATCH(E508,SkillBoxes!A507:A1083,0),2)</f>
        <v>28</v>
      </c>
      <c r="D508" s="45" t="str">
        <f t="array" ref="D508">INDEX(SkillBoxes!A507:D1083,MATCH(E508,SkillBoxes!A507:A1083,0),3)</f>
        <v>Grim Hierophant</v>
      </c>
      <c r="E508" s="45">
        <v>505.0</v>
      </c>
      <c r="F508" s="45" t="str">
        <f t="array" ref="F508">INDEX(SkillBoxes!A507:D1083,MATCH(E508,SkillBoxes!A507:A1083,0),4)</f>
        <v>Mystic Wind I</v>
      </c>
      <c r="G508" s="44">
        <v>7.0</v>
      </c>
      <c r="H508" s="44" t="s">
        <v>160</v>
      </c>
      <c r="I508" s="44" t="s">
        <v>1498</v>
      </c>
      <c r="J508" s="44" t="s">
        <v>1480</v>
      </c>
      <c r="K508" s="44">
        <v>1.1</v>
      </c>
      <c r="L508" s="45"/>
      <c r="M508" s="45"/>
      <c r="N508" s="45"/>
      <c r="O508" s="45"/>
      <c r="P508" s="44" t="s">
        <v>1540</v>
      </c>
      <c r="Q508" s="45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</row>
    <row r="509">
      <c r="A509" s="41">
        <v>506.0</v>
      </c>
      <c r="B509" s="41" t="s">
        <v>1993</v>
      </c>
      <c r="C509" s="42">
        <f t="array" ref="C509">INDEX(SkillBoxes!A508:D1084,MATCH(E509,SkillBoxes!A508:A1084,0),2)</f>
        <v>28</v>
      </c>
      <c r="D509" s="42" t="str">
        <f t="array" ref="D509">INDEX(SkillBoxes!A508:D1084,MATCH(E509,SkillBoxes!A508:A1084,0),3)</f>
        <v>Grim Hierophant</v>
      </c>
      <c r="E509" s="42">
        <v>506.0</v>
      </c>
      <c r="F509" s="42" t="str">
        <f t="array" ref="F509">INDEX(SkillBoxes!A508:D1084,MATCH(E509,SkillBoxes!A508:A1084,0),4)</f>
        <v>Mystic Wind II</v>
      </c>
      <c r="G509" s="41">
        <v>9.0</v>
      </c>
      <c r="H509" s="41" t="s">
        <v>160</v>
      </c>
      <c r="I509" s="41" t="s">
        <v>1498</v>
      </c>
      <c r="J509" s="41" t="s">
        <v>1480</v>
      </c>
      <c r="K509" s="41">
        <v>1.2</v>
      </c>
      <c r="L509" s="42"/>
      <c r="M509" s="42"/>
      <c r="N509" s="42"/>
      <c r="O509" s="42"/>
      <c r="P509" s="41" t="s">
        <v>1540</v>
      </c>
      <c r="Q509" s="42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</row>
    <row r="510">
      <c r="A510" s="44">
        <v>507.0</v>
      </c>
      <c r="B510" s="44" t="s">
        <v>1994</v>
      </c>
      <c r="C510" s="45">
        <f t="array" ref="C510">INDEX(SkillBoxes!A509:D1085,MATCH(E510,SkillBoxes!A509:A1085,0),2)</f>
        <v>28</v>
      </c>
      <c r="D510" s="45" t="str">
        <f t="array" ref="D510">INDEX(SkillBoxes!A509:D1085,MATCH(E510,SkillBoxes!A509:A1085,0),3)</f>
        <v>Grim Hierophant</v>
      </c>
      <c r="E510" s="45">
        <v>507.0</v>
      </c>
      <c r="F510" s="45" t="str">
        <f t="array" ref="F510">INDEX(SkillBoxes!A509:D1085,MATCH(E510,SkillBoxes!A509:A1085,0),4)</f>
        <v>Mystic Wind III</v>
      </c>
      <c r="G510" s="44">
        <v>11.0</v>
      </c>
      <c r="H510" s="44" t="s">
        <v>160</v>
      </c>
      <c r="I510" s="44" t="s">
        <v>1498</v>
      </c>
      <c r="J510" s="44" t="s">
        <v>1480</v>
      </c>
      <c r="K510" s="44">
        <v>1.4</v>
      </c>
      <c r="L510" s="44" t="s">
        <v>1489</v>
      </c>
      <c r="M510" s="44">
        <v>1.0</v>
      </c>
      <c r="N510" s="45"/>
      <c r="O510" s="45"/>
      <c r="P510" s="44" t="s">
        <v>1540</v>
      </c>
      <c r="Q510" s="45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</row>
    <row r="511">
      <c r="A511" s="41">
        <v>508.0</v>
      </c>
      <c r="B511" s="41" t="s">
        <v>1995</v>
      </c>
      <c r="C511" s="42">
        <f t="array" ref="C511">INDEX(SkillBoxes!A510:D1086,MATCH(E511,SkillBoxes!A510:A1086,0),2)</f>
        <v>28</v>
      </c>
      <c r="D511" s="42" t="str">
        <f t="array" ref="D511">INDEX(SkillBoxes!A510:D1086,MATCH(E511,SkillBoxes!A510:A1086,0),3)</f>
        <v>Grim Hierophant</v>
      </c>
      <c r="E511" s="42">
        <v>508.0</v>
      </c>
      <c r="F511" s="42" t="str">
        <f t="array" ref="F511">INDEX(SkillBoxes!A510:D1086,MATCH(E511,SkillBoxes!A510:A1086,0),4)</f>
        <v>Mystic Wind IV</v>
      </c>
      <c r="G511" s="41">
        <v>13.0</v>
      </c>
      <c r="H511" s="41" t="s">
        <v>160</v>
      </c>
      <c r="I511" s="41" t="s">
        <v>1498</v>
      </c>
      <c r="J511" s="41" t="s">
        <v>1491</v>
      </c>
      <c r="K511" s="41">
        <v>0.9</v>
      </c>
      <c r="L511" s="41" t="s">
        <v>1489</v>
      </c>
      <c r="M511" s="41">
        <v>2.0</v>
      </c>
      <c r="N511" s="42"/>
      <c r="O511" s="42"/>
      <c r="P511" s="41" t="s">
        <v>1540</v>
      </c>
      <c r="Q511" s="42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</row>
    <row r="512">
      <c r="A512" s="44">
        <v>509.0</v>
      </c>
      <c r="B512" s="44" t="s">
        <v>1996</v>
      </c>
      <c r="C512" s="45">
        <f t="array" ref="C512">INDEX(SkillBoxes!A511:D1087,MATCH(E512,SkillBoxes!A511:A1087,0),2)</f>
        <v>28</v>
      </c>
      <c r="D512" s="45" t="str">
        <f t="array" ref="D512">INDEX(SkillBoxes!A511:D1087,MATCH(E512,SkillBoxes!A511:A1087,0),3)</f>
        <v>Grim Hierophant</v>
      </c>
      <c r="E512" s="45">
        <v>509.0</v>
      </c>
      <c r="F512" s="45" t="str">
        <f t="array" ref="F512">INDEX(SkillBoxes!A511:D1087,MATCH(E512,SkillBoxes!A511:A1087,0),4)</f>
        <v>Natural Rituals I</v>
      </c>
      <c r="G512" s="44">
        <v>7.0</v>
      </c>
      <c r="H512" s="44" t="s">
        <v>160</v>
      </c>
      <c r="I512" s="44" t="s">
        <v>1498</v>
      </c>
      <c r="J512" s="44" t="s">
        <v>1491</v>
      </c>
      <c r="K512" s="44">
        <v>0.0</v>
      </c>
      <c r="L512" s="44" t="s">
        <v>1513</v>
      </c>
      <c r="M512" s="44">
        <v>2.0</v>
      </c>
      <c r="N512" s="44">
        <v>0.1</v>
      </c>
      <c r="O512" s="44" t="s">
        <v>133</v>
      </c>
      <c r="P512" s="44" t="s">
        <v>1538</v>
      </c>
      <c r="Q512" s="45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</row>
    <row r="513">
      <c r="A513" s="41">
        <v>510.0</v>
      </c>
      <c r="B513" s="41" t="s">
        <v>1997</v>
      </c>
      <c r="C513" s="42">
        <f t="array" ref="C513">INDEX(SkillBoxes!A512:D1088,MATCH(E513,SkillBoxes!A512:A1088,0),2)</f>
        <v>28</v>
      </c>
      <c r="D513" s="42" t="str">
        <f t="array" ref="D513">INDEX(SkillBoxes!A512:D1088,MATCH(E513,SkillBoxes!A512:A1088,0),3)</f>
        <v>Grim Hierophant</v>
      </c>
      <c r="E513" s="42">
        <v>510.0</v>
      </c>
      <c r="F513" s="42" t="str">
        <f t="array" ref="F513">INDEX(SkillBoxes!A512:D1088,MATCH(E513,SkillBoxes!A512:A1088,0),4)</f>
        <v>Natural Rituals II</v>
      </c>
      <c r="G513" s="41">
        <v>9.0</v>
      </c>
      <c r="H513" s="41" t="s">
        <v>160</v>
      </c>
      <c r="I513" s="41" t="s">
        <v>1498</v>
      </c>
      <c r="J513" s="41" t="s">
        <v>1491</v>
      </c>
      <c r="K513" s="41">
        <v>0.0</v>
      </c>
      <c r="L513" s="41" t="s">
        <v>1513</v>
      </c>
      <c r="M513" s="41">
        <v>3.0</v>
      </c>
      <c r="N513" s="41">
        <v>0.15</v>
      </c>
      <c r="O513" s="41" t="s">
        <v>133</v>
      </c>
      <c r="P513" s="41" t="s">
        <v>1538</v>
      </c>
      <c r="Q513" s="42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</row>
    <row r="514">
      <c r="A514" s="41">
        <v>511.0</v>
      </c>
      <c r="B514" s="44" t="s">
        <v>1998</v>
      </c>
      <c r="C514" s="45">
        <f t="array" ref="C514">INDEX(SkillBoxes!A513:D1089,MATCH(E514,SkillBoxes!A513:A1089,0),2)</f>
        <v>28</v>
      </c>
      <c r="D514" s="45" t="str">
        <f t="array" ref="D514">INDEX(SkillBoxes!A513:D1089,MATCH(E514,SkillBoxes!A513:A1089,0),3)</f>
        <v>Grim Hierophant</v>
      </c>
      <c r="E514" s="45">
        <v>511.0</v>
      </c>
      <c r="F514" s="45" t="str">
        <f t="array" ref="F514">INDEX(SkillBoxes!A513:D1089,MATCH(E514,SkillBoxes!A513:A1089,0),4)</f>
        <v>Natural Rituals III</v>
      </c>
      <c r="G514" s="44">
        <v>11.0</v>
      </c>
      <c r="H514" s="44" t="s">
        <v>160</v>
      </c>
      <c r="I514" s="44" t="s">
        <v>1498</v>
      </c>
      <c r="J514" s="44" t="s">
        <v>1543</v>
      </c>
      <c r="K514" s="44">
        <v>0.0</v>
      </c>
      <c r="L514" s="44" t="s">
        <v>1544</v>
      </c>
      <c r="M514" s="44">
        <v>1.0</v>
      </c>
      <c r="N514" s="44">
        <v>40.0</v>
      </c>
      <c r="O514" s="44" t="s">
        <v>141</v>
      </c>
      <c r="P514" s="45"/>
      <c r="Q514" s="45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</row>
    <row r="515">
      <c r="A515" s="44">
        <v>512.0</v>
      </c>
      <c r="B515" s="41" t="s">
        <v>1999</v>
      </c>
      <c r="C515" s="42">
        <f t="array" ref="C515">INDEX(SkillBoxes!A514:D1090,MATCH(E515,SkillBoxes!A514:A1090,0),2)</f>
        <v>28</v>
      </c>
      <c r="D515" s="42" t="str">
        <f t="array" ref="D515">INDEX(SkillBoxes!A514:D1090,MATCH(E515,SkillBoxes!A514:A1090,0),3)</f>
        <v>Grim Hierophant</v>
      </c>
      <c r="E515" s="42">
        <v>512.0</v>
      </c>
      <c r="F515" s="42" t="str">
        <f t="array" ref="F515">INDEX(SkillBoxes!A514:D1090,MATCH(E515,SkillBoxes!A514:A1090,0),4)</f>
        <v>Natural Rituals IV</v>
      </c>
      <c r="G515" s="41">
        <v>13.0</v>
      </c>
      <c r="H515" s="41" t="s">
        <v>160</v>
      </c>
      <c r="I515" s="41" t="s">
        <v>1498</v>
      </c>
      <c r="J515" s="41" t="s">
        <v>1491</v>
      </c>
      <c r="K515" s="41">
        <v>0.0</v>
      </c>
      <c r="L515" s="41" t="s">
        <v>1513</v>
      </c>
      <c r="M515" s="41">
        <v>3.0</v>
      </c>
      <c r="N515" s="41">
        <v>0.15</v>
      </c>
      <c r="O515" s="41" t="s">
        <v>161</v>
      </c>
      <c r="P515" s="41" t="s">
        <v>1538</v>
      </c>
      <c r="Q515" s="42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</row>
    <row r="516">
      <c r="A516" s="41">
        <v>513.0</v>
      </c>
      <c r="B516" s="44" t="s">
        <v>2000</v>
      </c>
      <c r="C516" s="45">
        <f t="array" ref="C516">INDEX(SkillBoxes!A515:D1091,MATCH(E516,SkillBoxes!A515:A1091,0),2)</f>
        <v>28</v>
      </c>
      <c r="D516" s="45" t="str">
        <f t="array" ref="D516">INDEX(SkillBoxes!A515:D1091,MATCH(E516,SkillBoxes!A515:A1091,0),3)</f>
        <v>Grim Hierophant</v>
      </c>
      <c r="E516" s="45">
        <v>513.0</v>
      </c>
      <c r="F516" s="45" t="str">
        <f t="array" ref="F516">INDEX(SkillBoxes!A515:D1091,MATCH(E516,SkillBoxes!A515:A1091,0),4)</f>
        <v>Sacred Ecology I</v>
      </c>
      <c r="G516" s="44">
        <v>7.0</v>
      </c>
      <c r="H516" s="44" t="s">
        <v>160</v>
      </c>
      <c r="I516" s="44" t="s">
        <v>1498</v>
      </c>
      <c r="J516" s="44" t="s">
        <v>1543</v>
      </c>
      <c r="K516" s="44">
        <v>0.0</v>
      </c>
      <c r="L516" s="44" t="s">
        <v>1544</v>
      </c>
      <c r="M516" s="44">
        <v>1.0</v>
      </c>
      <c r="N516" s="44">
        <v>35.0</v>
      </c>
      <c r="O516" s="44" t="s">
        <v>141</v>
      </c>
      <c r="P516" s="45"/>
      <c r="Q516" s="45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</row>
    <row r="517">
      <c r="A517" s="44">
        <v>514.0</v>
      </c>
      <c r="B517" s="41" t="s">
        <v>2001</v>
      </c>
      <c r="C517" s="42">
        <f t="array" ref="C517">INDEX(SkillBoxes!A516:D1092,MATCH(E517,SkillBoxes!A516:A1092,0),2)</f>
        <v>28</v>
      </c>
      <c r="D517" s="42" t="str">
        <f t="array" ref="D517">INDEX(SkillBoxes!A516:D1092,MATCH(E517,SkillBoxes!A516:A1092,0),3)</f>
        <v>Grim Hierophant</v>
      </c>
      <c r="E517" s="42">
        <v>514.0</v>
      </c>
      <c r="F517" s="42" t="str">
        <f t="array" ref="F517">INDEX(SkillBoxes!A516:D1092,MATCH(E517,SkillBoxes!A516:A1092,0),4)</f>
        <v>Sacred Ecology II</v>
      </c>
      <c r="G517" s="41">
        <v>9.0</v>
      </c>
      <c r="H517" s="41" t="s">
        <v>160</v>
      </c>
      <c r="I517" s="41" t="s">
        <v>1498</v>
      </c>
      <c r="J517" s="41" t="s">
        <v>1543</v>
      </c>
      <c r="K517" s="41">
        <v>0.0</v>
      </c>
      <c r="L517" s="41" t="s">
        <v>1544</v>
      </c>
      <c r="M517" s="41">
        <v>1.0</v>
      </c>
      <c r="N517" s="41">
        <v>50.0</v>
      </c>
      <c r="O517" s="41" t="s">
        <v>141</v>
      </c>
      <c r="P517" s="42"/>
      <c r="Q517" s="42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</row>
    <row r="518">
      <c r="A518" s="41">
        <v>515.0</v>
      </c>
      <c r="B518" s="44" t="s">
        <v>2002</v>
      </c>
      <c r="C518" s="45">
        <f t="array" ref="C518">INDEX(SkillBoxes!A517:D1093,MATCH(E518,SkillBoxes!A517:A1093,0),2)</f>
        <v>28</v>
      </c>
      <c r="D518" s="45" t="str">
        <f t="array" ref="D518">INDEX(SkillBoxes!A517:D1093,MATCH(E518,SkillBoxes!A517:A1093,0),3)</f>
        <v>Grim Hierophant</v>
      </c>
      <c r="E518" s="45">
        <v>515.0</v>
      </c>
      <c r="F518" s="45" t="str">
        <f t="array" ref="F518">INDEX(SkillBoxes!A517:D1093,MATCH(E518,SkillBoxes!A517:A1093,0),4)</f>
        <v>Sacred Ecology III</v>
      </c>
      <c r="G518" s="44">
        <v>11.0</v>
      </c>
      <c r="H518" s="44" t="s">
        <v>160</v>
      </c>
      <c r="I518" s="44" t="s">
        <v>1498</v>
      </c>
      <c r="J518" s="44" t="s">
        <v>1491</v>
      </c>
      <c r="K518" s="44">
        <v>0.0</v>
      </c>
      <c r="L518" s="44" t="s">
        <v>1544</v>
      </c>
      <c r="M518" s="44">
        <v>1.0</v>
      </c>
      <c r="N518" s="44">
        <v>35.0</v>
      </c>
      <c r="O518" s="44" t="s">
        <v>141</v>
      </c>
      <c r="P518" s="45"/>
      <c r="Q518" s="45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</row>
    <row r="519">
      <c r="A519" s="44">
        <v>516.0</v>
      </c>
      <c r="B519" s="41" t="s">
        <v>2003</v>
      </c>
      <c r="C519" s="42">
        <f t="array" ref="C519">INDEX(SkillBoxes!A518:D1094,MATCH(E519,SkillBoxes!A518:A1094,0),2)</f>
        <v>28</v>
      </c>
      <c r="D519" s="42" t="str">
        <f t="array" ref="D519">INDEX(SkillBoxes!A518:D1094,MATCH(E519,SkillBoxes!A518:A1094,0),3)</f>
        <v>Grim Hierophant</v>
      </c>
      <c r="E519" s="42">
        <v>516.0</v>
      </c>
      <c r="F519" s="42" t="str">
        <f t="array" ref="F519">INDEX(SkillBoxes!A518:D1094,MATCH(E519,SkillBoxes!A518:A1094,0),4)</f>
        <v>Sacred Ecology IV</v>
      </c>
      <c r="G519" s="41">
        <v>13.0</v>
      </c>
      <c r="H519" s="41" t="s">
        <v>160</v>
      </c>
      <c r="I519" s="41" t="s">
        <v>1498</v>
      </c>
      <c r="J519" s="41" t="s">
        <v>1491</v>
      </c>
      <c r="K519" s="41">
        <v>0.0</v>
      </c>
      <c r="L519" s="41" t="s">
        <v>1544</v>
      </c>
      <c r="M519" s="41">
        <v>1.0</v>
      </c>
      <c r="N519" s="41">
        <v>50.0</v>
      </c>
      <c r="O519" s="41" t="s">
        <v>141</v>
      </c>
      <c r="P519" s="42"/>
      <c r="Q519" s="42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</row>
    <row r="520">
      <c r="A520" s="41">
        <v>517.0</v>
      </c>
      <c r="B520" s="44" t="s">
        <v>2004</v>
      </c>
      <c r="C520" s="45">
        <f t="array" ref="C520">INDEX(SkillBoxes!A519:D1095,MATCH(E520,SkillBoxes!A519:A1095,0),2)</f>
        <v>28</v>
      </c>
      <c r="D520" s="45" t="str">
        <f t="array" ref="D520">INDEX(SkillBoxes!A519:D1095,MATCH(E520,SkillBoxes!A519:A1095,0),3)</f>
        <v>Grim Hierophant</v>
      </c>
      <c r="E520" s="45">
        <v>517.0</v>
      </c>
      <c r="F520" s="45" t="str">
        <f t="array" ref="F520">INDEX(SkillBoxes!A519:D1095,MATCH(E520,SkillBoxes!A519:A1095,0),4)</f>
        <v>Wound Treatment I</v>
      </c>
      <c r="G520" s="44">
        <v>6.0</v>
      </c>
      <c r="H520" s="44" t="s">
        <v>160</v>
      </c>
      <c r="I520" s="44" t="s">
        <v>1498</v>
      </c>
      <c r="J520" s="44" t="s">
        <v>1543</v>
      </c>
      <c r="K520" s="44">
        <v>0.0</v>
      </c>
      <c r="L520" s="44" t="s">
        <v>1544</v>
      </c>
      <c r="M520" s="44">
        <v>1.0</v>
      </c>
      <c r="N520" s="44">
        <v>25.0</v>
      </c>
      <c r="O520" s="44" t="s">
        <v>141</v>
      </c>
      <c r="P520" s="45"/>
      <c r="Q520" s="45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</row>
    <row r="521">
      <c r="A521" s="41">
        <v>518.0</v>
      </c>
      <c r="B521" s="41" t="s">
        <v>2005</v>
      </c>
      <c r="C521" s="42">
        <f t="array" ref="C521">INDEX(SkillBoxes!A520:D1096,MATCH(E521,SkillBoxes!A520:A1096,0),2)</f>
        <v>28</v>
      </c>
      <c r="D521" s="42" t="str">
        <f t="array" ref="D521">INDEX(SkillBoxes!A520:D1096,MATCH(E521,SkillBoxes!A520:A1096,0),3)</f>
        <v>Grim Hierophant</v>
      </c>
      <c r="E521" s="42">
        <v>518.0</v>
      </c>
      <c r="F521" s="42" t="str">
        <f t="array" ref="F521">INDEX(SkillBoxes!A520:D1096,MATCH(E521,SkillBoxes!A520:A1096,0),4)</f>
        <v>Wound Treatment II</v>
      </c>
      <c r="G521" s="41">
        <v>8.0</v>
      </c>
      <c r="H521" s="41" t="s">
        <v>160</v>
      </c>
      <c r="I521" s="41" t="s">
        <v>1498</v>
      </c>
      <c r="J521" s="41" t="s">
        <v>1543</v>
      </c>
      <c r="K521" s="41">
        <v>0.0</v>
      </c>
      <c r="L521" s="41" t="s">
        <v>1544</v>
      </c>
      <c r="M521" s="41">
        <v>1.0</v>
      </c>
      <c r="N521" s="41">
        <v>40.0</v>
      </c>
      <c r="O521" s="41" t="s">
        <v>141</v>
      </c>
      <c r="P521" s="42"/>
      <c r="Q521" s="42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</row>
    <row r="522">
      <c r="A522" s="44">
        <v>519.0</v>
      </c>
      <c r="B522" s="44" t="s">
        <v>2006</v>
      </c>
      <c r="C522" s="45">
        <f t="array" ref="C522">INDEX(SkillBoxes!A521:D1097,MATCH(E522,SkillBoxes!A521:A1097,0),2)</f>
        <v>28</v>
      </c>
      <c r="D522" s="45" t="str">
        <f t="array" ref="D522">INDEX(SkillBoxes!A521:D1097,MATCH(E522,SkillBoxes!A521:A1097,0),3)</f>
        <v>Grim Hierophant</v>
      </c>
      <c r="E522" s="45">
        <v>519.0</v>
      </c>
      <c r="F522" s="45" t="str">
        <f t="array" ref="F522">INDEX(SkillBoxes!A521:D1097,MATCH(E522,SkillBoxes!A521:A1097,0),4)</f>
        <v>Wound Treatment III</v>
      </c>
      <c r="G522" s="44">
        <v>10.0</v>
      </c>
      <c r="H522" s="44" t="s">
        <v>160</v>
      </c>
      <c r="I522" s="44" t="s">
        <v>1498</v>
      </c>
      <c r="J522" s="44" t="s">
        <v>1491</v>
      </c>
      <c r="K522" s="44">
        <v>0.0</v>
      </c>
      <c r="L522" s="44" t="s">
        <v>1513</v>
      </c>
      <c r="M522" s="44">
        <v>2.0</v>
      </c>
      <c r="N522" s="44">
        <v>0.1</v>
      </c>
      <c r="O522" s="44" t="s">
        <v>125</v>
      </c>
      <c r="P522" s="45"/>
      <c r="Q522" s="45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</row>
    <row r="523">
      <c r="A523" s="41">
        <v>520.0</v>
      </c>
      <c r="B523" s="41" t="s">
        <v>2007</v>
      </c>
      <c r="C523" s="42">
        <f t="array" ref="C523">INDEX(SkillBoxes!A522:D1098,MATCH(E523,SkillBoxes!A522:A1098,0),2)</f>
        <v>28</v>
      </c>
      <c r="D523" s="42" t="str">
        <f t="array" ref="D523">INDEX(SkillBoxes!A522:D1098,MATCH(E523,SkillBoxes!A522:A1098,0),3)</f>
        <v>Grim Hierophant</v>
      </c>
      <c r="E523" s="42">
        <v>520.0</v>
      </c>
      <c r="F523" s="42" t="str">
        <f t="array" ref="F523">INDEX(SkillBoxes!A522:D1098,MATCH(E523,SkillBoxes!A522:A1098,0),4)</f>
        <v>Wound Treatment IV</v>
      </c>
      <c r="G523" s="41">
        <v>12.0</v>
      </c>
      <c r="H523" s="41" t="s">
        <v>160</v>
      </c>
      <c r="I523" s="41" t="s">
        <v>1498</v>
      </c>
      <c r="J523" s="41" t="s">
        <v>1491</v>
      </c>
      <c r="K523" s="41">
        <v>0.0</v>
      </c>
      <c r="L523" s="41" t="s">
        <v>1544</v>
      </c>
      <c r="M523" s="41">
        <v>1.0</v>
      </c>
      <c r="N523" s="41">
        <v>60.0</v>
      </c>
      <c r="O523" s="41" t="s">
        <v>141</v>
      </c>
      <c r="P523" s="42"/>
      <c r="Q523" s="42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</row>
    <row r="524">
      <c r="A524" s="44">
        <v>521.0</v>
      </c>
      <c r="B524" s="44" t="s">
        <v>2008</v>
      </c>
      <c r="C524" s="45">
        <f t="array" ref="C524">INDEX(SkillBoxes!A523:D1099,MATCH(E524,SkillBoxes!A523:A1099,0),2)</f>
        <v>28</v>
      </c>
      <c r="D524" s="45" t="str">
        <f t="array" ref="D524">INDEX(SkillBoxes!A523:D1099,MATCH(E524,SkillBoxes!A523:A1099,0),3)</f>
        <v>Grim Hierophant</v>
      </c>
      <c r="E524" s="45">
        <v>521.0</v>
      </c>
      <c r="F524" s="45" t="str">
        <f t="array" ref="F524">INDEX(SkillBoxes!A523:D1099,MATCH(E524,SkillBoxes!A523:A1099,0),4)</f>
        <v>Master Grim Hierophant</v>
      </c>
      <c r="G524" s="44">
        <v>20.0</v>
      </c>
      <c r="H524" s="44" t="s">
        <v>160</v>
      </c>
      <c r="I524" s="44" t="s">
        <v>1498</v>
      </c>
      <c r="J524" s="44" t="s">
        <v>1491</v>
      </c>
      <c r="K524" s="44">
        <v>0.0</v>
      </c>
      <c r="L524" s="44" t="s">
        <v>1544</v>
      </c>
      <c r="M524" s="44">
        <v>1.0</v>
      </c>
      <c r="N524" s="44">
        <v>100.0</v>
      </c>
      <c r="O524" s="44" t="s">
        <v>141</v>
      </c>
      <c r="P524" s="45"/>
      <c r="Q524" s="45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</row>
    <row r="525">
      <c r="A525" s="41">
        <v>522.0</v>
      </c>
      <c r="B525" s="41" t="s">
        <v>2009</v>
      </c>
      <c r="C525" s="42">
        <f t="array" ref="C525">INDEX(SkillBoxes!A524:D1100,MATCH(E525,SkillBoxes!A524:A1100,0),2)</f>
        <v>29</v>
      </c>
      <c r="D525" s="42" t="str">
        <f t="array" ref="D525">INDEX(SkillBoxes!A524:D1100,MATCH(E525,SkillBoxes!A524:A1100,0),3)</f>
        <v>Reliquary Archbishop</v>
      </c>
      <c r="E525" s="42">
        <v>522.0</v>
      </c>
      <c r="F525" s="42" t="str">
        <f t="array" ref="F525">INDEX(SkillBoxes!A524:D1100,MATCH(E525,SkillBoxes!A524:A1100,0),4)</f>
        <v>Novice Reliquary Archbishop</v>
      </c>
      <c r="G525" s="41">
        <v>8.0</v>
      </c>
      <c r="H525" s="41" t="s">
        <v>160</v>
      </c>
      <c r="I525" s="41" t="s">
        <v>1498</v>
      </c>
      <c r="J525" s="41" t="s">
        <v>1543</v>
      </c>
      <c r="K525" s="41">
        <v>0.0</v>
      </c>
      <c r="L525" s="41" t="s">
        <v>1544</v>
      </c>
      <c r="M525" s="41">
        <v>1.0</v>
      </c>
      <c r="N525" s="41">
        <v>30.0</v>
      </c>
      <c r="O525" s="41" t="s">
        <v>141</v>
      </c>
      <c r="P525" s="41" t="s">
        <v>41</v>
      </c>
      <c r="Q525" s="42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</row>
    <row r="526">
      <c r="A526" s="44">
        <v>523.0</v>
      </c>
      <c r="B526" s="44" t="s">
        <v>2010</v>
      </c>
      <c r="C526" s="45">
        <f t="array" ref="C526">INDEX(SkillBoxes!A525:D1101,MATCH(E526,SkillBoxes!A525:A1101,0),2)</f>
        <v>29</v>
      </c>
      <c r="D526" s="45" t="str">
        <f t="array" ref="D526">INDEX(SkillBoxes!A525:D1101,MATCH(E526,SkillBoxes!A525:A1101,0),3)</f>
        <v>Reliquary Archbishop</v>
      </c>
      <c r="E526" s="45">
        <v>523.0</v>
      </c>
      <c r="F526" s="45" t="str">
        <f t="array" ref="F526">INDEX(SkillBoxes!A525:D1101,MATCH(E526,SkillBoxes!A525:A1101,0),4)</f>
        <v>Holy Auras I</v>
      </c>
      <c r="G526" s="44">
        <v>7.0</v>
      </c>
      <c r="H526" s="44" t="s">
        <v>160</v>
      </c>
      <c r="I526" s="44" t="s">
        <v>1498</v>
      </c>
      <c r="J526" s="44" t="s">
        <v>1543</v>
      </c>
      <c r="K526" s="44">
        <v>0.0</v>
      </c>
      <c r="L526" s="44" t="s">
        <v>1513</v>
      </c>
      <c r="M526" s="44">
        <v>3.0</v>
      </c>
      <c r="N526" s="44">
        <v>0.15</v>
      </c>
      <c r="O526" s="44" t="s">
        <v>161</v>
      </c>
      <c r="P526" s="44" t="s">
        <v>41</v>
      </c>
      <c r="Q526" s="45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</row>
    <row r="527">
      <c r="A527" s="41">
        <v>524.0</v>
      </c>
      <c r="B527" s="41" t="s">
        <v>2011</v>
      </c>
      <c r="C527" s="42">
        <f t="array" ref="C527">INDEX(SkillBoxes!A526:D1102,MATCH(E527,SkillBoxes!A526:A1102,0),2)</f>
        <v>29</v>
      </c>
      <c r="D527" s="42" t="str">
        <f t="array" ref="D527">INDEX(SkillBoxes!A526:D1102,MATCH(E527,SkillBoxes!A526:A1102,0),3)</f>
        <v>Reliquary Archbishop</v>
      </c>
      <c r="E527" s="42">
        <v>524.0</v>
      </c>
      <c r="F527" s="42" t="str">
        <f t="array" ref="F527">INDEX(SkillBoxes!A526:D1102,MATCH(E527,SkillBoxes!A526:A1102,0),4)</f>
        <v>Holy Auras II</v>
      </c>
      <c r="G527" s="41">
        <v>9.0</v>
      </c>
      <c r="H527" s="41" t="s">
        <v>160</v>
      </c>
      <c r="I527" s="41" t="s">
        <v>1498</v>
      </c>
      <c r="J527" s="41" t="s">
        <v>1543</v>
      </c>
      <c r="K527" s="41">
        <v>0.0</v>
      </c>
      <c r="L527" s="41" t="s">
        <v>1513</v>
      </c>
      <c r="M527" s="41">
        <v>4.0</v>
      </c>
      <c r="N527" s="41">
        <v>0.2</v>
      </c>
      <c r="O527" s="41" t="s">
        <v>161</v>
      </c>
      <c r="P527" s="41" t="s">
        <v>41</v>
      </c>
      <c r="Q527" s="42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</row>
    <row r="528">
      <c r="A528" s="41">
        <v>525.0</v>
      </c>
      <c r="B528" s="44" t="s">
        <v>2012</v>
      </c>
      <c r="C528" s="45">
        <f t="array" ref="C528">INDEX(SkillBoxes!A527:D1103,MATCH(E528,SkillBoxes!A527:A1103,0),2)</f>
        <v>29</v>
      </c>
      <c r="D528" s="45" t="str">
        <f t="array" ref="D528">INDEX(SkillBoxes!A527:D1103,MATCH(E528,SkillBoxes!A527:A1103,0),3)</f>
        <v>Reliquary Archbishop</v>
      </c>
      <c r="E528" s="45">
        <v>525.0</v>
      </c>
      <c r="F528" s="45" t="str">
        <f t="array" ref="F528">INDEX(SkillBoxes!A527:D1103,MATCH(E528,SkillBoxes!A527:A1103,0),4)</f>
        <v>Holy Auras III</v>
      </c>
      <c r="G528" s="44">
        <v>11.0</v>
      </c>
      <c r="H528" s="44" t="s">
        <v>160</v>
      </c>
      <c r="I528" s="44" t="s">
        <v>1498</v>
      </c>
      <c r="J528" s="44" t="s">
        <v>1491</v>
      </c>
      <c r="K528" s="44">
        <v>0.0</v>
      </c>
      <c r="L528" s="44" t="s">
        <v>1513</v>
      </c>
      <c r="M528" s="44">
        <v>3.0</v>
      </c>
      <c r="N528" s="44">
        <v>0.2</v>
      </c>
      <c r="O528" s="44" t="s">
        <v>133</v>
      </c>
      <c r="P528" s="44" t="s">
        <v>41</v>
      </c>
      <c r="Q528" s="45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</row>
    <row r="529">
      <c r="A529" s="44">
        <v>526.0</v>
      </c>
      <c r="B529" s="41" t="s">
        <v>2013</v>
      </c>
      <c r="C529" s="42">
        <f t="array" ref="C529">INDEX(SkillBoxes!A528:D1104,MATCH(E529,SkillBoxes!A528:A1104,0),2)</f>
        <v>29</v>
      </c>
      <c r="D529" s="42" t="str">
        <f t="array" ref="D529">INDEX(SkillBoxes!A528:D1104,MATCH(E529,SkillBoxes!A528:A1104,0),3)</f>
        <v>Reliquary Archbishop</v>
      </c>
      <c r="E529" s="42">
        <v>526.0</v>
      </c>
      <c r="F529" s="42" t="str">
        <f t="array" ref="F529">INDEX(SkillBoxes!A528:D1104,MATCH(E529,SkillBoxes!A528:A1104,0),4)</f>
        <v>Holy Auras IV</v>
      </c>
      <c r="G529" s="41">
        <v>13.0</v>
      </c>
      <c r="H529" s="41" t="s">
        <v>160</v>
      </c>
      <c r="I529" s="41" t="s">
        <v>1498</v>
      </c>
      <c r="J529" s="41" t="s">
        <v>1491</v>
      </c>
      <c r="K529" s="41">
        <v>0.0</v>
      </c>
      <c r="L529" s="41" t="s">
        <v>1513</v>
      </c>
      <c r="M529" s="41">
        <v>4.0</v>
      </c>
      <c r="N529" s="41">
        <v>0.25</v>
      </c>
      <c r="O529" s="41" t="s">
        <v>161</v>
      </c>
      <c r="P529" s="41" t="s">
        <v>41</v>
      </c>
      <c r="Q529" s="42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</row>
    <row r="530">
      <c r="A530" s="41">
        <v>527.0</v>
      </c>
      <c r="B530" s="44" t="s">
        <v>1353</v>
      </c>
      <c r="C530" s="45">
        <f t="array" ref="C530">INDEX(SkillBoxes!A529:D1105,MATCH(E530,SkillBoxes!A529:A1105,0),2)</f>
        <v>29</v>
      </c>
      <c r="D530" s="45" t="str">
        <f t="array" ref="D530">INDEX(SkillBoxes!A529:D1105,MATCH(E530,SkillBoxes!A529:A1105,0),3)</f>
        <v>Reliquary Archbishop</v>
      </c>
      <c r="E530" s="45">
        <v>527.0</v>
      </c>
      <c r="F530" s="45" t="str">
        <f t="array" ref="F530">INDEX(SkillBoxes!A529:D1105,MATCH(E530,SkillBoxes!A529:A1105,0),4)</f>
        <v>Sanctuary I</v>
      </c>
      <c r="G530" s="44">
        <v>8.0</v>
      </c>
      <c r="H530" s="44" t="s">
        <v>160</v>
      </c>
      <c r="I530" s="44" t="s">
        <v>1498</v>
      </c>
      <c r="J530" s="44" t="s">
        <v>1491</v>
      </c>
      <c r="K530" s="44">
        <v>0.0</v>
      </c>
      <c r="L530" s="44" t="s">
        <v>1544</v>
      </c>
      <c r="M530" s="44">
        <v>1.0</v>
      </c>
      <c r="N530" s="44">
        <v>30.0</v>
      </c>
      <c r="O530" s="44" t="s">
        <v>141</v>
      </c>
      <c r="P530" s="44" t="s">
        <v>41</v>
      </c>
      <c r="Q530" s="45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</row>
    <row r="531">
      <c r="A531" s="44">
        <v>528.0</v>
      </c>
      <c r="B531" s="41" t="s">
        <v>1356</v>
      </c>
      <c r="C531" s="42">
        <f t="array" ref="C531">INDEX(SkillBoxes!A530:D1106,MATCH(E531,SkillBoxes!A530:A1106,0),2)</f>
        <v>29</v>
      </c>
      <c r="D531" s="42" t="str">
        <f t="array" ref="D531">INDEX(SkillBoxes!A530:D1106,MATCH(E531,SkillBoxes!A530:A1106,0),3)</f>
        <v>Reliquary Archbishop</v>
      </c>
      <c r="E531" s="42">
        <v>528.0</v>
      </c>
      <c r="F531" s="42" t="str">
        <f t="array" ref="F531">INDEX(SkillBoxes!A530:D1106,MATCH(E531,SkillBoxes!A530:A1106,0),4)</f>
        <v>Sanctuary II</v>
      </c>
      <c r="G531" s="41">
        <v>10.0</v>
      </c>
      <c r="H531" s="41" t="s">
        <v>160</v>
      </c>
      <c r="I531" s="41" t="s">
        <v>1498</v>
      </c>
      <c r="J531" s="41" t="s">
        <v>1491</v>
      </c>
      <c r="K531" s="41">
        <v>0.0</v>
      </c>
      <c r="L531" s="41" t="s">
        <v>1544</v>
      </c>
      <c r="M531" s="41">
        <v>1.0</v>
      </c>
      <c r="N531" s="41">
        <v>45.0</v>
      </c>
      <c r="O531" s="41" t="s">
        <v>141</v>
      </c>
      <c r="P531" s="41" t="s">
        <v>41</v>
      </c>
      <c r="Q531" s="42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</row>
    <row r="532">
      <c r="A532" s="41">
        <v>529.0</v>
      </c>
      <c r="B532" s="44" t="s">
        <v>2014</v>
      </c>
      <c r="C532" s="45">
        <f t="array" ref="C532">INDEX(SkillBoxes!A531:D1107,MATCH(E532,SkillBoxes!A531:A1107,0),2)</f>
        <v>29</v>
      </c>
      <c r="D532" s="45" t="str">
        <f t="array" ref="D532">INDEX(SkillBoxes!A531:D1107,MATCH(E532,SkillBoxes!A531:A1107,0),3)</f>
        <v>Reliquary Archbishop</v>
      </c>
      <c r="E532" s="45">
        <v>529.0</v>
      </c>
      <c r="F532" s="45" t="str">
        <f t="array" ref="F532">INDEX(SkillBoxes!A531:D1107,MATCH(E532,SkillBoxes!A531:A1107,0),4)</f>
        <v>Sanctuary III</v>
      </c>
      <c r="G532" s="44">
        <v>12.0</v>
      </c>
      <c r="H532" s="44" t="s">
        <v>160</v>
      </c>
      <c r="I532" s="44" t="s">
        <v>1498</v>
      </c>
      <c r="J532" s="44" t="s">
        <v>1491</v>
      </c>
      <c r="K532" s="44">
        <v>0.0</v>
      </c>
      <c r="L532" s="44" t="s">
        <v>1513</v>
      </c>
      <c r="M532" s="44">
        <v>2.0</v>
      </c>
      <c r="N532" s="44">
        <v>0.1</v>
      </c>
      <c r="O532" s="44" t="s">
        <v>161</v>
      </c>
      <c r="P532" s="44" t="s">
        <v>41</v>
      </c>
      <c r="Q532" s="45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</row>
    <row r="533">
      <c r="A533" s="44">
        <v>530.0</v>
      </c>
      <c r="B533" s="41" t="s">
        <v>2015</v>
      </c>
      <c r="C533" s="42">
        <f t="array" ref="C533">INDEX(SkillBoxes!A532:D1108,MATCH(E533,SkillBoxes!A532:A1108,0),2)</f>
        <v>29</v>
      </c>
      <c r="D533" s="42" t="str">
        <f t="array" ref="D533">INDEX(SkillBoxes!A532:D1108,MATCH(E533,SkillBoxes!A532:A1108,0),3)</f>
        <v>Reliquary Archbishop</v>
      </c>
      <c r="E533" s="42">
        <v>530.0</v>
      </c>
      <c r="F533" s="42" t="str">
        <f t="array" ref="F533">INDEX(SkillBoxes!A532:D1108,MATCH(E533,SkillBoxes!A532:A1108,0),4)</f>
        <v>Sanctuary IV</v>
      </c>
      <c r="G533" s="41">
        <v>14.0</v>
      </c>
      <c r="H533" s="41" t="s">
        <v>160</v>
      </c>
      <c r="I533" s="41" t="s">
        <v>1498</v>
      </c>
      <c r="J533" s="41" t="s">
        <v>1491</v>
      </c>
      <c r="K533" s="41">
        <v>0.0</v>
      </c>
      <c r="L533" s="41" t="s">
        <v>1544</v>
      </c>
      <c r="M533" s="41">
        <v>1.0</v>
      </c>
      <c r="N533" s="41">
        <v>60.0</v>
      </c>
      <c r="O533" s="41" t="s">
        <v>141</v>
      </c>
      <c r="P533" s="41" t="s">
        <v>41</v>
      </c>
      <c r="Q533" s="42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</row>
    <row r="534">
      <c r="A534" s="41">
        <v>531.0</v>
      </c>
      <c r="B534" s="44" t="s">
        <v>2016</v>
      </c>
      <c r="C534" s="45">
        <f t="array" ref="C534">INDEX(SkillBoxes!A533:D1109,MATCH(E534,SkillBoxes!A533:A1109,0),2)</f>
        <v>29</v>
      </c>
      <c r="D534" s="45" t="str">
        <f t="array" ref="D534">INDEX(SkillBoxes!A533:D1109,MATCH(E534,SkillBoxes!A533:A1109,0),3)</f>
        <v>Reliquary Archbishop</v>
      </c>
      <c r="E534" s="45">
        <v>531.0</v>
      </c>
      <c r="F534" s="45" t="str">
        <f t="array" ref="F534">INDEX(SkillBoxes!A533:D1109,MATCH(E534,SkillBoxes!A533:A1109,0),4)</f>
        <v>Benevolence I</v>
      </c>
      <c r="G534" s="44">
        <v>7.0</v>
      </c>
      <c r="H534" s="44" t="s">
        <v>160</v>
      </c>
      <c r="I534" s="44" t="s">
        <v>1498</v>
      </c>
      <c r="J534" s="44" t="s">
        <v>1543</v>
      </c>
      <c r="K534" s="44">
        <v>0.0</v>
      </c>
      <c r="L534" s="44" t="s">
        <v>1513</v>
      </c>
      <c r="M534" s="44">
        <v>3.0</v>
      </c>
      <c r="N534" s="44">
        <v>0.15</v>
      </c>
      <c r="O534" s="44" t="s">
        <v>129</v>
      </c>
      <c r="P534" s="44" t="s">
        <v>41</v>
      </c>
      <c r="Q534" s="45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</row>
    <row r="535">
      <c r="A535" s="41">
        <v>532.0</v>
      </c>
      <c r="B535" s="41" t="s">
        <v>2017</v>
      </c>
      <c r="C535" s="42">
        <f t="array" ref="C535">INDEX(SkillBoxes!A534:D1110,MATCH(E535,SkillBoxes!A534:A1110,0),2)</f>
        <v>29</v>
      </c>
      <c r="D535" s="42" t="str">
        <f t="array" ref="D535">INDEX(SkillBoxes!A534:D1110,MATCH(E535,SkillBoxes!A534:A1110,0),3)</f>
        <v>Reliquary Archbishop</v>
      </c>
      <c r="E535" s="42">
        <v>532.0</v>
      </c>
      <c r="F535" s="42" t="str">
        <f t="array" ref="F535">INDEX(SkillBoxes!A534:D1110,MATCH(E535,SkillBoxes!A534:A1110,0),4)</f>
        <v>Benevolence II</v>
      </c>
      <c r="G535" s="41">
        <v>9.0</v>
      </c>
      <c r="H535" s="41" t="s">
        <v>160</v>
      </c>
      <c r="I535" s="41" t="s">
        <v>1498</v>
      </c>
      <c r="J535" s="41" t="s">
        <v>1543</v>
      </c>
      <c r="K535" s="41">
        <v>0.0</v>
      </c>
      <c r="L535" s="41" t="s">
        <v>1513</v>
      </c>
      <c r="M535" s="41">
        <v>4.0</v>
      </c>
      <c r="N535" s="41">
        <v>0.2</v>
      </c>
      <c r="O535" s="41" t="s">
        <v>129</v>
      </c>
      <c r="P535" s="41" t="s">
        <v>41</v>
      </c>
      <c r="Q535" s="42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</row>
    <row r="536">
      <c r="A536" s="44">
        <v>533.0</v>
      </c>
      <c r="B536" s="44" t="s">
        <v>2018</v>
      </c>
      <c r="C536" s="45">
        <f t="array" ref="C536">INDEX(SkillBoxes!A535:D1111,MATCH(E536,SkillBoxes!A535:A1111,0),2)</f>
        <v>29</v>
      </c>
      <c r="D536" s="45" t="str">
        <f t="array" ref="D536">INDEX(SkillBoxes!A535:D1111,MATCH(E536,SkillBoxes!A535:A1111,0),3)</f>
        <v>Reliquary Archbishop</v>
      </c>
      <c r="E536" s="45">
        <v>533.0</v>
      </c>
      <c r="F536" s="45" t="str">
        <f t="array" ref="F536">INDEX(SkillBoxes!A535:D1111,MATCH(E536,SkillBoxes!A535:A1111,0),4)</f>
        <v>Benevolence III</v>
      </c>
      <c r="G536" s="44">
        <v>11.0</v>
      </c>
      <c r="H536" s="44" t="s">
        <v>160</v>
      </c>
      <c r="I536" s="44" t="s">
        <v>1498</v>
      </c>
      <c r="J536" s="44" t="s">
        <v>1491</v>
      </c>
      <c r="K536" s="44">
        <v>0.0</v>
      </c>
      <c r="L536" s="44" t="s">
        <v>1513</v>
      </c>
      <c r="M536" s="44">
        <v>3.0</v>
      </c>
      <c r="N536" s="44">
        <v>0.15</v>
      </c>
      <c r="O536" s="44" t="s">
        <v>133</v>
      </c>
      <c r="P536" s="44" t="s">
        <v>41</v>
      </c>
      <c r="Q536" s="45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</row>
    <row r="537">
      <c r="A537" s="41">
        <v>534.0</v>
      </c>
      <c r="B537" s="41" t="s">
        <v>2019</v>
      </c>
      <c r="C537" s="42">
        <f t="array" ref="C537">INDEX(SkillBoxes!A536:D1112,MATCH(E537,SkillBoxes!A536:A1112,0),2)</f>
        <v>29</v>
      </c>
      <c r="D537" s="42" t="str">
        <f t="array" ref="D537">INDEX(SkillBoxes!A536:D1112,MATCH(E537,SkillBoxes!A536:A1112,0),3)</f>
        <v>Reliquary Archbishop</v>
      </c>
      <c r="E537" s="42">
        <v>534.0</v>
      </c>
      <c r="F537" s="42" t="str">
        <f t="array" ref="F537">INDEX(SkillBoxes!A536:D1112,MATCH(E537,SkillBoxes!A536:A1112,0),4)</f>
        <v>Benevolence IV</v>
      </c>
      <c r="G537" s="41">
        <v>13.0</v>
      </c>
      <c r="H537" s="41" t="s">
        <v>160</v>
      </c>
      <c r="I537" s="41" t="s">
        <v>1498</v>
      </c>
      <c r="J537" s="41" t="s">
        <v>1491</v>
      </c>
      <c r="K537" s="41">
        <v>0.0</v>
      </c>
      <c r="L537" s="41" t="s">
        <v>1513</v>
      </c>
      <c r="M537" s="41">
        <v>4.0</v>
      </c>
      <c r="N537" s="41">
        <v>0.2</v>
      </c>
      <c r="O537" s="41" t="s">
        <v>129</v>
      </c>
      <c r="P537" s="41" t="s">
        <v>41</v>
      </c>
      <c r="Q537" s="42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</row>
    <row r="538">
      <c r="A538" s="44">
        <v>535.0</v>
      </c>
      <c r="B538" s="44" t="s">
        <v>2020</v>
      </c>
      <c r="C538" s="45">
        <f t="array" ref="C538">INDEX(SkillBoxes!A537:D1113,MATCH(E538,SkillBoxes!A537:A1113,0),2)</f>
        <v>29</v>
      </c>
      <c r="D538" s="45" t="str">
        <f t="array" ref="D538">INDEX(SkillBoxes!A537:D1113,MATCH(E538,SkillBoxes!A537:A1113,0),3)</f>
        <v>Reliquary Archbishop</v>
      </c>
      <c r="E538" s="45">
        <v>535.0</v>
      </c>
      <c r="F538" s="45" t="str">
        <f t="array" ref="F538">INDEX(SkillBoxes!A537:D1113,MATCH(E538,SkillBoxes!A537:A1113,0),4)</f>
        <v>Sincerity I</v>
      </c>
      <c r="G538" s="44">
        <v>6.0</v>
      </c>
      <c r="H538" s="44" t="s">
        <v>1557</v>
      </c>
      <c r="I538" s="44" t="s">
        <v>1498</v>
      </c>
      <c r="J538" s="44" t="s">
        <v>1543</v>
      </c>
      <c r="K538" s="44">
        <v>0.0</v>
      </c>
      <c r="L538" s="44" t="s">
        <v>1513</v>
      </c>
      <c r="M538" s="44">
        <v>2.0</v>
      </c>
      <c r="N538" s="44">
        <v>0.1</v>
      </c>
      <c r="O538" s="44" t="s">
        <v>160</v>
      </c>
      <c r="P538" s="45"/>
      <c r="Q538" s="45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</row>
    <row r="539">
      <c r="A539" s="41">
        <v>536.0</v>
      </c>
      <c r="B539" s="41" t="s">
        <v>2021</v>
      </c>
      <c r="C539" s="42">
        <f t="array" ref="C539">INDEX(SkillBoxes!A538:D1114,MATCH(E539,SkillBoxes!A538:A1114,0),2)</f>
        <v>29</v>
      </c>
      <c r="D539" s="42" t="str">
        <f t="array" ref="D539">INDEX(SkillBoxes!A538:D1114,MATCH(E539,SkillBoxes!A538:A1114,0),3)</f>
        <v>Reliquary Archbishop</v>
      </c>
      <c r="E539" s="42">
        <v>536.0</v>
      </c>
      <c r="F539" s="42" t="str">
        <f t="array" ref="F539">INDEX(SkillBoxes!A538:D1114,MATCH(E539,SkillBoxes!A538:A1114,0),4)</f>
        <v>Sincerity II</v>
      </c>
      <c r="G539" s="41">
        <v>8.0</v>
      </c>
      <c r="H539" s="41" t="s">
        <v>1557</v>
      </c>
      <c r="I539" s="41" t="s">
        <v>1498</v>
      </c>
      <c r="J539" s="41" t="s">
        <v>1543</v>
      </c>
      <c r="K539" s="41">
        <v>0.0</v>
      </c>
      <c r="L539" s="41" t="s">
        <v>1513</v>
      </c>
      <c r="M539" s="41">
        <v>3.0</v>
      </c>
      <c r="N539" s="41">
        <v>0.15</v>
      </c>
      <c r="O539" s="41" t="s">
        <v>160</v>
      </c>
      <c r="P539" s="42"/>
      <c r="Q539" s="42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</row>
    <row r="540">
      <c r="A540" s="44">
        <v>537.0</v>
      </c>
      <c r="B540" s="44" t="s">
        <v>2022</v>
      </c>
      <c r="C540" s="45">
        <f t="array" ref="C540">INDEX(SkillBoxes!A539:D1115,MATCH(E540,SkillBoxes!A539:A1115,0),2)</f>
        <v>29</v>
      </c>
      <c r="D540" s="45" t="str">
        <f t="array" ref="D540">INDEX(SkillBoxes!A539:D1115,MATCH(E540,SkillBoxes!A539:A1115,0),3)</f>
        <v>Reliquary Archbishop</v>
      </c>
      <c r="E540" s="45">
        <v>537.0</v>
      </c>
      <c r="F540" s="45" t="str">
        <f t="array" ref="F540">INDEX(SkillBoxes!A539:D1115,MATCH(E540,SkillBoxes!A539:A1115,0),4)</f>
        <v>Sincerity III</v>
      </c>
      <c r="G540" s="44">
        <v>10.0</v>
      </c>
      <c r="H540" s="44" t="s">
        <v>160</v>
      </c>
      <c r="I540" s="44" t="s">
        <v>1498</v>
      </c>
      <c r="J540" s="44" t="s">
        <v>1491</v>
      </c>
      <c r="K540" s="44">
        <v>0.0</v>
      </c>
      <c r="L540" s="44" t="s">
        <v>1513</v>
      </c>
      <c r="M540" s="44">
        <v>2.0</v>
      </c>
      <c r="N540" s="44">
        <v>0.1</v>
      </c>
      <c r="O540" s="44" t="s">
        <v>160</v>
      </c>
      <c r="P540" s="45"/>
      <c r="Q540" s="45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</row>
    <row r="541">
      <c r="A541" s="41">
        <v>538.0</v>
      </c>
      <c r="B541" s="41" t="s">
        <v>2023</v>
      </c>
      <c r="C541" s="42">
        <f t="array" ref="C541">INDEX(SkillBoxes!A540:D1116,MATCH(E541,SkillBoxes!A540:A1116,0),2)</f>
        <v>29</v>
      </c>
      <c r="D541" s="42" t="str">
        <f t="array" ref="D541">INDEX(SkillBoxes!A540:D1116,MATCH(E541,SkillBoxes!A540:A1116,0),3)</f>
        <v>Reliquary Archbishop</v>
      </c>
      <c r="E541" s="42">
        <v>538.0</v>
      </c>
      <c r="F541" s="42" t="str">
        <f t="array" ref="F541">INDEX(SkillBoxes!A540:D1116,MATCH(E541,SkillBoxes!A540:A1116,0),4)</f>
        <v>Sincerity IV</v>
      </c>
      <c r="G541" s="41">
        <v>12.0</v>
      </c>
      <c r="H541" s="41" t="s">
        <v>160</v>
      </c>
      <c r="I541" s="41" t="s">
        <v>1498</v>
      </c>
      <c r="J541" s="41" t="s">
        <v>1491</v>
      </c>
      <c r="K541" s="41">
        <v>0.0</v>
      </c>
      <c r="L541" s="41" t="s">
        <v>1513</v>
      </c>
      <c r="M541" s="41">
        <v>3.0</v>
      </c>
      <c r="N541" s="41">
        <v>0.2</v>
      </c>
      <c r="O541" s="41" t="s">
        <v>161</v>
      </c>
      <c r="P541" s="41" t="s">
        <v>41</v>
      </c>
      <c r="Q541" s="42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</row>
    <row r="542">
      <c r="A542" s="41">
        <v>539.0</v>
      </c>
      <c r="B542" s="44" t="s">
        <v>2024</v>
      </c>
      <c r="C542" s="45">
        <f t="array" ref="C542">INDEX(SkillBoxes!A541:D1117,MATCH(E542,SkillBoxes!A541:A1117,0),2)</f>
        <v>29</v>
      </c>
      <c r="D542" s="45" t="str">
        <f t="array" ref="D542">INDEX(SkillBoxes!A541:D1117,MATCH(E542,SkillBoxes!A541:A1117,0),3)</f>
        <v>Reliquary Archbishop</v>
      </c>
      <c r="E542" s="45">
        <v>539.0</v>
      </c>
      <c r="F542" s="45" t="str">
        <f t="array" ref="F542">INDEX(SkillBoxes!A541:D1117,MATCH(E542,SkillBoxes!A541:A1117,0),4)</f>
        <v>Master Reliquary Archbishop</v>
      </c>
      <c r="G542" s="44">
        <v>20.0</v>
      </c>
      <c r="H542" s="44" t="s">
        <v>160</v>
      </c>
      <c r="I542" s="44" t="s">
        <v>1498</v>
      </c>
      <c r="J542" s="44" t="s">
        <v>1491</v>
      </c>
      <c r="K542" s="44">
        <v>0.5</v>
      </c>
      <c r="L542" s="44" t="s">
        <v>1544</v>
      </c>
      <c r="M542" s="44">
        <v>1.0</v>
      </c>
      <c r="N542" s="44">
        <v>100.0</v>
      </c>
      <c r="O542" s="44" t="s">
        <v>141</v>
      </c>
      <c r="P542" s="44" t="s">
        <v>41</v>
      </c>
      <c r="Q542" s="45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</row>
    <row r="543">
      <c r="A543" s="44">
        <v>540.0</v>
      </c>
      <c r="B543" s="41" t="s">
        <v>2025</v>
      </c>
      <c r="C543" s="42">
        <f t="array" ref="C543">INDEX(SkillBoxes!A542:D1118,MATCH(E543,SkillBoxes!A542:A1118,0),2)</f>
        <v>30</v>
      </c>
      <c r="D543" s="42" t="str">
        <f t="array" ref="D543">INDEX(SkillBoxes!A542:D1118,MATCH(E543,SkillBoxes!A542:A1118,0),3)</f>
        <v>Arts Master</v>
      </c>
      <c r="E543" s="42">
        <v>540.0</v>
      </c>
      <c r="F543" s="42" t="str">
        <f t="array" ref="F543">INDEX(SkillBoxes!A542:D1118,MATCH(E543,SkillBoxes!A542:A1118,0),4)</f>
        <v>Novice Arts Master</v>
      </c>
      <c r="G543" s="41">
        <v>8.0</v>
      </c>
      <c r="H543" s="41" t="s">
        <v>125</v>
      </c>
      <c r="I543" s="41" t="s">
        <v>1479</v>
      </c>
      <c r="J543" s="41" t="s">
        <v>1480</v>
      </c>
      <c r="K543" s="41">
        <v>1.1</v>
      </c>
      <c r="L543" s="42"/>
      <c r="M543" s="42"/>
      <c r="N543" s="42"/>
      <c r="O543" s="42"/>
      <c r="P543" s="42"/>
      <c r="Q543" s="42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</row>
    <row r="544">
      <c r="A544" s="41">
        <v>541.0</v>
      </c>
      <c r="B544" s="44" t="s">
        <v>2026</v>
      </c>
      <c r="C544" s="45">
        <f t="array" ref="C544">INDEX(SkillBoxes!A543:D1119,MATCH(E544,SkillBoxes!A543:A1119,0),2)</f>
        <v>30</v>
      </c>
      <c r="D544" s="45" t="str">
        <f t="array" ref="D544">INDEX(SkillBoxes!A543:D1119,MATCH(E544,SkillBoxes!A543:A1119,0),3)</f>
        <v>Arts Master</v>
      </c>
      <c r="E544" s="45">
        <v>541.0</v>
      </c>
      <c r="F544" s="45" t="str">
        <f t="array" ref="F544">INDEX(SkillBoxes!A543:D1119,MATCH(E544,SkillBoxes!A543:A1119,0),4)</f>
        <v>Mystic Arts I</v>
      </c>
      <c r="G544" s="44">
        <v>8.0</v>
      </c>
      <c r="H544" s="44" t="s">
        <v>160</v>
      </c>
      <c r="I544" s="44" t="s">
        <v>1498</v>
      </c>
      <c r="J544" s="44" t="s">
        <v>1480</v>
      </c>
      <c r="K544" s="44">
        <v>1.2</v>
      </c>
      <c r="L544" s="45"/>
      <c r="M544" s="45"/>
      <c r="N544" s="45"/>
      <c r="O544" s="45"/>
      <c r="P544" s="45"/>
      <c r="Q544" s="45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</row>
    <row r="545">
      <c r="A545" s="44">
        <v>542.0</v>
      </c>
      <c r="B545" s="41" t="s">
        <v>2027</v>
      </c>
      <c r="C545" s="42">
        <f t="array" ref="C545">INDEX(SkillBoxes!A544:D1120,MATCH(E545,SkillBoxes!A544:A1120,0),2)</f>
        <v>30</v>
      </c>
      <c r="D545" s="42" t="str">
        <f t="array" ref="D545">INDEX(SkillBoxes!A544:D1120,MATCH(E545,SkillBoxes!A544:A1120,0),3)</f>
        <v>Arts Master</v>
      </c>
      <c r="E545" s="42">
        <v>542.0</v>
      </c>
      <c r="F545" s="42" t="str">
        <f t="array" ref="F545">INDEX(SkillBoxes!A544:D1120,MATCH(E545,SkillBoxes!A544:A1120,0),4)</f>
        <v>Mystic Arts II</v>
      </c>
      <c r="G545" s="41">
        <v>10.0</v>
      </c>
      <c r="H545" s="41" t="s">
        <v>160</v>
      </c>
      <c r="I545" s="41" t="s">
        <v>1498</v>
      </c>
      <c r="J545" s="41" t="s">
        <v>1480</v>
      </c>
      <c r="K545" s="41">
        <v>1.3</v>
      </c>
      <c r="L545" s="42"/>
      <c r="M545" s="42"/>
      <c r="N545" s="42"/>
      <c r="O545" s="42"/>
      <c r="P545" s="42"/>
      <c r="Q545" s="42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</row>
    <row r="546">
      <c r="A546" s="41">
        <v>543.0</v>
      </c>
      <c r="B546" s="44" t="s">
        <v>2028</v>
      </c>
      <c r="C546" s="45">
        <f t="array" ref="C546">INDEX(SkillBoxes!A545:D1121,MATCH(E546,SkillBoxes!A545:A1121,0),2)</f>
        <v>30</v>
      </c>
      <c r="D546" s="45" t="str">
        <f t="array" ref="D546">INDEX(SkillBoxes!A545:D1121,MATCH(E546,SkillBoxes!A545:A1121,0),3)</f>
        <v>Arts Master</v>
      </c>
      <c r="E546" s="45">
        <v>543.0</v>
      </c>
      <c r="F546" s="45" t="str">
        <f t="array" ref="F546">INDEX(SkillBoxes!A545:D1121,MATCH(E546,SkillBoxes!A545:A1121,0),4)</f>
        <v>Mystic Arts III</v>
      </c>
      <c r="G546" s="44">
        <v>12.0</v>
      </c>
      <c r="H546" s="44" t="s">
        <v>160</v>
      </c>
      <c r="I546" s="44" t="s">
        <v>1498</v>
      </c>
      <c r="J546" s="44" t="s">
        <v>1480</v>
      </c>
      <c r="K546" s="44">
        <v>1.5</v>
      </c>
      <c r="L546" s="44" t="s">
        <v>1489</v>
      </c>
      <c r="M546" s="44">
        <v>1.0</v>
      </c>
      <c r="N546" s="45"/>
      <c r="O546" s="45"/>
      <c r="P546" s="45"/>
      <c r="Q546" s="45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</row>
    <row r="547">
      <c r="A547" s="44">
        <v>544.0</v>
      </c>
      <c r="B547" s="41" t="s">
        <v>2029</v>
      </c>
      <c r="C547" s="42">
        <f t="array" ref="C547">INDEX(SkillBoxes!A546:D1122,MATCH(E547,SkillBoxes!A546:A1122,0),2)</f>
        <v>30</v>
      </c>
      <c r="D547" s="42" t="str">
        <f t="array" ref="D547">INDEX(SkillBoxes!A546:D1122,MATCH(E547,SkillBoxes!A546:A1122,0),3)</f>
        <v>Arts Master</v>
      </c>
      <c r="E547" s="42">
        <v>544.0</v>
      </c>
      <c r="F547" s="42" t="str">
        <f t="array" ref="F547">INDEX(SkillBoxes!A546:D1122,MATCH(E547,SkillBoxes!A546:A1122,0),4)</f>
        <v>Mystic Arts IV</v>
      </c>
      <c r="G547" s="41">
        <v>14.0</v>
      </c>
      <c r="H547" s="41" t="s">
        <v>159</v>
      </c>
      <c r="I547" s="41" t="s">
        <v>1498</v>
      </c>
      <c r="J547" s="41" t="s">
        <v>1491</v>
      </c>
      <c r="K547" s="41">
        <v>0.9</v>
      </c>
      <c r="L547" s="41" t="s">
        <v>1489</v>
      </c>
      <c r="M547" s="41">
        <v>2.0</v>
      </c>
      <c r="N547" s="42"/>
      <c r="O547" s="42"/>
      <c r="P547" s="42"/>
      <c r="Q547" s="42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</row>
    <row r="548">
      <c r="A548" s="41">
        <v>545.0</v>
      </c>
      <c r="B548" s="44" t="s">
        <v>2030</v>
      </c>
      <c r="C548" s="45">
        <f t="array" ref="C548">INDEX(SkillBoxes!A547:D1123,MATCH(E548,SkillBoxes!A547:A1123,0),2)</f>
        <v>30</v>
      </c>
      <c r="D548" s="45" t="str">
        <f t="array" ref="D548">INDEX(SkillBoxes!A547:D1123,MATCH(E548,SkillBoxes!A547:A1123,0),3)</f>
        <v>Arts Master</v>
      </c>
      <c r="E548" s="45">
        <v>545.0</v>
      </c>
      <c r="F548" s="45" t="str">
        <f t="array" ref="F548">INDEX(SkillBoxes!A547:D1123,MATCH(E548,SkillBoxes!A547:A1123,0),4)</f>
        <v>Arts Casting I</v>
      </c>
      <c r="G548" s="44">
        <v>8.0</v>
      </c>
      <c r="H548" s="44" t="s">
        <v>160</v>
      </c>
      <c r="I548" s="44" t="s">
        <v>1498</v>
      </c>
      <c r="J548" s="44" t="s">
        <v>1480</v>
      </c>
      <c r="K548" s="44">
        <v>1.2</v>
      </c>
      <c r="L548" s="45"/>
      <c r="M548" s="45"/>
      <c r="N548" s="45"/>
      <c r="O548" s="45"/>
      <c r="P548" s="45"/>
      <c r="Q548" s="45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</row>
    <row r="549">
      <c r="A549" s="41">
        <v>546.0</v>
      </c>
      <c r="B549" s="41" t="s">
        <v>2031</v>
      </c>
      <c r="C549" s="42">
        <f t="array" ref="C549">INDEX(SkillBoxes!A548:D1124,MATCH(E549,SkillBoxes!A548:A1124,0),2)</f>
        <v>30</v>
      </c>
      <c r="D549" s="42" t="str">
        <f t="array" ref="D549">INDEX(SkillBoxes!A548:D1124,MATCH(E549,SkillBoxes!A548:A1124,0),3)</f>
        <v>Arts Master</v>
      </c>
      <c r="E549" s="42">
        <v>546.0</v>
      </c>
      <c r="F549" s="42" t="str">
        <f t="array" ref="F549">INDEX(SkillBoxes!A548:D1124,MATCH(E549,SkillBoxes!A548:A1124,0),4)</f>
        <v>Arts Casting II</v>
      </c>
      <c r="G549" s="41">
        <v>10.0</v>
      </c>
      <c r="H549" s="41" t="s">
        <v>160</v>
      </c>
      <c r="I549" s="41" t="s">
        <v>1498</v>
      </c>
      <c r="J549" s="41" t="s">
        <v>1480</v>
      </c>
      <c r="K549" s="41">
        <v>1.3</v>
      </c>
      <c r="L549" s="42"/>
      <c r="M549" s="42"/>
      <c r="N549" s="42"/>
      <c r="O549" s="42"/>
      <c r="P549" s="42"/>
      <c r="Q549" s="42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</row>
    <row r="550">
      <c r="A550" s="44">
        <v>547.0</v>
      </c>
      <c r="B550" s="44" t="s">
        <v>2032</v>
      </c>
      <c r="C550" s="45">
        <f t="array" ref="C550">INDEX(SkillBoxes!A549:D1125,MATCH(E550,SkillBoxes!A549:A1125,0),2)</f>
        <v>30</v>
      </c>
      <c r="D550" s="45" t="str">
        <f t="array" ref="D550">INDEX(SkillBoxes!A549:D1125,MATCH(E550,SkillBoxes!A549:A1125,0),3)</f>
        <v>Arts Master</v>
      </c>
      <c r="E550" s="45">
        <v>547.0</v>
      </c>
      <c r="F550" s="45" t="str">
        <f t="array" ref="F550">INDEX(SkillBoxes!A549:D1125,MATCH(E550,SkillBoxes!A549:A1125,0),4)</f>
        <v>Arts Casting III</v>
      </c>
      <c r="G550" s="44">
        <v>12.0</v>
      </c>
      <c r="H550" s="44" t="s">
        <v>160</v>
      </c>
      <c r="I550" s="44" t="s">
        <v>1498</v>
      </c>
      <c r="J550" s="44" t="s">
        <v>1491</v>
      </c>
      <c r="K550" s="44">
        <v>0.9</v>
      </c>
      <c r="L550" s="44" t="s">
        <v>410</v>
      </c>
      <c r="M550" s="44">
        <v>2.0</v>
      </c>
      <c r="N550" s="44">
        <v>0.1</v>
      </c>
      <c r="O550" s="44" t="s">
        <v>161</v>
      </c>
      <c r="P550" s="45"/>
      <c r="Q550" s="45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</row>
    <row r="551">
      <c r="A551" s="41">
        <v>548.0</v>
      </c>
      <c r="B551" s="41" t="s">
        <v>2033</v>
      </c>
      <c r="C551" s="42">
        <f t="array" ref="C551">INDEX(SkillBoxes!A550:D1126,MATCH(E551,SkillBoxes!A550:A1126,0),2)</f>
        <v>30</v>
      </c>
      <c r="D551" s="42" t="str">
        <f t="array" ref="D551">INDEX(SkillBoxes!A550:D1126,MATCH(E551,SkillBoxes!A550:A1126,0),3)</f>
        <v>Arts Master</v>
      </c>
      <c r="E551" s="42">
        <v>548.0</v>
      </c>
      <c r="F551" s="42" t="str">
        <f t="array" ref="F551">INDEX(SkillBoxes!A550:D1126,MATCH(E551,SkillBoxes!A550:A1126,0),4)</f>
        <v>Arts Casting IV</v>
      </c>
      <c r="G551" s="41">
        <v>14.0</v>
      </c>
      <c r="H551" s="41" t="s">
        <v>159</v>
      </c>
      <c r="I551" s="41" t="s">
        <v>1498</v>
      </c>
      <c r="J551" s="41" t="s">
        <v>1491</v>
      </c>
      <c r="K551" s="41">
        <v>1.0</v>
      </c>
      <c r="L551" s="41" t="s">
        <v>410</v>
      </c>
      <c r="M551" s="41">
        <v>3.0</v>
      </c>
      <c r="N551" s="41">
        <v>0.15</v>
      </c>
      <c r="O551" s="41" t="s">
        <v>161</v>
      </c>
      <c r="P551" s="42"/>
      <c r="Q551" s="42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</row>
    <row r="552">
      <c r="A552" s="44">
        <v>549.0</v>
      </c>
      <c r="B552" s="44" t="s">
        <v>2034</v>
      </c>
      <c r="C552" s="45">
        <f t="array" ref="C552">INDEX(SkillBoxes!A551:D1127,MATCH(E552,SkillBoxes!A551:A1127,0),2)</f>
        <v>30</v>
      </c>
      <c r="D552" s="45" t="str">
        <f t="array" ref="D552">INDEX(SkillBoxes!A551:D1127,MATCH(E552,SkillBoxes!A551:A1127,0),3)</f>
        <v>Arts Master</v>
      </c>
      <c r="E552" s="45">
        <v>549.0</v>
      </c>
      <c r="F552" s="45" t="str">
        <f t="array" ref="F552">INDEX(SkillBoxes!A551:D1127,MATCH(E552,SkillBoxes!A551:A1127,0),4)</f>
        <v>Controlling Crack I</v>
      </c>
      <c r="G552" s="44">
        <v>8.0</v>
      </c>
      <c r="H552" s="44" t="s">
        <v>125</v>
      </c>
      <c r="I552" s="44" t="s">
        <v>1479</v>
      </c>
      <c r="J552" s="44" t="s">
        <v>1480</v>
      </c>
      <c r="K552" s="44">
        <v>1.1</v>
      </c>
      <c r="L552" s="44" t="s">
        <v>1489</v>
      </c>
      <c r="M552" s="44">
        <v>1.0</v>
      </c>
      <c r="N552" s="45"/>
      <c r="O552" s="45"/>
      <c r="P552" s="45"/>
      <c r="Q552" s="45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</row>
    <row r="553">
      <c r="A553" s="41">
        <v>550.0</v>
      </c>
      <c r="B553" s="41" t="s">
        <v>2035</v>
      </c>
      <c r="C553" s="42">
        <f t="array" ref="C553">INDEX(SkillBoxes!A552:D1128,MATCH(E553,SkillBoxes!A552:A1128,0),2)</f>
        <v>30</v>
      </c>
      <c r="D553" s="42" t="str">
        <f t="array" ref="D553">INDEX(SkillBoxes!A552:D1128,MATCH(E553,SkillBoxes!A552:A1128,0),3)</f>
        <v>Arts Master</v>
      </c>
      <c r="E553" s="42">
        <v>550.0</v>
      </c>
      <c r="F553" s="42" t="str">
        <f t="array" ref="F553">INDEX(SkillBoxes!A552:D1128,MATCH(E553,SkillBoxes!A552:A1128,0),4)</f>
        <v>Controlling Crack II</v>
      </c>
      <c r="G553" s="41">
        <v>10.0</v>
      </c>
      <c r="H553" s="41" t="s">
        <v>125</v>
      </c>
      <c r="I553" s="41" t="s">
        <v>1479</v>
      </c>
      <c r="J553" s="41" t="s">
        <v>1480</v>
      </c>
      <c r="K553" s="41">
        <v>1.2</v>
      </c>
      <c r="L553" s="41" t="s">
        <v>1489</v>
      </c>
      <c r="M553" s="41">
        <v>2.0</v>
      </c>
      <c r="N553" s="42"/>
      <c r="O553" s="42"/>
      <c r="P553" s="42"/>
      <c r="Q553" s="42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</row>
    <row r="554">
      <c r="A554" s="44">
        <v>551.0</v>
      </c>
      <c r="B554" s="44" t="s">
        <v>2036</v>
      </c>
      <c r="C554" s="45">
        <f t="array" ref="C554">INDEX(SkillBoxes!A553:D1129,MATCH(E554,SkillBoxes!A553:A1129,0),2)</f>
        <v>30</v>
      </c>
      <c r="D554" s="45" t="str">
        <f t="array" ref="D554">INDEX(SkillBoxes!A553:D1129,MATCH(E554,SkillBoxes!A553:A1129,0),3)</f>
        <v>Arts Master</v>
      </c>
      <c r="E554" s="45">
        <v>551.0</v>
      </c>
      <c r="F554" s="45" t="str">
        <f t="array" ref="F554">INDEX(SkillBoxes!A553:D1129,MATCH(E554,SkillBoxes!A553:A1129,0),4)</f>
        <v>Controlling Crack III</v>
      </c>
      <c r="G554" s="44">
        <v>12.0</v>
      </c>
      <c r="H554" s="44" t="s">
        <v>125</v>
      </c>
      <c r="I554" s="44" t="s">
        <v>1479</v>
      </c>
      <c r="J554" s="44" t="s">
        <v>1480</v>
      </c>
      <c r="K554" s="44">
        <v>1.3</v>
      </c>
      <c r="L554" s="44" t="s">
        <v>410</v>
      </c>
      <c r="M554" s="44">
        <v>2.0</v>
      </c>
      <c r="N554" s="44">
        <v>0.1</v>
      </c>
      <c r="O554" s="44" t="s">
        <v>137</v>
      </c>
      <c r="P554" s="45"/>
      <c r="Q554" s="45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</row>
    <row r="555">
      <c r="A555" s="41">
        <v>552.0</v>
      </c>
      <c r="B555" s="41" t="s">
        <v>2037</v>
      </c>
      <c r="C555" s="42">
        <f t="array" ref="C555">INDEX(SkillBoxes!A554:D1130,MATCH(E555,SkillBoxes!A554:A1130,0),2)</f>
        <v>30</v>
      </c>
      <c r="D555" s="42" t="str">
        <f t="array" ref="D555">INDEX(SkillBoxes!A554:D1130,MATCH(E555,SkillBoxes!A554:A1130,0),3)</f>
        <v>Arts Master</v>
      </c>
      <c r="E555" s="42">
        <v>552.0</v>
      </c>
      <c r="F555" s="42" t="str">
        <f t="array" ref="F555">INDEX(SkillBoxes!A554:D1130,MATCH(E555,SkillBoxes!A554:A1130,0),4)</f>
        <v>Controlling Crack IV</v>
      </c>
      <c r="G555" s="41">
        <v>14.0</v>
      </c>
      <c r="H555" s="41" t="s">
        <v>159</v>
      </c>
      <c r="I555" s="41" t="s">
        <v>1479</v>
      </c>
      <c r="J555" s="41" t="s">
        <v>1491</v>
      </c>
      <c r="K555" s="41">
        <v>0.9</v>
      </c>
      <c r="L555" s="41" t="s">
        <v>1489</v>
      </c>
      <c r="M555" s="41">
        <v>3.0</v>
      </c>
      <c r="N555" s="42"/>
      <c r="O555" s="42"/>
      <c r="P555" s="42"/>
      <c r="Q555" s="42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</row>
    <row r="556">
      <c r="A556" s="41">
        <v>553.0</v>
      </c>
      <c r="B556" s="44" t="s">
        <v>2038</v>
      </c>
      <c r="C556" s="45">
        <f t="array" ref="C556">INDEX(SkillBoxes!A555:D1131,MATCH(E556,SkillBoxes!A555:A1131,0),2)</f>
        <v>30</v>
      </c>
      <c r="D556" s="45" t="str">
        <f t="array" ref="D556">INDEX(SkillBoxes!A555:D1131,MATCH(E556,SkillBoxes!A555:A1131,0),3)</f>
        <v>Arts Master</v>
      </c>
      <c r="E556" s="45">
        <v>553.0</v>
      </c>
      <c r="F556" s="45" t="str">
        <f t="array" ref="F556">INDEX(SkillBoxes!A555:D1131,MATCH(E556,SkillBoxes!A555:A1131,0),4)</f>
        <v>Perfect Form I</v>
      </c>
      <c r="G556" s="44">
        <v>8.0</v>
      </c>
      <c r="H556" s="44" t="s">
        <v>125</v>
      </c>
      <c r="I556" s="44" t="s">
        <v>1479</v>
      </c>
      <c r="J556" s="44" t="s">
        <v>1480</v>
      </c>
      <c r="K556" s="44">
        <v>1.3</v>
      </c>
      <c r="L556" s="45"/>
      <c r="M556" s="45"/>
      <c r="N556" s="45"/>
      <c r="O556" s="45"/>
      <c r="P556" s="45"/>
      <c r="Q556" s="45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</row>
    <row r="557">
      <c r="A557" s="44">
        <v>554.0</v>
      </c>
      <c r="B557" s="41" t="s">
        <v>2039</v>
      </c>
      <c r="C557" s="42">
        <f t="array" ref="C557">INDEX(SkillBoxes!A556:D1132,MATCH(E557,SkillBoxes!A556:A1132,0),2)</f>
        <v>30</v>
      </c>
      <c r="D557" s="42" t="str">
        <f t="array" ref="D557">INDEX(SkillBoxes!A556:D1132,MATCH(E557,SkillBoxes!A556:A1132,0),3)</f>
        <v>Arts Master</v>
      </c>
      <c r="E557" s="42">
        <v>554.0</v>
      </c>
      <c r="F557" s="42" t="str">
        <f t="array" ref="F557">INDEX(SkillBoxes!A556:D1132,MATCH(E557,SkillBoxes!A556:A1132,0),4)</f>
        <v>Perfect Form II</v>
      </c>
      <c r="G557" s="41">
        <v>10.0</v>
      </c>
      <c r="H557" s="41" t="s">
        <v>125</v>
      </c>
      <c r="I557" s="41" t="s">
        <v>1479</v>
      </c>
      <c r="J557" s="41" t="s">
        <v>1480</v>
      </c>
      <c r="K557" s="41">
        <v>1.4</v>
      </c>
      <c r="L557" s="42"/>
      <c r="M557" s="42"/>
      <c r="N557" s="42"/>
      <c r="O557" s="42"/>
      <c r="P557" s="42"/>
      <c r="Q557" s="42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</row>
    <row r="558">
      <c r="A558" s="41">
        <v>555.0</v>
      </c>
      <c r="B558" s="44" t="s">
        <v>2040</v>
      </c>
      <c r="C558" s="45">
        <f t="array" ref="C558">INDEX(SkillBoxes!A557:D1133,MATCH(E558,SkillBoxes!A557:A1133,0),2)</f>
        <v>30</v>
      </c>
      <c r="D558" s="45" t="str">
        <f t="array" ref="D558">INDEX(SkillBoxes!A557:D1133,MATCH(E558,SkillBoxes!A557:A1133,0),3)</f>
        <v>Arts Master</v>
      </c>
      <c r="E558" s="45">
        <v>555.0</v>
      </c>
      <c r="F558" s="45" t="str">
        <f t="array" ref="F558">INDEX(SkillBoxes!A557:D1133,MATCH(E558,SkillBoxes!A557:A1133,0),4)</f>
        <v>Perfect Form III</v>
      </c>
      <c r="G558" s="44">
        <v>12.0</v>
      </c>
      <c r="H558" s="44" t="s">
        <v>125</v>
      </c>
      <c r="I558" s="44" t="s">
        <v>1479</v>
      </c>
      <c r="J558" s="44" t="s">
        <v>1480</v>
      </c>
      <c r="K558" s="44">
        <v>1.6</v>
      </c>
      <c r="L558" s="44" t="s">
        <v>1513</v>
      </c>
      <c r="M558" s="44">
        <v>2.0</v>
      </c>
      <c r="N558" s="44">
        <v>0.1</v>
      </c>
      <c r="O558" s="44" t="s">
        <v>145</v>
      </c>
      <c r="P558" s="45"/>
      <c r="Q558" s="45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</row>
    <row r="559">
      <c r="A559" s="44">
        <v>556.0</v>
      </c>
      <c r="B559" s="41" t="s">
        <v>2041</v>
      </c>
      <c r="C559" s="42">
        <f t="array" ref="C559">INDEX(SkillBoxes!A558:D1134,MATCH(E559,SkillBoxes!A558:A1134,0),2)</f>
        <v>30</v>
      </c>
      <c r="D559" s="42" t="str">
        <f t="array" ref="D559">INDEX(SkillBoxes!A558:D1134,MATCH(E559,SkillBoxes!A558:A1134,0),3)</f>
        <v>Arts Master</v>
      </c>
      <c r="E559" s="42">
        <v>556.0</v>
      </c>
      <c r="F559" s="42" t="str">
        <f t="array" ref="F559">INDEX(SkillBoxes!A558:D1134,MATCH(E559,SkillBoxes!A558:A1134,0),4)</f>
        <v>Perfect Form IV</v>
      </c>
      <c r="G559" s="41">
        <v>14.0</v>
      </c>
      <c r="H559" s="41" t="s">
        <v>159</v>
      </c>
      <c r="I559" s="41" t="s">
        <v>1479</v>
      </c>
      <c r="J559" s="41" t="s">
        <v>1480</v>
      </c>
      <c r="K559" s="41">
        <v>1.8</v>
      </c>
      <c r="L559" s="41" t="s">
        <v>1513</v>
      </c>
      <c r="M559" s="41">
        <v>3.0</v>
      </c>
      <c r="N559" s="41">
        <v>0.15</v>
      </c>
      <c r="O559" s="41" t="s">
        <v>145</v>
      </c>
      <c r="P559" s="42"/>
      <c r="Q559" s="42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</row>
    <row r="560">
      <c r="A560" s="41">
        <v>557.0</v>
      </c>
      <c r="B560" s="44" t="s">
        <v>2042</v>
      </c>
      <c r="C560" s="45">
        <f t="array" ref="C560">INDEX(SkillBoxes!A559:D1135,MATCH(E560,SkillBoxes!A559:A1135,0),2)</f>
        <v>30</v>
      </c>
      <c r="D560" s="45" t="str">
        <f t="array" ref="D560">INDEX(SkillBoxes!A559:D1135,MATCH(E560,SkillBoxes!A559:A1135,0),3)</f>
        <v>Arts Master</v>
      </c>
      <c r="E560" s="45">
        <v>557.0</v>
      </c>
      <c r="F560" s="45" t="str">
        <f t="array" ref="F560">INDEX(SkillBoxes!A559:D1135,MATCH(E560,SkillBoxes!A559:A1135,0),4)</f>
        <v>Master Arts Master</v>
      </c>
      <c r="G560" s="44">
        <v>20.0</v>
      </c>
      <c r="H560" s="44" t="s">
        <v>159</v>
      </c>
      <c r="I560" s="44" t="s">
        <v>1498</v>
      </c>
      <c r="J560" s="44" t="s">
        <v>1491</v>
      </c>
      <c r="K560" s="44">
        <v>1.2</v>
      </c>
      <c r="L560" s="44" t="s">
        <v>410</v>
      </c>
      <c r="M560" s="44">
        <v>4.0</v>
      </c>
      <c r="N560" s="44">
        <v>0.2</v>
      </c>
      <c r="O560" s="44" t="s">
        <v>161</v>
      </c>
      <c r="P560" s="45"/>
      <c r="Q560" s="45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</row>
    <row r="561">
      <c r="A561" s="44">
        <v>558.0</v>
      </c>
      <c r="B561" s="41" t="s">
        <v>2043</v>
      </c>
      <c r="C561" s="42">
        <f t="array" ref="C561">INDEX(SkillBoxes!A560:D1136,MATCH(E561,SkillBoxes!A560:A1136,0),2)</f>
        <v>31</v>
      </c>
      <c r="D561" s="42" t="str">
        <f t="array" ref="D561">INDEX(SkillBoxes!A560:D1136,MATCH(E561,SkillBoxes!A560:A1136,0),3)</f>
        <v>Macabre Dancer</v>
      </c>
      <c r="E561" s="42">
        <v>558.0</v>
      </c>
      <c r="F561" s="42" t="str">
        <f t="array" ref="F561">INDEX(SkillBoxes!A560:D1136,MATCH(E561,SkillBoxes!A560:A1136,0),4)</f>
        <v>Novice Macabre Dancer</v>
      </c>
      <c r="G561" s="41">
        <v>8.0</v>
      </c>
      <c r="H561" s="41" t="s">
        <v>125</v>
      </c>
      <c r="I561" s="41" t="s">
        <v>1479</v>
      </c>
      <c r="J561" s="41" t="s">
        <v>1480</v>
      </c>
      <c r="K561" s="41">
        <v>1.1</v>
      </c>
      <c r="L561" s="41" t="s">
        <v>1484</v>
      </c>
      <c r="M561" s="41">
        <v>1.0</v>
      </c>
      <c r="N561" s="41">
        <v>-1.0</v>
      </c>
      <c r="O561" s="41" t="s">
        <v>141</v>
      </c>
      <c r="P561" s="42"/>
      <c r="Q561" s="42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</row>
    <row r="562">
      <c r="A562" s="41">
        <v>559.0</v>
      </c>
      <c r="B562" s="44" t="s">
        <v>2044</v>
      </c>
      <c r="C562" s="45">
        <f t="array" ref="C562">INDEX(SkillBoxes!A561:D1137,MATCH(E562,SkillBoxes!A561:A1137,0),2)</f>
        <v>31</v>
      </c>
      <c r="D562" s="45" t="str">
        <f t="array" ref="D562">INDEX(SkillBoxes!A561:D1137,MATCH(E562,SkillBoxes!A561:A1137,0),3)</f>
        <v>Macabre Dancer</v>
      </c>
      <c r="E562" s="45">
        <v>559.0</v>
      </c>
      <c r="F562" s="45" t="str">
        <f t="array" ref="F562">INDEX(SkillBoxes!A561:D1137,MATCH(E562,SkillBoxes!A561:A1137,0),4)</f>
        <v>Rhythmic Arts I</v>
      </c>
      <c r="G562" s="44">
        <v>7.0</v>
      </c>
      <c r="H562" s="44" t="s">
        <v>160</v>
      </c>
      <c r="I562" s="44" t="s">
        <v>1498</v>
      </c>
      <c r="J562" s="44" t="s">
        <v>1491</v>
      </c>
      <c r="K562" s="44">
        <v>0.0</v>
      </c>
      <c r="L562" s="44" t="s">
        <v>1513</v>
      </c>
      <c r="M562" s="44">
        <v>2.0</v>
      </c>
      <c r="N562" s="44">
        <v>0.1</v>
      </c>
      <c r="O562" s="44" t="s">
        <v>129</v>
      </c>
      <c r="P562" s="45"/>
      <c r="Q562" s="45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</row>
    <row r="563">
      <c r="A563" s="41">
        <v>560.0</v>
      </c>
      <c r="B563" s="41" t="s">
        <v>2045</v>
      </c>
      <c r="C563" s="42">
        <f t="array" ref="C563">INDEX(SkillBoxes!A562:D1138,MATCH(E563,SkillBoxes!A562:A1138,0),2)</f>
        <v>31</v>
      </c>
      <c r="D563" s="42" t="str">
        <f t="array" ref="D563">INDEX(SkillBoxes!A562:D1138,MATCH(E563,SkillBoxes!A562:A1138,0),3)</f>
        <v>Macabre Dancer</v>
      </c>
      <c r="E563" s="42">
        <v>560.0</v>
      </c>
      <c r="F563" s="42" t="str">
        <f t="array" ref="F563">INDEX(SkillBoxes!A562:D1138,MATCH(E563,SkillBoxes!A562:A1138,0),4)</f>
        <v>Rhythmic Arts II</v>
      </c>
      <c r="G563" s="41">
        <v>9.0</v>
      </c>
      <c r="H563" s="41" t="s">
        <v>160</v>
      </c>
      <c r="I563" s="41" t="s">
        <v>1498</v>
      </c>
      <c r="J563" s="41" t="s">
        <v>1491</v>
      </c>
      <c r="K563" s="41">
        <v>0.0</v>
      </c>
      <c r="L563" s="41" t="s">
        <v>1513</v>
      </c>
      <c r="M563" s="41">
        <v>3.0</v>
      </c>
      <c r="N563" s="41">
        <v>0.15</v>
      </c>
      <c r="O563" s="41" t="s">
        <v>129</v>
      </c>
      <c r="P563" s="42"/>
      <c r="Q563" s="42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</row>
    <row r="564">
      <c r="A564" s="44">
        <v>561.0</v>
      </c>
      <c r="B564" s="44" t="s">
        <v>2046</v>
      </c>
      <c r="C564" s="45">
        <f t="array" ref="C564">INDEX(SkillBoxes!A563:D1139,MATCH(E564,SkillBoxes!A563:A1139,0),2)</f>
        <v>31</v>
      </c>
      <c r="D564" s="45" t="str">
        <f t="array" ref="D564">INDEX(SkillBoxes!A563:D1139,MATCH(E564,SkillBoxes!A563:A1139,0),3)</f>
        <v>Macabre Dancer</v>
      </c>
      <c r="E564" s="45">
        <v>561.0</v>
      </c>
      <c r="F564" s="45" t="str">
        <f t="array" ref="F564">INDEX(SkillBoxes!A563:D1139,MATCH(E564,SkillBoxes!A563:A1139,0),4)</f>
        <v>Rhythmic Arts III</v>
      </c>
      <c r="G564" s="44">
        <v>11.0</v>
      </c>
      <c r="H564" s="44" t="s">
        <v>160</v>
      </c>
      <c r="I564" s="44" t="s">
        <v>1498</v>
      </c>
      <c r="J564" s="44" t="s">
        <v>1491</v>
      </c>
      <c r="K564" s="44">
        <v>0.0</v>
      </c>
      <c r="L564" s="44" t="s">
        <v>1513</v>
      </c>
      <c r="M564" s="44">
        <v>2.0</v>
      </c>
      <c r="N564" s="44">
        <v>0.15</v>
      </c>
      <c r="O564" s="44" t="s">
        <v>137</v>
      </c>
      <c r="P564" s="45"/>
      <c r="Q564" s="45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</row>
    <row r="565">
      <c r="A565" s="41">
        <v>562.0</v>
      </c>
      <c r="B565" s="41" t="s">
        <v>2047</v>
      </c>
      <c r="C565" s="42">
        <f t="array" ref="C565">INDEX(SkillBoxes!A564:D1140,MATCH(E565,SkillBoxes!A564:A1140,0),2)</f>
        <v>31</v>
      </c>
      <c r="D565" s="42" t="str">
        <f t="array" ref="D565">INDEX(SkillBoxes!A564:D1140,MATCH(E565,SkillBoxes!A564:A1140,0),3)</f>
        <v>Macabre Dancer</v>
      </c>
      <c r="E565" s="42">
        <v>562.0</v>
      </c>
      <c r="F565" s="42" t="str">
        <f t="array" ref="F565">INDEX(SkillBoxes!A564:D1140,MATCH(E565,SkillBoxes!A564:A1140,0),4)</f>
        <v>Rhythmic Arts IV</v>
      </c>
      <c r="G565" s="41">
        <v>13.0</v>
      </c>
      <c r="H565" s="41" t="s">
        <v>159</v>
      </c>
      <c r="I565" s="41" t="s">
        <v>1498</v>
      </c>
      <c r="J565" s="41" t="s">
        <v>1491</v>
      </c>
      <c r="K565" s="41">
        <v>0.0</v>
      </c>
      <c r="L565" s="41" t="s">
        <v>1513</v>
      </c>
      <c r="M565" s="41">
        <v>3.0</v>
      </c>
      <c r="N565" s="41">
        <v>0.2</v>
      </c>
      <c r="O565" s="41" t="s">
        <v>129</v>
      </c>
      <c r="P565" s="42"/>
      <c r="Q565" s="42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</row>
    <row r="566">
      <c r="A566" s="44">
        <v>563.0</v>
      </c>
      <c r="B566" s="44" t="s">
        <v>2048</v>
      </c>
      <c r="C566" s="45">
        <f t="array" ref="C566">INDEX(SkillBoxes!A565:D1141,MATCH(E566,SkillBoxes!A565:A1141,0),2)</f>
        <v>31</v>
      </c>
      <c r="D566" s="45" t="str">
        <f t="array" ref="D566">INDEX(SkillBoxes!A565:D1141,MATCH(E566,SkillBoxes!A565:A1141,0),3)</f>
        <v>Macabre Dancer</v>
      </c>
      <c r="E566" s="45">
        <v>563.0</v>
      </c>
      <c r="F566" s="45" t="str">
        <f t="array" ref="F566">INDEX(SkillBoxes!A565:D1141,MATCH(E566,SkillBoxes!A565:A1141,0),4)</f>
        <v>Fancy Footwork I</v>
      </c>
      <c r="G566" s="44">
        <v>7.0</v>
      </c>
      <c r="H566" s="44" t="s">
        <v>125</v>
      </c>
      <c r="I566" s="44" t="s">
        <v>1479</v>
      </c>
      <c r="J566" s="44" t="s">
        <v>1480</v>
      </c>
      <c r="K566" s="44">
        <v>1.1</v>
      </c>
      <c r="L566" s="44" t="s">
        <v>1513</v>
      </c>
      <c r="M566" s="44">
        <v>1.0</v>
      </c>
      <c r="N566" s="44">
        <v>0.1</v>
      </c>
      <c r="O566" s="44" t="s">
        <v>137</v>
      </c>
      <c r="P566" s="45"/>
      <c r="Q566" s="45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</row>
    <row r="567">
      <c r="A567" s="41">
        <v>564.0</v>
      </c>
      <c r="B567" s="41" t="s">
        <v>2049</v>
      </c>
      <c r="C567" s="42">
        <f t="array" ref="C567">INDEX(SkillBoxes!A566:D1142,MATCH(E567,SkillBoxes!A566:A1142,0),2)</f>
        <v>31</v>
      </c>
      <c r="D567" s="42" t="str">
        <f t="array" ref="D567">INDEX(SkillBoxes!A566:D1142,MATCH(E567,SkillBoxes!A566:A1142,0),3)</f>
        <v>Macabre Dancer</v>
      </c>
      <c r="E567" s="42">
        <v>564.0</v>
      </c>
      <c r="F567" s="42" t="str">
        <f t="array" ref="F567">INDEX(SkillBoxes!A566:D1142,MATCH(E567,SkillBoxes!A566:A1142,0),4)</f>
        <v>Fancy Footwork II</v>
      </c>
      <c r="G567" s="41">
        <v>9.0</v>
      </c>
      <c r="H567" s="41" t="s">
        <v>125</v>
      </c>
      <c r="I567" s="41" t="s">
        <v>1479</v>
      </c>
      <c r="J567" s="41" t="s">
        <v>1480</v>
      </c>
      <c r="K567" s="41">
        <v>1.2</v>
      </c>
      <c r="L567" s="41" t="s">
        <v>1513</v>
      </c>
      <c r="M567" s="41">
        <v>2.0</v>
      </c>
      <c r="N567" s="41">
        <v>0.15</v>
      </c>
      <c r="O567" s="41" t="s">
        <v>137</v>
      </c>
      <c r="P567" s="42"/>
      <c r="Q567" s="42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</row>
    <row r="568">
      <c r="A568" s="44">
        <v>565.0</v>
      </c>
      <c r="B568" s="44" t="s">
        <v>2050</v>
      </c>
      <c r="C568" s="45">
        <f t="array" ref="C568">INDEX(SkillBoxes!A567:D1143,MATCH(E568,SkillBoxes!A567:A1143,0),2)</f>
        <v>31</v>
      </c>
      <c r="D568" s="45" t="str">
        <f t="array" ref="D568">INDEX(SkillBoxes!A567:D1143,MATCH(E568,SkillBoxes!A567:A1143,0),3)</f>
        <v>Macabre Dancer</v>
      </c>
      <c r="E568" s="45">
        <v>565.0</v>
      </c>
      <c r="F568" s="45" t="str">
        <f t="array" ref="F568">INDEX(SkillBoxes!A567:D1143,MATCH(E568,SkillBoxes!A567:A1143,0),4)</f>
        <v>Fancy Footwork III</v>
      </c>
      <c r="G568" s="44">
        <v>11.0</v>
      </c>
      <c r="H568" s="44" t="s">
        <v>125</v>
      </c>
      <c r="I568" s="44" t="s">
        <v>1479</v>
      </c>
      <c r="J568" s="44" t="s">
        <v>1480</v>
      </c>
      <c r="K568" s="44">
        <v>1.3</v>
      </c>
      <c r="L568" s="44" t="s">
        <v>1513</v>
      </c>
      <c r="M568" s="44">
        <v>2.0</v>
      </c>
      <c r="N568" s="44">
        <v>0.2</v>
      </c>
      <c r="O568" s="44" t="s">
        <v>137</v>
      </c>
      <c r="P568" s="45"/>
      <c r="Q568" s="45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</row>
    <row r="569">
      <c r="A569" s="41">
        <v>566.0</v>
      </c>
      <c r="B569" s="41" t="s">
        <v>2051</v>
      </c>
      <c r="C569" s="42">
        <f t="array" ref="C569">INDEX(SkillBoxes!A568:D1144,MATCH(E569,SkillBoxes!A568:A1144,0),2)</f>
        <v>31</v>
      </c>
      <c r="D569" s="42" t="str">
        <f t="array" ref="D569">INDEX(SkillBoxes!A568:D1144,MATCH(E569,SkillBoxes!A568:A1144,0),3)</f>
        <v>Macabre Dancer</v>
      </c>
      <c r="E569" s="42">
        <v>566.0</v>
      </c>
      <c r="F569" s="42" t="str">
        <f t="array" ref="F569">INDEX(SkillBoxes!A568:D1144,MATCH(E569,SkillBoxes!A568:A1144,0),4)</f>
        <v>Fancy Footwork IV</v>
      </c>
      <c r="G569" s="41">
        <v>13.0</v>
      </c>
      <c r="H569" s="41" t="s">
        <v>159</v>
      </c>
      <c r="I569" s="41" t="s">
        <v>1479</v>
      </c>
      <c r="J569" s="41" t="s">
        <v>1480</v>
      </c>
      <c r="K569" s="41">
        <v>1.5</v>
      </c>
      <c r="L569" s="41" t="s">
        <v>1513</v>
      </c>
      <c r="M569" s="41">
        <v>3.0</v>
      </c>
      <c r="N569" s="41">
        <v>0.25</v>
      </c>
      <c r="O569" s="41" t="s">
        <v>137</v>
      </c>
      <c r="P569" s="42"/>
      <c r="Q569" s="42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</row>
    <row r="570">
      <c r="A570" s="41">
        <v>567.0</v>
      </c>
      <c r="B570" s="44" t="s">
        <v>2052</v>
      </c>
      <c r="C570" s="45">
        <f t="array" ref="C570">INDEX(SkillBoxes!A569:D1145,MATCH(E570,SkillBoxes!A569:A1145,0),2)</f>
        <v>31</v>
      </c>
      <c r="D570" s="45" t="str">
        <f t="array" ref="D570">INDEX(SkillBoxes!A569:D1145,MATCH(E570,SkillBoxes!A569:A1145,0),3)</f>
        <v>Macabre Dancer</v>
      </c>
      <c r="E570" s="45">
        <v>567.0</v>
      </c>
      <c r="F570" s="45" t="str">
        <f t="array" ref="F570">INDEX(SkillBoxes!A569:D1145,MATCH(E570,SkillBoxes!A569:A1145,0),4)</f>
        <v>Cursed Choreography I</v>
      </c>
      <c r="G570" s="44">
        <v>8.0</v>
      </c>
      <c r="H570" s="44" t="s">
        <v>160</v>
      </c>
      <c r="I570" s="44" t="s">
        <v>1498</v>
      </c>
      <c r="J570" s="44" t="s">
        <v>1480</v>
      </c>
      <c r="K570" s="44">
        <v>1.1</v>
      </c>
      <c r="L570" s="44" t="s">
        <v>410</v>
      </c>
      <c r="M570" s="44">
        <v>2.0</v>
      </c>
      <c r="N570" s="44">
        <v>0.05</v>
      </c>
      <c r="O570" s="44" t="s">
        <v>129</v>
      </c>
      <c r="P570" s="44" t="s">
        <v>1518</v>
      </c>
      <c r="Q570" s="45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</row>
    <row r="571">
      <c r="A571" s="44">
        <v>568.0</v>
      </c>
      <c r="B571" s="41" t="s">
        <v>2053</v>
      </c>
      <c r="C571" s="42">
        <f t="array" ref="C571">INDEX(SkillBoxes!A570:D1146,MATCH(E571,SkillBoxes!A570:A1146,0),2)</f>
        <v>31</v>
      </c>
      <c r="D571" s="42" t="str">
        <f t="array" ref="D571">INDEX(SkillBoxes!A570:D1146,MATCH(E571,SkillBoxes!A570:A1146,0),3)</f>
        <v>Macabre Dancer</v>
      </c>
      <c r="E571" s="42">
        <v>568.0</v>
      </c>
      <c r="F571" s="42" t="str">
        <f t="array" ref="F571">INDEX(SkillBoxes!A570:D1146,MATCH(E571,SkillBoxes!A570:A1146,0),4)</f>
        <v>Cursed Choreography II</v>
      </c>
      <c r="G571" s="41">
        <v>10.0</v>
      </c>
      <c r="H571" s="41" t="s">
        <v>160</v>
      </c>
      <c r="I571" s="41" t="s">
        <v>1498</v>
      </c>
      <c r="J571" s="41" t="s">
        <v>1480</v>
      </c>
      <c r="K571" s="41">
        <v>1.2</v>
      </c>
      <c r="L571" s="41" t="s">
        <v>410</v>
      </c>
      <c r="M571" s="41">
        <v>2.0</v>
      </c>
      <c r="N571" s="41">
        <v>0.1</v>
      </c>
      <c r="O571" s="41" t="s">
        <v>129</v>
      </c>
      <c r="P571" s="41" t="s">
        <v>1518</v>
      </c>
      <c r="Q571" s="42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</row>
    <row r="572">
      <c r="A572" s="41">
        <v>569.0</v>
      </c>
      <c r="B572" s="44" t="s">
        <v>2054</v>
      </c>
      <c r="C572" s="45">
        <f t="array" ref="C572">INDEX(SkillBoxes!A571:D1147,MATCH(E572,SkillBoxes!A571:A1147,0),2)</f>
        <v>31</v>
      </c>
      <c r="D572" s="45" t="str">
        <f t="array" ref="D572">INDEX(SkillBoxes!A571:D1147,MATCH(E572,SkillBoxes!A571:A1147,0),3)</f>
        <v>Macabre Dancer</v>
      </c>
      <c r="E572" s="45">
        <v>569.0</v>
      </c>
      <c r="F572" s="45" t="str">
        <f t="array" ref="F572">INDEX(SkillBoxes!A571:D1147,MATCH(E572,SkillBoxes!A571:A1147,0),4)</f>
        <v>Cursed Choreography III</v>
      </c>
      <c r="G572" s="44">
        <v>12.0</v>
      </c>
      <c r="H572" s="44" t="s">
        <v>160</v>
      </c>
      <c r="I572" s="44" t="s">
        <v>1498</v>
      </c>
      <c r="J572" s="44" t="s">
        <v>1491</v>
      </c>
      <c r="K572" s="44">
        <v>0.8</v>
      </c>
      <c r="L572" s="44" t="s">
        <v>410</v>
      </c>
      <c r="M572" s="44">
        <v>2.0</v>
      </c>
      <c r="N572" s="44">
        <v>0.1</v>
      </c>
      <c r="O572" s="44" t="s">
        <v>133</v>
      </c>
      <c r="P572" s="44" t="s">
        <v>1518</v>
      </c>
      <c r="Q572" s="45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</row>
    <row r="573">
      <c r="A573" s="44">
        <v>570.0</v>
      </c>
      <c r="B573" s="41" t="s">
        <v>2055</v>
      </c>
      <c r="C573" s="42">
        <f t="array" ref="C573">INDEX(SkillBoxes!A572:D1148,MATCH(E573,SkillBoxes!A572:A1148,0),2)</f>
        <v>31</v>
      </c>
      <c r="D573" s="42" t="str">
        <f t="array" ref="D573">INDEX(SkillBoxes!A572:D1148,MATCH(E573,SkillBoxes!A572:A1148,0),3)</f>
        <v>Macabre Dancer</v>
      </c>
      <c r="E573" s="42">
        <v>570.0</v>
      </c>
      <c r="F573" s="42" t="str">
        <f t="array" ref="F573">INDEX(SkillBoxes!A572:D1148,MATCH(E573,SkillBoxes!A572:A1148,0),4)</f>
        <v>Cursed Choreography IV</v>
      </c>
      <c r="G573" s="41">
        <v>14.0</v>
      </c>
      <c r="H573" s="41" t="s">
        <v>159</v>
      </c>
      <c r="I573" s="41" t="s">
        <v>1498</v>
      </c>
      <c r="J573" s="41" t="s">
        <v>1491</v>
      </c>
      <c r="K573" s="41">
        <v>0.9</v>
      </c>
      <c r="L573" s="41" t="s">
        <v>410</v>
      </c>
      <c r="M573" s="41">
        <v>3.0</v>
      </c>
      <c r="N573" s="41">
        <v>0.15</v>
      </c>
      <c r="O573" s="41" t="s">
        <v>161</v>
      </c>
      <c r="P573" s="41" t="s">
        <v>1518</v>
      </c>
      <c r="Q573" s="42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</row>
    <row r="574">
      <c r="A574" s="41">
        <v>571.0</v>
      </c>
      <c r="B574" s="44" t="s">
        <v>2056</v>
      </c>
      <c r="C574" s="45">
        <f t="array" ref="C574">INDEX(SkillBoxes!A573:D1149,MATCH(E574,SkillBoxes!A573:A1149,0),2)</f>
        <v>31</v>
      </c>
      <c r="D574" s="45" t="str">
        <f t="array" ref="D574">INDEX(SkillBoxes!A573:D1149,MATCH(E574,SkillBoxes!A573:A1149,0),3)</f>
        <v>Macabre Dancer</v>
      </c>
      <c r="E574" s="45">
        <v>571.0</v>
      </c>
      <c r="F574" s="45" t="str">
        <f t="array" ref="F574">INDEX(SkillBoxes!A573:D1149,MATCH(E574,SkillBoxes!A573:A1149,0),4)</f>
        <v>Death Steps I</v>
      </c>
      <c r="G574" s="44">
        <v>8.0</v>
      </c>
      <c r="H574" s="44" t="s">
        <v>125</v>
      </c>
      <c r="I574" s="44" t="s">
        <v>1479</v>
      </c>
      <c r="J574" s="44" t="s">
        <v>1480</v>
      </c>
      <c r="K574" s="44">
        <v>1.2</v>
      </c>
      <c r="L574" s="44" t="s">
        <v>1484</v>
      </c>
      <c r="M574" s="44">
        <v>2.0</v>
      </c>
      <c r="N574" s="44">
        <v>-1.0</v>
      </c>
      <c r="O574" s="44" t="s">
        <v>141</v>
      </c>
      <c r="P574" s="44" t="s">
        <v>1518</v>
      </c>
      <c r="Q574" s="45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</row>
    <row r="575">
      <c r="A575" s="44">
        <v>572.0</v>
      </c>
      <c r="B575" s="41" t="s">
        <v>2057</v>
      </c>
      <c r="C575" s="42">
        <f t="array" ref="C575">INDEX(SkillBoxes!A574:D1150,MATCH(E575,SkillBoxes!A574:A1150,0),2)</f>
        <v>31</v>
      </c>
      <c r="D575" s="42" t="str">
        <f t="array" ref="D575">INDEX(SkillBoxes!A574:D1150,MATCH(E575,SkillBoxes!A574:A1150,0),3)</f>
        <v>Macabre Dancer</v>
      </c>
      <c r="E575" s="42">
        <v>572.0</v>
      </c>
      <c r="F575" s="42" t="str">
        <f t="array" ref="F575">INDEX(SkillBoxes!A574:D1150,MATCH(E575,SkillBoxes!A574:A1150,0),4)</f>
        <v>Death Steps II</v>
      </c>
      <c r="G575" s="41">
        <v>10.0</v>
      </c>
      <c r="H575" s="41" t="s">
        <v>125</v>
      </c>
      <c r="I575" s="41" t="s">
        <v>1479</v>
      </c>
      <c r="J575" s="41" t="s">
        <v>1480</v>
      </c>
      <c r="K575" s="41">
        <v>1.3</v>
      </c>
      <c r="L575" s="41" t="s">
        <v>1484</v>
      </c>
      <c r="M575" s="41">
        <v>3.0</v>
      </c>
      <c r="N575" s="41">
        <v>-2.0</v>
      </c>
      <c r="O575" s="41" t="s">
        <v>141</v>
      </c>
      <c r="P575" s="41" t="s">
        <v>1518</v>
      </c>
      <c r="Q575" s="42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</row>
    <row r="576">
      <c r="A576" s="41">
        <v>573.0</v>
      </c>
      <c r="B576" s="44" t="s">
        <v>2058</v>
      </c>
      <c r="C576" s="45">
        <f t="array" ref="C576">INDEX(SkillBoxes!A575:D1151,MATCH(E576,SkillBoxes!A575:A1151,0),2)</f>
        <v>31</v>
      </c>
      <c r="D576" s="45" t="str">
        <f t="array" ref="D576">INDEX(SkillBoxes!A575:D1151,MATCH(E576,SkillBoxes!A575:A1151,0),3)</f>
        <v>Macabre Dancer</v>
      </c>
      <c r="E576" s="45">
        <v>573.0</v>
      </c>
      <c r="F576" s="45" t="str">
        <f t="array" ref="F576">INDEX(SkillBoxes!A575:D1151,MATCH(E576,SkillBoxes!A575:A1151,0),4)</f>
        <v>Death Steps III</v>
      </c>
      <c r="G576" s="44">
        <v>12.0</v>
      </c>
      <c r="H576" s="44" t="s">
        <v>125</v>
      </c>
      <c r="I576" s="44" t="s">
        <v>1479</v>
      </c>
      <c r="J576" s="44" t="s">
        <v>1491</v>
      </c>
      <c r="K576" s="44">
        <v>0.9</v>
      </c>
      <c r="L576" s="44" t="s">
        <v>1484</v>
      </c>
      <c r="M576" s="44">
        <v>2.0</v>
      </c>
      <c r="N576" s="44">
        <v>-2.0</v>
      </c>
      <c r="O576" s="44" t="s">
        <v>141</v>
      </c>
      <c r="P576" s="44" t="s">
        <v>1518</v>
      </c>
      <c r="Q576" s="45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</row>
    <row r="577">
      <c r="A577" s="41">
        <v>574.0</v>
      </c>
      <c r="B577" s="41" t="s">
        <v>2059</v>
      </c>
      <c r="C577" s="42">
        <f t="array" ref="C577">INDEX(SkillBoxes!A576:D1152,MATCH(E577,SkillBoxes!A576:A1152,0),2)</f>
        <v>31</v>
      </c>
      <c r="D577" s="42" t="str">
        <f t="array" ref="D577">INDEX(SkillBoxes!A576:D1152,MATCH(E577,SkillBoxes!A576:A1152,0),3)</f>
        <v>Macabre Dancer</v>
      </c>
      <c r="E577" s="42">
        <v>574.0</v>
      </c>
      <c r="F577" s="42" t="str">
        <f t="array" ref="F577">INDEX(SkillBoxes!A576:D1152,MATCH(E577,SkillBoxes!A576:A1152,0),4)</f>
        <v>Death Steps IV</v>
      </c>
      <c r="G577" s="41">
        <v>14.0</v>
      </c>
      <c r="H577" s="41" t="s">
        <v>159</v>
      </c>
      <c r="I577" s="41" t="s">
        <v>1479</v>
      </c>
      <c r="J577" s="41" t="s">
        <v>1491</v>
      </c>
      <c r="K577" s="41">
        <v>1.1</v>
      </c>
      <c r="L577" s="41" t="s">
        <v>1484</v>
      </c>
      <c r="M577" s="41">
        <v>4.0</v>
      </c>
      <c r="N577" s="41">
        <v>-4.0</v>
      </c>
      <c r="O577" s="41" t="s">
        <v>141</v>
      </c>
      <c r="P577" s="41" t="s">
        <v>1518</v>
      </c>
      <c r="Q577" s="42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</row>
    <row r="578">
      <c r="A578" s="44">
        <v>575.0</v>
      </c>
      <c r="B578" s="44" t="s">
        <v>2060</v>
      </c>
      <c r="C578" s="45">
        <f t="array" ref="C578">INDEX(SkillBoxes!A577:D1153,MATCH(E578,SkillBoxes!A577:A1153,0),2)</f>
        <v>31</v>
      </c>
      <c r="D578" s="45" t="str">
        <f t="array" ref="D578">INDEX(SkillBoxes!A577:D1153,MATCH(E578,SkillBoxes!A577:A1153,0),3)</f>
        <v>Macabre Dancer</v>
      </c>
      <c r="E578" s="45">
        <v>575.0</v>
      </c>
      <c r="F578" s="45" t="str">
        <f t="array" ref="F578">INDEX(SkillBoxes!A577:D1153,MATCH(E578,SkillBoxes!A577:A1153,0),4)</f>
        <v>Master Macabre Dancer</v>
      </c>
      <c r="G578" s="44">
        <v>20.0</v>
      </c>
      <c r="H578" s="44" t="s">
        <v>159</v>
      </c>
      <c r="I578" s="44" t="s">
        <v>1498</v>
      </c>
      <c r="J578" s="44" t="s">
        <v>1491</v>
      </c>
      <c r="K578" s="44">
        <v>1.1</v>
      </c>
      <c r="L578" s="44" t="s">
        <v>410</v>
      </c>
      <c r="M578" s="44">
        <v>4.0</v>
      </c>
      <c r="N578" s="44">
        <v>0.15</v>
      </c>
      <c r="O578" s="44" t="s">
        <v>161</v>
      </c>
      <c r="P578" s="44" t="s">
        <v>1518</v>
      </c>
      <c r="Q578" s="45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92.86"/>
  </cols>
  <sheetData>
    <row r="1">
      <c r="A1" s="37" t="s">
        <v>2061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>
      <c r="A2" s="18" t="s">
        <v>14</v>
      </c>
      <c r="B2" s="18" t="s">
        <v>2062</v>
      </c>
      <c r="C2" s="18" t="s">
        <v>2063</v>
      </c>
      <c r="D2" s="40" t="s">
        <v>27</v>
      </c>
      <c r="E2" s="19"/>
      <c r="F2" s="20"/>
      <c r="G2" s="19"/>
      <c r="H2" s="19"/>
      <c r="I2" s="19"/>
      <c r="J2" s="19"/>
      <c r="K2" s="19"/>
      <c r="L2" s="19"/>
      <c r="M2" s="19"/>
      <c r="N2" s="19"/>
      <c r="O2" s="20"/>
      <c r="P2" s="20"/>
      <c r="Q2" s="19"/>
    </row>
    <row r="3">
      <c r="A3" s="42">
        <v>0.0</v>
      </c>
      <c r="B3" s="41" t="s">
        <v>1544</v>
      </c>
      <c r="C3" s="46" t="s">
        <v>2064</v>
      </c>
      <c r="D3" s="46"/>
      <c r="E3" s="42"/>
      <c r="F3" s="42"/>
      <c r="G3" s="41"/>
      <c r="H3" s="41"/>
      <c r="I3" s="41"/>
      <c r="J3" s="41"/>
      <c r="K3" s="41"/>
      <c r="L3" s="42"/>
      <c r="M3" s="42"/>
      <c r="N3" s="42"/>
      <c r="O3" s="42"/>
      <c r="P3" s="42"/>
      <c r="Q3" s="42"/>
    </row>
    <row r="4">
      <c r="A4" s="45">
        <v>1.0</v>
      </c>
      <c r="B4" s="44" t="s">
        <v>2065</v>
      </c>
      <c r="C4" s="47" t="s">
        <v>2066</v>
      </c>
      <c r="D4" s="47"/>
      <c r="E4" s="45"/>
      <c r="F4" s="45"/>
      <c r="G4" s="44"/>
      <c r="H4" s="44"/>
      <c r="I4" s="44"/>
      <c r="J4" s="44"/>
      <c r="K4" s="44"/>
      <c r="L4" s="45"/>
      <c r="M4" s="45"/>
      <c r="N4" s="45"/>
      <c r="O4" s="45"/>
      <c r="P4" s="45"/>
      <c r="Q4" s="45"/>
    </row>
    <row r="5">
      <c r="A5" s="42">
        <v>2.0</v>
      </c>
      <c r="B5" s="41" t="s">
        <v>2067</v>
      </c>
      <c r="C5" s="46" t="s">
        <v>2068</v>
      </c>
      <c r="D5" s="46"/>
      <c r="E5" s="42"/>
      <c r="F5" s="42"/>
      <c r="G5" s="41"/>
      <c r="H5" s="41"/>
      <c r="I5" s="41"/>
      <c r="J5" s="41"/>
      <c r="K5" s="41"/>
      <c r="L5" s="42"/>
      <c r="M5" s="42"/>
      <c r="N5" s="42"/>
      <c r="O5" s="42"/>
      <c r="P5" s="42"/>
      <c r="Q5" s="42"/>
    </row>
    <row r="6">
      <c r="A6" s="45">
        <v>3.0</v>
      </c>
      <c r="B6" s="44" t="s">
        <v>2069</v>
      </c>
      <c r="C6" s="47" t="s">
        <v>2070</v>
      </c>
      <c r="D6" s="47"/>
      <c r="E6" s="45"/>
      <c r="F6" s="45"/>
      <c r="G6" s="44"/>
      <c r="H6" s="44"/>
      <c r="I6" s="44"/>
      <c r="J6" s="44"/>
      <c r="K6" s="44"/>
      <c r="L6" s="44"/>
      <c r="M6" s="44"/>
      <c r="N6" s="44"/>
      <c r="O6" s="44"/>
      <c r="P6" s="44"/>
      <c r="Q6" s="45"/>
    </row>
    <row r="7">
      <c r="A7" s="42">
        <v>4.0</v>
      </c>
      <c r="B7" s="41" t="s">
        <v>2071</v>
      </c>
      <c r="C7" s="46" t="s">
        <v>2072</v>
      </c>
      <c r="D7" s="46" t="s">
        <v>2073</v>
      </c>
      <c r="E7" s="42"/>
      <c r="F7" s="42"/>
      <c r="G7" s="41"/>
      <c r="H7" s="41"/>
      <c r="I7" s="41"/>
      <c r="J7" s="41"/>
      <c r="K7" s="41"/>
      <c r="L7" s="41"/>
      <c r="M7" s="41"/>
      <c r="N7" s="41"/>
      <c r="O7" s="41"/>
      <c r="P7" s="41"/>
      <c r="Q7" s="42"/>
    </row>
    <row r="8">
      <c r="A8" s="45">
        <v>5.0</v>
      </c>
      <c r="B8" s="44" t="s">
        <v>2074</v>
      </c>
      <c r="C8" s="47" t="s">
        <v>2075</v>
      </c>
      <c r="D8" s="47"/>
      <c r="E8" s="45"/>
      <c r="F8" s="45"/>
      <c r="G8" s="44"/>
      <c r="H8" s="44"/>
      <c r="I8" s="44"/>
      <c r="J8" s="44"/>
      <c r="K8" s="44"/>
      <c r="L8" s="44"/>
      <c r="M8" s="44"/>
      <c r="N8" s="44"/>
      <c r="O8" s="44"/>
      <c r="P8" s="44"/>
      <c r="Q8" s="45"/>
    </row>
    <row r="9">
      <c r="A9" s="42">
        <v>6.0</v>
      </c>
      <c r="B9" s="42" t="s">
        <v>2076</v>
      </c>
      <c r="C9" s="46" t="s">
        <v>2077</v>
      </c>
      <c r="D9" s="46"/>
      <c r="E9" s="42"/>
      <c r="F9" s="42"/>
      <c r="G9" s="41"/>
      <c r="H9" s="41"/>
      <c r="I9" s="41"/>
      <c r="J9" s="41"/>
      <c r="K9" s="41"/>
      <c r="L9" s="41"/>
      <c r="M9" s="41"/>
      <c r="N9" s="41"/>
      <c r="O9" s="41"/>
      <c r="P9" s="41"/>
      <c r="Q9" s="42"/>
    </row>
    <row r="10">
      <c r="A10" s="45">
        <v>7.0</v>
      </c>
      <c r="B10" s="44" t="s">
        <v>2078</v>
      </c>
      <c r="C10" s="47" t="s">
        <v>2079</v>
      </c>
      <c r="D10" s="47"/>
      <c r="E10" s="45"/>
      <c r="F10" s="45"/>
      <c r="G10" s="44"/>
      <c r="H10" s="44"/>
      <c r="I10" s="44"/>
      <c r="J10" s="44"/>
      <c r="K10" s="44"/>
      <c r="L10" s="44"/>
      <c r="M10" s="44"/>
      <c r="N10" s="45"/>
      <c r="O10" s="45"/>
      <c r="P10" s="45"/>
      <c r="Q10" s="45"/>
    </row>
    <row r="11">
      <c r="A11" s="42">
        <v>8.0</v>
      </c>
      <c r="B11" s="41" t="s">
        <v>2080</v>
      </c>
      <c r="C11" s="46" t="s">
        <v>2081</v>
      </c>
      <c r="D11" s="46"/>
      <c r="E11" s="42"/>
      <c r="F11" s="42"/>
      <c r="G11" s="41"/>
      <c r="H11" s="41"/>
      <c r="I11" s="41"/>
      <c r="J11" s="41"/>
      <c r="K11" s="41"/>
      <c r="L11" s="42"/>
      <c r="M11" s="42"/>
      <c r="N11" s="42"/>
      <c r="O11" s="42"/>
      <c r="P11" s="42"/>
      <c r="Q11" s="42"/>
    </row>
    <row r="12">
      <c r="A12" s="45">
        <v>9.0</v>
      </c>
      <c r="B12" s="44" t="s">
        <v>2082</v>
      </c>
      <c r="C12" s="47" t="s">
        <v>2083</v>
      </c>
      <c r="D12" s="47"/>
      <c r="E12" s="45"/>
      <c r="F12" s="45"/>
      <c r="G12" s="44"/>
      <c r="H12" s="44"/>
      <c r="I12" s="44"/>
      <c r="J12" s="44"/>
      <c r="K12" s="44"/>
      <c r="L12" s="45"/>
      <c r="M12" s="45"/>
      <c r="N12" s="45"/>
      <c r="O12" s="45"/>
      <c r="P12" s="44"/>
      <c r="Q12" s="45"/>
    </row>
    <row r="13">
      <c r="A13" s="42">
        <v>10.0</v>
      </c>
      <c r="B13" s="42" t="s">
        <v>2084</v>
      </c>
      <c r="C13" s="46" t="s">
        <v>2085</v>
      </c>
      <c r="D13" s="46"/>
      <c r="E13" s="42"/>
      <c r="F13" s="42"/>
      <c r="G13" s="41"/>
      <c r="H13" s="41"/>
      <c r="I13" s="41"/>
      <c r="J13" s="41"/>
      <c r="K13" s="41"/>
      <c r="L13" s="42"/>
      <c r="M13" s="42"/>
      <c r="N13" s="42"/>
      <c r="O13" s="42"/>
      <c r="P13" s="41"/>
      <c r="Q13" s="42"/>
    </row>
    <row r="14">
      <c r="A14" s="45">
        <v>11.0</v>
      </c>
      <c r="B14" s="44" t="s">
        <v>2086</v>
      </c>
      <c r="C14" s="47" t="s">
        <v>2087</v>
      </c>
      <c r="D14" s="47"/>
      <c r="E14" s="45"/>
      <c r="F14" s="45"/>
      <c r="G14" s="44"/>
      <c r="H14" s="44"/>
      <c r="I14" s="44"/>
      <c r="J14" s="44"/>
      <c r="K14" s="44"/>
      <c r="L14" s="44"/>
      <c r="M14" s="44"/>
      <c r="N14" s="45"/>
      <c r="O14" s="45"/>
      <c r="P14" s="45"/>
      <c r="Q14" s="45"/>
    </row>
    <row r="15">
      <c r="A15" s="42">
        <v>12.0</v>
      </c>
      <c r="B15" s="41" t="s">
        <v>2088</v>
      </c>
      <c r="C15" s="46" t="s">
        <v>2089</v>
      </c>
      <c r="D15" s="46"/>
      <c r="E15" s="42"/>
      <c r="F15" s="42"/>
      <c r="G15" s="41"/>
      <c r="H15" s="41"/>
      <c r="I15" s="41"/>
      <c r="J15" s="41"/>
      <c r="K15" s="41"/>
      <c r="L15" s="42"/>
      <c r="M15" s="42"/>
      <c r="N15" s="42"/>
      <c r="O15" s="42"/>
      <c r="P15" s="41"/>
      <c r="Q15" s="42"/>
    </row>
    <row r="16">
      <c r="A16" s="45">
        <v>13.0</v>
      </c>
      <c r="B16" s="44" t="s">
        <v>2090</v>
      </c>
      <c r="C16" s="47" t="s">
        <v>2091</v>
      </c>
      <c r="D16" s="47"/>
      <c r="E16" s="45"/>
      <c r="F16" s="45"/>
      <c r="G16" s="44"/>
      <c r="H16" s="44"/>
      <c r="I16" s="44"/>
      <c r="J16" s="44"/>
      <c r="K16" s="44"/>
      <c r="L16" s="45"/>
      <c r="M16" s="45"/>
      <c r="N16" s="45"/>
      <c r="O16" s="45"/>
      <c r="P16" s="45"/>
      <c r="Q16" s="45"/>
    </row>
    <row r="17">
      <c r="A17" s="42">
        <v>14.0</v>
      </c>
      <c r="B17" s="42" t="s">
        <v>2092</v>
      </c>
      <c r="C17" s="46" t="s">
        <v>2093</v>
      </c>
      <c r="D17" s="46"/>
      <c r="E17" s="42"/>
      <c r="F17" s="42"/>
      <c r="G17" s="41"/>
      <c r="H17" s="41"/>
      <c r="I17" s="41"/>
      <c r="J17" s="41"/>
      <c r="K17" s="41"/>
      <c r="L17" s="42"/>
      <c r="M17" s="42"/>
      <c r="N17" s="42"/>
      <c r="O17" s="42"/>
      <c r="P17" s="42"/>
      <c r="Q17" s="42"/>
    </row>
    <row r="18">
      <c r="A18" s="45">
        <v>15.0</v>
      </c>
      <c r="B18" s="44" t="s">
        <v>2094</v>
      </c>
      <c r="C18" s="47" t="s">
        <v>2095</v>
      </c>
      <c r="D18" s="47"/>
      <c r="E18" s="45"/>
      <c r="F18" s="45"/>
      <c r="G18" s="44"/>
      <c r="H18" s="44"/>
      <c r="I18" s="44"/>
      <c r="J18" s="44"/>
      <c r="K18" s="44"/>
      <c r="L18" s="45"/>
      <c r="M18" s="45"/>
      <c r="N18" s="45"/>
      <c r="O18" s="45"/>
      <c r="P18" s="45"/>
      <c r="Q18" s="45"/>
    </row>
    <row r="19">
      <c r="A19" s="42">
        <v>16.0</v>
      </c>
      <c r="B19" s="41" t="s">
        <v>2096</v>
      </c>
      <c r="C19" s="46" t="s">
        <v>2097</v>
      </c>
      <c r="D19" s="46"/>
      <c r="E19" s="42"/>
      <c r="F19" s="42"/>
      <c r="G19" s="41"/>
      <c r="H19" s="41"/>
      <c r="I19" s="41"/>
      <c r="J19" s="41"/>
      <c r="K19" s="41"/>
      <c r="L19" s="42"/>
      <c r="M19" s="42"/>
      <c r="N19" s="42"/>
      <c r="O19" s="42"/>
      <c r="P19" s="42"/>
      <c r="Q19" s="42"/>
    </row>
    <row r="20">
      <c r="A20" s="45">
        <v>17.0</v>
      </c>
      <c r="B20" s="44" t="s">
        <v>2098</v>
      </c>
      <c r="C20" s="47" t="s">
        <v>2099</v>
      </c>
      <c r="D20" s="47"/>
      <c r="E20" s="45"/>
      <c r="F20" s="45"/>
      <c r="G20" s="44"/>
      <c r="H20" s="44"/>
      <c r="I20" s="44"/>
      <c r="J20" s="44"/>
      <c r="K20" s="44"/>
      <c r="L20" s="45"/>
      <c r="M20" s="45"/>
      <c r="N20" s="45"/>
      <c r="O20" s="45"/>
      <c r="P20" s="45"/>
      <c r="Q20" s="45"/>
    </row>
    <row r="21">
      <c r="A21" s="42">
        <v>18.0</v>
      </c>
      <c r="B21" s="42" t="s">
        <v>2100</v>
      </c>
      <c r="C21" s="46" t="s">
        <v>2101</v>
      </c>
      <c r="D21" s="46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</row>
    <row r="22">
      <c r="A22" s="45">
        <v>19.0</v>
      </c>
      <c r="B22" s="45" t="s">
        <v>2102</v>
      </c>
      <c r="C22" s="47" t="s">
        <v>2103</v>
      </c>
      <c r="D22" s="47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</row>
    <row r="23">
      <c r="A23" s="42">
        <v>20.0</v>
      </c>
      <c r="B23" s="42" t="s">
        <v>2104</v>
      </c>
      <c r="C23" s="46" t="s">
        <v>2105</v>
      </c>
      <c r="D23" s="46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</row>
    <row r="24">
      <c r="A24" s="45">
        <v>21.0</v>
      </c>
      <c r="B24" s="45" t="s">
        <v>2106</v>
      </c>
      <c r="C24" s="47" t="s">
        <v>2107</v>
      </c>
      <c r="D24" s="47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</row>
    <row r="25">
      <c r="A25" s="42">
        <v>22.0</v>
      </c>
      <c r="B25" s="42" t="s">
        <v>2108</v>
      </c>
      <c r="C25" s="46" t="s">
        <v>2109</v>
      </c>
      <c r="D25" s="46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</row>
    <row r="26">
      <c r="A26" s="44">
        <v>23.0</v>
      </c>
      <c r="B26" s="44" t="s">
        <v>2110</v>
      </c>
      <c r="C26" s="48" t="s">
        <v>2111</v>
      </c>
      <c r="D26" s="47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</row>
    <row r="27">
      <c r="A27" s="42"/>
      <c r="B27" s="42"/>
      <c r="C27" s="42"/>
      <c r="D27" s="46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</row>
    <row r="28">
      <c r="A28" s="45"/>
      <c r="B28" s="45"/>
      <c r="C28" s="45"/>
      <c r="D28" s="47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</row>
    <row r="29">
      <c r="A29" s="42"/>
      <c r="B29" s="42"/>
      <c r="C29" s="42"/>
      <c r="D29" s="46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</row>
    <row r="30">
      <c r="A30" s="45"/>
      <c r="B30" s="45"/>
      <c r="C30" s="45"/>
      <c r="D30" s="47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</row>
    <row r="31">
      <c r="A31" s="42"/>
      <c r="B31" s="42"/>
      <c r="C31" s="42"/>
      <c r="D31" s="46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</row>
    <row r="32">
      <c r="A32" s="45"/>
      <c r="B32" s="45"/>
      <c r="C32" s="45"/>
      <c r="D32" s="47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</row>
    <row r="33">
      <c r="A33" s="42"/>
      <c r="B33" s="42"/>
      <c r="C33" s="42"/>
      <c r="D33" s="46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</row>
    <row r="34">
      <c r="A34" s="45"/>
      <c r="B34" s="45"/>
      <c r="C34" s="45"/>
      <c r="D34" s="47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</row>
    <row r="35">
      <c r="A35" s="42"/>
      <c r="B35" s="42"/>
      <c r="C35" s="42"/>
      <c r="D35" s="46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</row>
    <row r="36">
      <c r="A36" s="45"/>
      <c r="B36" s="45"/>
      <c r="C36" s="45"/>
      <c r="D36" s="47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</row>
    <row r="37">
      <c r="A37" s="42"/>
      <c r="B37" s="42"/>
      <c r="C37" s="42"/>
      <c r="D37" s="46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</row>
    <row r="38">
      <c r="A38" s="45"/>
      <c r="B38" s="45"/>
      <c r="C38" s="45"/>
      <c r="D38" s="47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</row>
    <row r="39">
      <c r="A39" s="42"/>
      <c r="B39" s="42"/>
      <c r="C39" s="42"/>
      <c r="D39" s="46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</row>
    <row r="40">
      <c r="A40" s="45"/>
      <c r="B40" s="45"/>
      <c r="C40" s="45"/>
      <c r="D40" s="47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</row>
    <row r="41">
      <c r="A41" s="42"/>
      <c r="B41" s="42"/>
      <c r="C41" s="42"/>
      <c r="D41" s="46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</row>
    <row r="42">
      <c r="A42" s="45"/>
      <c r="B42" s="45"/>
      <c r="C42" s="45"/>
      <c r="D42" s="47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</row>
    <row r="43">
      <c r="A43" s="42"/>
      <c r="B43" s="42"/>
      <c r="C43" s="42"/>
      <c r="D43" s="46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</row>
    <row r="44">
      <c r="A44" s="45"/>
      <c r="B44" s="45"/>
      <c r="C44" s="45"/>
      <c r="D44" s="47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</row>
    <row r="45">
      <c r="A45" s="42"/>
      <c r="B45" s="42"/>
      <c r="C45" s="42"/>
      <c r="D45" s="46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</row>
    <row r="46">
      <c r="A46" s="45"/>
      <c r="B46" s="45"/>
      <c r="C46" s="45"/>
      <c r="D46" s="47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</row>
    <row r="47">
      <c r="A47" s="42"/>
      <c r="B47" s="42"/>
      <c r="C47" s="42"/>
      <c r="D47" s="46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</row>
    <row r="48">
      <c r="A48" s="45"/>
      <c r="B48" s="45"/>
      <c r="C48" s="45"/>
      <c r="D48" s="47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</row>
    <row r="49">
      <c r="A49" s="42"/>
      <c r="B49" s="42"/>
      <c r="C49" s="42"/>
      <c r="D49" s="46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</row>
    <row r="50">
      <c r="A50" s="45"/>
      <c r="B50" s="45"/>
      <c r="C50" s="45"/>
      <c r="D50" s="47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</row>
    <row r="51">
      <c r="A51" s="42"/>
      <c r="B51" s="42"/>
      <c r="C51" s="42"/>
      <c r="D51" s="46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</row>
    <row r="52">
      <c r="A52" s="45"/>
      <c r="B52" s="45"/>
      <c r="C52" s="45"/>
      <c r="D52" s="47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</row>
    <row r="53">
      <c r="A53" s="42"/>
      <c r="B53" s="42"/>
      <c r="C53" s="42"/>
      <c r="D53" s="46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</row>
    <row r="54">
      <c r="A54" s="45"/>
      <c r="B54" s="45"/>
      <c r="C54" s="45"/>
      <c r="D54" s="47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</row>
    <row r="55">
      <c r="A55" s="42"/>
      <c r="B55" s="42"/>
      <c r="C55" s="42"/>
      <c r="D55" s="46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</row>
    <row r="56">
      <c r="A56" s="45"/>
      <c r="B56" s="45"/>
      <c r="C56" s="45"/>
      <c r="D56" s="47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</row>
    <row r="57">
      <c r="A57" s="42"/>
      <c r="B57" s="42"/>
      <c r="C57" s="42"/>
      <c r="D57" s="46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</row>
    <row r="58">
      <c r="A58" s="45"/>
      <c r="B58" s="45"/>
      <c r="C58" s="45"/>
      <c r="D58" s="47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</row>
    <row r="59">
      <c r="A59" s="42"/>
      <c r="B59" s="42"/>
      <c r="C59" s="42"/>
      <c r="D59" s="46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</row>
    <row r="60">
      <c r="A60" s="45"/>
      <c r="B60" s="45"/>
      <c r="C60" s="45"/>
      <c r="D60" s="47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</row>
    <row r="61">
      <c r="A61" s="42"/>
      <c r="B61" s="42"/>
      <c r="C61" s="42"/>
      <c r="D61" s="46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</row>
    <row r="62">
      <c r="A62" s="45"/>
      <c r="B62" s="45"/>
      <c r="C62" s="45"/>
      <c r="D62" s="47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</row>
    <row r="63">
      <c r="A63" s="42"/>
      <c r="B63" s="42"/>
      <c r="C63" s="42"/>
      <c r="D63" s="46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</row>
    <row r="64">
      <c r="A64" s="45"/>
      <c r="B64" s="45"/>
      <c r="C64" s="45"/>
      <c r="D64" s="47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</row>
    <row r="65">
      <c r="A65" s="42"/>
      <c r="B65" s="42"/>
      <c r="C65" s="42"/>
      <c r="D65" s="46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</row>
    <row r="66">
      <c r="A66" s="45"/>
      <c r="B66" s="45"/>
      <c r="C66" s="45"/>
      <c r="D66" s="47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</row>
    <row r="67">
      <c r="A67" s="42"/>
      <c r="B67" s="42"/>
      <c r="C67" s="42"/>
      <c r="D67" s="46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</row>
    <row r="68">
      <c r="A68" s="45"/>
      <c r="B68" s="45"/>
      <c r="C68" s="45"/>
      <c r="D68" s="47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</row>
    <row r="69">
      <c r="A69" s="42"/>
      <c r="B69" s="42"/>
      <c r="C69" s="42"/>
      <c r="D69" s="46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</row>
    <row r="70">
      <c r="A70" s="45"/>
      <c r="B70" s="45"/>
      <c r="C70" s="45"/>
      <c r="D70" s="47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</row>
    <row r="71">
      <c r="A71" s="42"/>
      <c r="B71" s="42"/>
      <c r="C71" s="42"/>
      <c r="D71" s="46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</row>
    <row r="72">
      <c r="A72" s="45"/>
      <c r="B72" s="45"/>
      <c r="C72" s="45"/>
      <c r="D72" s="47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</row>
    <row r="73">
      <c r="A73" s="42"/>
      <c r="B73" s="42"/>
      <c r="C73" s="42"/>
      <c r="D73" s="46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</row>
    <row r="74">
      <c r="A74" s="45"/>
      <c r="B74" s="45"/>
      <c r="C74" s="45"/>
      <c r="D74" s="47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</row>
    <row r="75">
      <c r="A75" s="42"/>
      <c r="B75" s="42"/>
      <c r="C75" s="42"/>
      <c r="D75" s="46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</row>
    <row r="76">
      <c r="A76" s="45"/>
      <c r="B76" s="45"/>
      <c r="C76" s="45"/>
      <c r="D76" s="47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</row>
    <row r="77">
      <c r="A77" s="42"/>
      <c r="B77" s="42"/>
      <c r="C77" s="42"/>
      <c r="D77" s="46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</row>
    <row r="78">
      <c r="A78" s="45"/>
      <c r="B78" s="45"/>
      <c r="C78" s="45"/>
      <c r="D78" s="47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</row>
    <row r="79">
      <c r="A79" s="42"/>
      <c r="B79" s="42"/>
      <c r="C79" s="42"/>
      <c r="D79" s="46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</row>
    <row r="80">
      <c r="A80" s="45"/>
      <c r="B80" s="45"/>
      <c r="C80" s="45"/>
      <c r="D80" s="47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</row>
    <row r="81">
      <c r="A81" s="42"/>
      <c r="B81" s="42"/>
      <c r="C81" s="42"/>
      <c r="D81" s="46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</row>
    <row r="82">
      <c r="A82" s="45"/>
      <c r="B82" s="45"/>
      <c r="C82" s="45"/>
      <c r="D82" s="47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</row>
    <row r="83">
      <c r="A83" s="42"/>
      <c r="B83" s="42"/>
      <c r="C83" s="42"/>
      <c r="D83" s="46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</row>
    <row r="84">
      <c r="A84" s="45"/>
      <c r="B84" s="45"/>
      <c r="C84" s="45"/>
      <c r="D84" s="47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</row>
    <row r="85">
      <c r="A85" s="42"/>
      <c r="B85" s="42"/>
      <c r="C85" s="42"/>
      <c r="D85" s="46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</row>
    <row r="86">
      <c r="A86" s="45"/>
      <c r="B86" s="45"/>
      <c r="C86" s="45"/>
      <c r="D86" s="47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</row>
    <row r="87">
      <c r="A87" s="42"/>
      <c r="B87" s="42"/>
      <c r="C87" s="42"/>
      <c r="D87" s="46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</row>
    <row r="88">
      <c r="A88" s="45"/>
      <c r="B88" s="45"/>
      <c r="C88" s="45"/>
      <c r="D88" s="47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</row>
    <row r="89">
      <c r="A89" s="42"/>
      <c r="B89" s="42"/>
      <c r="C89" s="42"/>
      <c r="D89" s="46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</row>
    <row r="90">
      <c r="A90" s="45"/>
      <c r="B90" s="45"/>
      <c r="C90" s="45"/>
      <c r="D90" s="47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</row>
    <row r="91">
      <c r="A91" s="42"/>
      <c r="B91" s="42"/>
      <c r="C91" s="42"/>
      <c r="D91" s="46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</row>
    <row r="92">
      <c r="A92" s="45"/>
      <c r="B92" s="45"/>
      <c r="C92" s="45"/>
      <c r="D92" s="47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</row>
    <row r="93">
      <c r="A93" s="42"/>
      <c r="B93" s="42"/>
      <c r="C93" s="42"/>
      <c r="D93" s="46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</row>
    <row r="94">
      <c r="A94" s="45"/>
      <c r="B94" s="45"/>
      <c r="C94" s="45"/>
      <c r="D94" s="47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</row>
    <row r="95">
      <c r="A95" s="42"/>
      <c r="B95" s="42"/>
      <c r="C95" s="42"/>
      <c r="D95" s="46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</row>
    <row r="96">
      <c r="A96" s="45"/>
      <c r="B96" s="45"/>
      <c r="C96" s="45"/>
      <c r="D96" s="47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</row>
    <row r="97">
      <c r="A97" s="42"/>
      <c r="B97" s="42"/>
      <c r="C97" s="42"/>
      <c r="D97" s="46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</row>
    <row r="98">
      <c r="A98" s="45"/>
      <c r="B98" s="45"/>
      <c r="C98" s="45"/>
      <c r="D98" s="47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</row>
    <row r="99">
      <c r="A99" s="42"/>
      <c r="B99" s="42"/>
      <c r="C99" s="42"/>
      <c r="D99" s="46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</row>
    <row r="100">
      <c r="A100" s="45"/>
      <c r="B100" s="45"/>
      <c r="C100" s="45"/>
      <c r="D100" s="47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</row>
    <row r="101">
      <c r="A101" s="42"/>
      <c r="B101" s="42"/>
      <c r="C101" s="42"/>
      <c r="D101" s="46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</row>
    <row r="102">
      <c r="A102" s="45"/>
      <c r="B102" s="45"/>
      <c r="C102" s="45"/>
      <c r="D102" s="47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</row>
    <row r="103">
      <c r="A103" s="42"/>
      <c r="B103" s="42"/>
      <c r="C103" s="42"/>
      <c r="D103" s="46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</row>
    <row r="104">
      <c r="A104" s="45"/>
      <c r="B104" s="45"/>
      <c r="C104" s="45"/>
      <c r="D104" s="47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</row>
    <row r="105">
      <c r="A105" s="42"/>
      <c r="B105" s="42"/>
      <c r="C105" s="42"/>
      <c r="D105" s="46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</row>
    <row r="106">
      <c r="A106" s="45"/>
      <c r="B106" s="45"/>
      <c r="C106" s="45"/>
      <c r="D106" s="47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</row>
    <row r="107">
      <c r="A107" s="42"/>
      <c r="B107" s="42"/>
      <c r="C107" s="42"/>
      <c r="D107" s="46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</row>
    <row r="108">
      <c r="A108" s="45"/>
      <c r="B108" s="45"/>
      <c r="C108" s="45"/>
      <c r="D108" s="47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</row>
    <row r="109">
      <c r="A109" s="42"/>
      <c r="B109" s="42"/>
      <c r="C109" s="42"/>
      <c r="D109" s="46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</row>
    <row r="110">
      <c r="A110" s="45"/>
      <c r="B110" s="45"/>
      <c r="C110" s="45"/>
      <c r="D110" s="47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</row>
    <row r="111">
      <c r="A111" s="42"/>
      <c r="B111" s="42"/>
      <c r="C111" s="42"/>
      <c r="D111" s="46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</row>
    <row r="112">
      <c r="A112" s="45"/>
      <c r="B112" s="45"/>
      <c r="C112" s="45"/>
      <c r="D112" s="47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</row>
    <row r="113">
      <c r="A113" s="42"/>
      <c r="B113" s="42"/>
      <c r="C113" s="42"/>
      <c r="D113" s="46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</row>
    <row r="114">
      <c r="A114" s="45"/>
      <c r="B114" s="45"/>
      <c r="C114" s="45"/>
      <c r="D114" s="47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</row>
    <row r="115">
      <c r="A115" s="42"/>
      <c r="B115" s="42"/>
      <c r="C115" s="42"/>
      <c r="D115" s="46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</row>
    <row r="116">
      <c r="A116" s="45"/>
      <c r="B116" s="45"/>
      <c r="C116" s="45"/>
      <c r="D116" s="47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</row>
    <row r="117">
      <c r="A117" s="42"/>
      <c r="B117" s="42"/>
      <c r="C117" s="42"/>
      <c r="D117" s="46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</row>
    <row r="118">
      <c r="A118" s="45"/>
      <c r="B118" s="45"/>
      <c r="C118" s="45"/>
      <c r="D118" s="47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</row>
    <row r="119">
      <c r="A119" s="42"/>
      <c r="B119" s="42"/>
      <c r="C119" s="42"/>
      <c r="D119" s="46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</row>
    <row r="120">
      <c r="A120" s="45"/>
      <c r="B120" s="45"/>
      <c r="C120" s="45"/>
      <c r="D120" s="47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</row>
    <row r="121">
      <c r="A121" s="42"/>
      <c r="B121" s="42"/>
      <c r="C121" s="42"/>
      <c r="D121" s="46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</row>
    <row r="122">
      <c r="A122" s="45"/>
      <c r="B122" s="45"/>
      <c r="C122" s="45"/>
      <c r="D122" s="47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</row>
    <row r="123">
      <c r="A123" s="42"/>
      <c r="B123" s="42"/>
      <c r="C123" s="42"/>
      <c r="D123" s="46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</row>
    <row r="124">
      <c r="A124" s="45"/>
      <c r="B124" s="45"/>
      <c r="C124" s="45"/>
      <c r="D124" s="47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</row>
    <row r="125">
      <c r="A125" s="42"/>
      <c r="B125" s="42"/>
      <c r="C125" s="42"/>
      <c r="D125" s="46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</row>
    <row r="126">
      <c r="A126" s="45"/>
      <c r="B126" s="45"/>
      <c r="C126" s="45"/>
      <c r="D126" s="47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</row>
    <row r="127">
      <c r="A127" s="42"/>
      <c r="B127" s="42"/>
      <c r="C127" s="42"/>
      <c r="D127" s="46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</row>
    <row r="128">
      <c r="A128" s="45"/>
      <c r="B128" s="45"/>
      <c r="C128" s="45"/>
      <c r="D128" s="47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</row>
    <row r="129">
      <c r="A129" s="42"/>
      <c r="B129" s="42"/>
      <c r="C129" s="42"/>
      <c r="D129" s="46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</row>
    <row r="130">
      <c r="A130" s="45"/>
      <c r="B130" s="45"/>
      <c r="C130" s="45"/>
      <c r="D130" s="47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</row>
    <row r="131">
      <c r="A131" s="42"/>
      <c r="B131" s="42"/>
      <c r="C131" s="42"/>
      <c r="D131" s="46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</row>
    <row r="132">
      <c r="A132" s="45"/>
      <c r="B132" s="45"/>
      <c r="C132" s="45"/>
      <c r="D132" s="47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</row>
    <row r="133">
      <c r="A133" s="42"/>
      <c r="B133" s="42"/>
      <c r="C133" s="42"/>
      <c r="D133" s="46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</row>
    <row r="134">
      <c r="A134" s="45"/>
      <c r="B134" s="45"/>
      <c r="C134" s="45"/>
      <c r="D134" s="47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</row>
    <row r="135">
      <c r="A135" s="42"/>
      <c r="B135" s="42"/>
      <c r="C135" s="42"/>
      <c r="D135" s="46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</row>
    <row r="136">
      <c r="A136" s="45"/>
      <c r="B136" s="45"/>
      <c r="C136" s="45"/>
      <c r="D136" s="47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</row>
    <row r="137">
      <c r="A137" s="42"/>
      <c r="B137" s="42"/>
      <c r="C137" s="42"/>
      <c r="D137" s="46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</row>
    <row r="138">
      <c r="A138" s="45"/>
      <c r="B138" s="45"/>
      <c r="C138" s="45"/>
      <c r="D138" s="47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</row>
    <row r="139">
      <c r="A139" s="42"/>
      <c r="B139" s="42"/>
      <c r="C139" s="42"/>
      <c r="D139" s="46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</row>
    <row r="140">
      <c r="A140" s="45"/>
      <c r="B140" s="45"/>
      <c r="C140" s="45"/>
      <c r="D140" s="47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</row>
    <row r="141">
      <c r="A141" s="42"/>
      <c r="B141" s="42"/>
      <c r="C141" s="42"/>
      <c r="D141" s="46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</row>
    <row r="142">
      <c r="A142" s="45"/>
      <c r="B142" s="45"/>
      <c r="C142" s="45"/>
      <c r="D142" s="47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</row>
    <row r="143">
      <c r="A143" s="42"/>
      <c r="B143" s="42"/>
      <c r="C143" s="42"/>
      <c r="D143" s="46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</row>
    <row r="144">
      <c r="A144" s="45"/>
      <c r="B144" s="45"/>
      <c r="C144" s="45"/>
      <c r="D144" s="47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</row>
    <row r="145">
      <c r="A145" s="42"/>
      <c r="B145" s="42"/>
      <c r="C145" s="42"/>
      <c r="D145" s="46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</row>
    <row r="146">
      <c r="A146" s="45"/>
      <c r="B146" s="45"/>
      <c r="C146" s="45"/>
      <c r="D146" s="47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</row>
    <row r="147">
      <c r="A147" s="42"/>
      <c r="B147" s="42"/>
      <c r="C147" s="42"/>
      <c r="D147" s="46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</row>
    <row r="148">
      <c r="A148" s="45"/>
      <c r="B148" s="45"/>
      <c r="C148" s="45"/>
      <c r="D148" s="47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</row>
    <row r="149">
      <c r="A149" s="42"/>
      <c r="B149" s="42"/>
      <c r="C149" s="42"/>
      <c r="D149" s="46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</row>
    <row r="150">
      <c r="A150" s="45"/>
      <c r="B150" s="45"/>
      <c r="C150" s="45"/>
      <c r="D150" s="47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</row>
    <row r="151">
      <c r="A151" s="42"/>
      <c r="B151" s="42"/>
      <c r="C151" s="42"/>
      <c r="D151" s="46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</row>
    <row r="152">
      <c r="A152" s="45"/>
      <c r="B152" s="45"/>
      <c r="C152" s="45"/>
      <c r="D152" s="47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</row>
    <row r="153">
      <c r="A153" s="42"/>
      <c r="B153" s="42"/>
      <c r="C153" s="42"/>
      <c r="D153" s="46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</row>
    <row r="154">
      <c r="A154" s="45"/>
      <c r="B154" s="45"/>
      <c r="C154" s="45"/>
      <c r="D154" s="47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</row>
    <row r="155">
      <c r="A155" s="42"/>
      <c r="B155" s="42"/>
      <c r="C155" s="42"/>
      <c r="D155" s="46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</row>
    <row r="156">
      <c r="A156" s="45"/>
      <c r="B156" s="45"/>
      <c r="C156" s="45"/>
      <c r="D156" s="47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</row>
    <row r="157">
      <c r="A157" s="42"/>
      <c r="B157" s="42"/>
      <c r="C157" s="42"/>
      <c r="D157" s="46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</row>
    <row r="158">
      <c r="A158" s="45"/>
      <c r="B158" s="45"/>
      <c r="C158" s="45"/>
      <c r="D158" s="47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</row>
    <row r="159">
      <c r="A159" s="42"/>
      <c r="B159" s="42"/>
      <c r="C159" s="42"/>
      <c r="D159" s="46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</row>
    <row r="160">
      <c r="A160" s="45"/>
      <c r="B160" s="45"/>
      <c r="C160" s="45"/>
      <c r="D160" s="47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</row>
    <row r="161">
      <c r="A161" s="42"/>
      <c r="B161" s="42"/>
      <c r="C161" s="42"/>
      <c r="D161" s="46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</row>
    <row r="162">
      <c r="A162" s="45"/>
      <c r="B162" s="45"/>
      <c r="C162" s="45"/>
      <c r="D162" s="47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</row>
    <row r="163">
      <c r="A163" s="42"/>
      <c r="B163" s="42"/>
      <c r="C163" s="42"/>
      <c r="D163" s="46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</row>
    <row r="164">
      <c r="A164" s="45"/>
      <c r="B164" s="45"/>
      <c r="C164" s="45"/>
      <c r="D164" s="47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</row>
    <row r="165">
      <c r="A165" s="42"/>
      <c r="B165" s="42"/>
      <c r="C165" s="42"/>
      <c r="D165" s="46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</row>
    <row r="166">
      <c r="A166" s="45"/>
      <c r="B166" s="45"/>
      <c r="C166" s="45"/>
      <c r="D166" s="47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</row>
    <row r="167">
      <c r="A167" s="42"/>
      <c r="B167" s="42"/>
      <c r="C167" s="42"/>
      <c r="D167" s="46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</row>
    <row r="168">
      <c r="A168" s="45"/>
      <c r="B168" s="45"/>
      <c r="C168" s="45"/>
      <c r="D168" s="47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</row>
    <row r="169">
      <c r="A169" s="42"/>
      <c r="B169" s="42"/>
      <c r="C169" s="42"/>
      <c r="D169" s="46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</row>
    <row r="170">
      <c r="A170" s="45"/>
      <c r="B170" s="45"/>
      <c r="C170" s="45"/>
      <c r="D170" s="47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</row>
    <row r="171">
      <c r="A171" s="42"/>
      <c r="B171" s="42"/>
      <c r="C171" s="42"/>
      <c r="D171" s="46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</row>
    <row r="172">
      <c r="A172" s="45"/>
      <c r="B172" s="45"/>
      <c r="C172" s="45"/>
      <c r="D172" s="47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</row>
    <row r="173">
      <c r="A173" s="42"/>
      <c r="B173" s="42"/>
      <c r="C173" s="42"/>
      <c r="D173" s="46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</row>
    <row r="174">
      <c r="A174" s="45"/>
      <c r="B174" s="45"/>
      <c r="C174" s="45"/>
      <c r="D174" s="47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</row>
    <row r="175">
      <c r="A175" s="42"/>
      <c r="B175" s="42"/>
      <c r="C175" s="42"/>
      <c r="D175" s="46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</row>
    <row r="176">
      <c r="A176" s="45"/>
      <c r="B176" s="45"/>
      <c r="C176" s="45"/>
      <c r="D176" s="47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</row>
    <row r="177">
      <c r="A177" s="42"/>
      <c r="B177" s="42"/>
      <c r="C177" s="42"/>
      <c r="D177" s="46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</row>
    <row r="178">
      <c r="A178" s="45"/>
      <c r="B178" s="45"/>
      <c r="C178" s="45"/>
      <c r="D178" s="47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</row>
    <row r="179">
      <c r="A179" s="42"/>
      <c r="B179" s="42"/>
      <c r="C179" s="42"/>
      <c r="D179" s="46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</row>
    <row r="180">
      <c r="A180" s="45"/>
      <c r="B180" s="45"/>
      <c r="C180" s="45"/>
      <c r="D180" s="47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</row>
    <row r="181">
      <c r="A181" s="42"/>
      <c r="B181" s="42"/>
      <c r="C181" s="42"/>
      <c r="D181" s="46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</row>
    <row r="182">
      <c r="A182" s="45"/>
      <c r="B182" s="45"/>
      <c r="C182" s="45"/>
      <c r="D182" s="47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</row>
    <row r="183">
      <c r="A183" s="42"/>
      <c r="B183" s="42"/>
      <c r="C183" s="42"/>
      <c r="D183" s="46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</row>
    <row r="184">
      <c r="A184" s="45"/>
      <c r="B184" s="45"/>
      <c r="C184" s="45"/>
      <c r="D184" s="47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</row>
    <row r="185">
      <c r="A185" s="42"/>
      <c r="B185" s="42"/>
      <c r="C185" s="42"/>
      <c r="D185" s="46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</row>
    <row r="186">
      <c r="A186" s="45"/>
      <c r="B186" s="45"/>
      <c r="C186" s="45"/>
      <c r="D186" s="47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</row>
    <row r="187">
      <c r="A187" s="42"/>
      <c r="B187" s="42"/>
      <c r="C187" s="42"/>
      <c r="D187" s="46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</row>
    <row r="188">
      <c r="A188" s="45"/>
      <c r="B188" s="45"/>
      <c r="C188" s="45"/>
      <c r="D188" s="47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</row>
    <row r="189">
      <c r="A189" s="42"/>
      <c r="B189" s="42"/>
      <c r="C189" s="42"/>
      <c r="D189" s="46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</row>
    <row r="190">
      <c r="A190" s="45"/>
      <c r="B190" s="45"/>
      <c r="C190" s="45"/>
      <c r="D190" s="47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</row>
    <row r="191">
      <c r="A191" s="42"/>
      <c r="B191" s="42"/>
      <c r="C191" s="42"/>
      <c r="D191" s="46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</row>
    <row r="192">
      <c r="A192" s="45"/>
      <c r="B192" s="45"/>
      <c r="C192" s="45"/>
      <c r="D192" s="47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</row>
    <row r="193">
      <c r="A193" s="42"/>
      <c r="B193" s="42"/>
      <c r="C193" s="42"/>
      <c r="D193" s="46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</row>
    <row r="194">
      <c r="A194" s="45"/>
      <c r="B194" s="45"/>
      <c r="C194" s="45"/>
      <c r="D194" s="47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</row>
    <row r="195">
      <c r="A195" s="42"/>
      <c r="B195" s="42"/>
      <c r="C195" s="42"/>
      <c r="D195" s="46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</row>
    <row r="196">
      <c r="A196" s="45"/>
      <c r="B196" s="45"/>
      <c r="C196" s="45"/>
      <c r="D196" s="47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</row>
    <row r="197">
      <c r="A197" s="42"/>
      <c r="B197" s="42"/>
      <c r="C197" s="42"/>
      <c r="D197" s="46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</row>
    <row r="198">
      <c r="A198" s="45"/>
      <c r="B198" s="45"/>
      <c r="C198" s="45"/>
      <c r="D198" s="47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</row>
    <row r="199">
      <c r="A199" s="42"/>
      <c r="B199" s="42"/>
      <c r="C199" s="42"/>
      <c r="D199" s="46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</row>
    <row r="200">
      <c r="A200" s="45"/>
      <c r="B200" s="45"/>
      <c r="C200" s="45"/>
      <c r="D200" s="47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</row>
    <row r="201">
      <c r="A201" s="42"/>
      <c r="B201" s="42"/>
      <c r="C201" s="42"/>
      <c r="D201" s="46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</row>
    <row r="202">
      <c r="A202" s="45"/>
      <c r="B202" s="45"/>
      <c r="C202" s="45"/>
      <c r="D202" s="47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</row>
    <row r="203">
      <c r="A203" s="42"/>
      <c r="B203" s="42"/>
      <c r="C203" s="42"/>
      <c r="D203" s="46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</row>
    <row r="204">
      <c r="A204" s="45"/>
      <c r="B204" s="45"/>
      <c r="C204" s="45"/>
      <c r="D204" s="47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</row>
    <row r="205">
      <c r="A205" s="42"/>
      <c r="B205" s="42"/>
      <c r="C205" s="42"/>
      <c r="D205" s="46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</row>
    <row r="206">
      <c r="A206" s="45"/>
      <c r="B206" s="45"/>
      <c r="C206" s="45"/>
      <c r="D206" s="47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</row>
    <row r="207">
      <c r="A207" s="42"/>
      <c r="B207" s="42"/>
      <c r="C207" s="42"/>
      <c r="D207" s="46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</row>
    <row r="208">
      <c r="A208" s="45"/>
      <c r="B208" s="45"/>
      <c r="C208" s="45"/>
      <c r="D208" s="47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</row>
    <row r="209">
      <c r="A209" s="42"/>
      <c r="B209" s="42"/>
      <c r="C209" s="42"/>
      <c r="D209" s="46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</row>
    <row r="210">
      <c r="A210" s="45"/>
      <c r="B210" s="45"/>
      <c r="C210" s="45"/>
      <c r="D210" s="47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</row>
    <row r="211">
      <c r="A211" s="42"/>
      <c r="B211" s="42"/>
      <c r="C211" s="42"/>
      <c r="D211" s="46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</row>
    <row r="212">
      <c r="A212" s="45"/>
      <c r="B212" s="45"/>
      <c r="C212" s="45"/>
      <c r="D212" s="47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</row>
    <row r="213">
      <c r="A213" s="42"/>
      <c r="B213" s="42"/>
      <c r="C213" s="42"/>
      <c r="D213" s="46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</row>
    <row r="214">
      <c r="A214" s="45"/>
      <c r="B214" s="45"/>
      <c r="C214" s="45"/>
      <c r="D214" s="47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</row>
    <row r="215">
      <c r="A215" s="42"/>
      <c r="B215" s="42"/>
      <c r="C215" s="42"/>
      <c r="D215" s="46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</row>
    <row r="216">
      <c r="A216" s="45"/>
      <c r="B216" s="45"/>
      <c r="C216" s="45"/>
      <c r="D216" s="47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</row>
    <row r="217">
      <c r="A217" s="42"/>
      <c r="B217" s="42"/>
      <c r="C217" s="42"/>
      <c r="D217" s="46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</row>
    <row r="218">
      <c r="A218" s="45"/>
      <c r="B218" s="45"/>
      <c r="C218" s="45"/>
      <c r="D218" s="47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</row>
    <row r="219">
      <c r="A219" s="42"/>
      <c r="B219" s="42"/>
      <c r="C219" s="42"/>
      <c r="D219" s="46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</row>
    <row r="220">
      <c r="A220" s="45"/>
      <c r="B220" s="45"/>
      <c r="C220" s="45"/>
      <c r="D220" s="47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</row>
    <row r="221">
      <c r="A221" s="42"/>
      <c r="B221" s="42"/>
      <c r="C221" s="42"/>
      <c r="D221" s="46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</row>
    <row r="222">
      <c r="A222" s="45"/>
      <c r="B222" s="45"/>
      <c r="C222" s="45"/>
      <c r="D222" s="47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</row>
    <row r="223">
      <c r="A223" s="42"/>
      <c r="B223" s="42"/>
      <c r="C223" s="42"/>
      <c r="D223" s="46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</row>
    <row r="224">
      <c r="A224" s="45"/>
      <c r="B224" s="45"/>
      <c r="C224" s="45"/>
      <c r="D224" s="47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</row>
    <row r="225">
      <c r="A225" s="42"/>
      <c r="B225" s="42"/>
      <c r="C225" s="42"/>
      <c r="D225" s="46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</row>
    <row r="226">
      <c r="A226" s="45"/>
      <c r="B226" s="45"/>
      <c r="C226" s="45"/>
      <c r="D226" s="47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</row>
    <row r="227">
      <c r="A227" s="42"/>
      <c r="B227" s="42"/>
      <c r="C227" s="42"/>
      <c r="D227" s="46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</row>
    <row r="228">
      <c r="A228" s="45"/>
      <c r="B228" s="45"/>
      <c r="C228" s="45"/>
      <c r="D228" s="47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</row>
    <row r="229">
      <c r="A229" s="42"/>
      <c r="B229" s="42"/>
      <c r="C229" s="42"/>
      <c r="D229" s="46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</row>
    <row r="230">
      <c r="A230" s="45"/>
      <c r="B230" s="45"/>
      <c r="C230" s="45"/>
      <c r="D230" s="47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</row>
    <row r="231">
      <c r="A231" s="42"/>
      <c r="B231" s="42"/>
      <c r="C231" s="42"/>
      <c r="D231" s="46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</row>
    <row r="232">
      <c r="A232" s="45"/>
      <c r="B232" s="45"/>
      <c r="C232" s="45"/>
      <c r="D232" s="47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</row>
    <row r="233">
      <c r="A233" s="42"/>
      <c r="B233" s="42"/>
      <c r="C233" s="42"/>
      <c r="D233" s="46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</row>
    <row r="234">
      <c r="A234" s="45"/>
      <c r="B234" s="45"/>
      <c r="C234" s="45"/>
      <c r="D234" s="47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</row>
    <row r="235">
      <c r="A235" s="42"/>
      <c r="B235" s="42"/>
      <c r="C235" s="42"/>
      <c r="D235" s="46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</row>
    <row r="236">
      <c r="A236" s="45"/>
      <c r="B236" s="45"/>
      <c r="C236" s="45"/>
      <c r="D236" s="47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</row>
    <row r="237">
      <c r="A237" s="42"/>
      <c r="B237" s="42"/>
      <c r="C237" s="42"/>
      <c r="D237" s="46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</row>
    <row r="238">
      <c r="A238" s="45"/>
      <c r="B238" s="45"/>
      <c r="C238" s="45"/>
      <c r="D238" s="47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</row>
    <row r="239">
      <c r="A239" s="42"/>
      <c r="B239" s="42"/>
      <c r="C239" s="42"/>
      <c r="D239" s="46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</row>
    <row r="240">
      <c r="A240" s="45"/>
      <c r="B240" s="45"/>
      <c r="C240" s="45"/>
      <c r="D240" s="47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</row>
    <row r="241">
      <c r="A241" s="42"/>
      <c r="B241" s="42"/>
      <c r="C241" s="42"/>
      <c r="D241" s="46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</row>
    <row r="242">
      <c r="A242" s="45"/>
      <c r="B242" s="45"/>
      <c r="C242" s="45"/>
      <c r="D242" s="47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</row>
    <row r="243">
      <c r="A243" s="42"/>
      <c r="B243" s="42"/>
      <c r="C243" s="42"/>
      <c r="D243" s="46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</row>
    <row r="244">
      <c r="A244" s="45"/>
      <c r="B244" s="45"/>
      <c r="C244" s="45"/>
      <c r="D244" s="47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</row>
    <row r="245">
      <c r="A245" s="42"/>
      <c r="B245" s="42"/>
      <c r="C245" s="42"/>
      <c r="D245" s="46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</row>
    <row r="246">
      <c r="A246" s="45"/>
      <c r="B246" s="45"/>
      <c r="C246" s="45"/>
      <c r="D246" s="47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</row>
    <row r="247">
      <c r="A247" s="42"/>
      <c r="B247" s="42"/>
      <c r="C247" s="42"/>
      <c r="D247" s="46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</row>
    <row r="248">
      <c r="A248" s="45"/>
      <c r="B248" s="45"/>
      <c r="C248" s="45"/>
      <c r="D248" s="47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</row>
    <row r="249">
      <c r="A249" s="42"/>
      <c r="B249" s="42"/>
      <c r="C249" s="42"/>
      <c r="D249" s="46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</row>
    <row r="250">
      <c r="A250" s="45"/>
      <c r="B250" s="45"/>
      <c r="C250" s="45"/>
      <c r="D250" s="47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</row>
    <row r="251">
      <c r="A251" s="42"/>
      <c r="B251" s="42"/>
      <c r="C251" s="42"/>
      <c r="D251" s="46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</row>
    <row r="252">
      <c r="A252" s="45"/>
      <c r="B252" s="45"/>
      <c r="C252" s="45"/>
      <c r="D252" s="47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</row>
    <row r="253">
      <c r="A253" s="42"/>
      <c r="B253" s="42"/>
      <c r="C253" s="42"/>
      <c r="D253" s="46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</row>
    <row r="254">
      <c r="A254" s="45"/>
      <c r="B254" s="45"/>
      <c r="C254" s="45"/>
      <c r="D254" s="47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</row>
    <row r="255">
      <c r="A255" s="42"/>
      <c r="B255" s="42"/>
      <c r="C255" s="42"/>
      <c r="D255" s="46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</row>
    <row r="256">
      <c r="A256" s="45"/>
      <c r="B256" s="45"/>
      <c r="C256" s="45"/>
      <c r="D256" s="47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</row>
    <row r="257">
      <c r="A257" s="42"/>
      <c r="B257" s="42"/>
      <c r="C257" s="42"/>
      <c r="D257" s="46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</row>
    <row r="258">
      <c r="A258" s="45"/>
      <c r="B258" s="45"/>
      <c r="C258" s="45"/>
      <c r="D258" s="47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</row>
    <row r="259">
      <c r="A259" s="42"/>
      <c r="B259" s="42"/>
      <c r="C259" s="42"/>
      <c r="D259" s="46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</row>
    <row r="260">
      <c r="A260" s="45"/>
      <c r="B260" s="45"/>
      <c r="C260" s="45"/>
      <c r="D260" s="47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</row>
    <row r="261">
      <c r="A261" s="42"/>
      <c r="B261" s="42"/>
      <c r="C261" s="42"/>
      <c r="D261" s="46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</row>
    <row r="262">
      <c r="A262" s="45"/>
      <c r="B262" s="45"/>
      <c r="C262" s="45"/>
      <c r="D262" s="47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</row>
    <row r="263">
      <c r="A263" s="42"/>
      <c r="B263" s="42"/>
      <c r="C263" s="42"/>
      <c r="D263" s="46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</row>
    <row r="264">
      <c r="A264" s="45"/>
      <c r="B264" s="45"/>
      <c r="C264" s="45"/>
      <c r="D264" s="47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</row>
    <row r="265">
      <c r="A265" s="42"/>
      <c r="B265" s="42"/>
      <c r="C265" s="42"/>
      <c r="D265" s="46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</row>
    <row r="266">
      <c r="A266" s="45"/>
      <c r="B266" s="45"/>
      <c r="C266" s="45"/>
      <c r="D266" s="47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</row>
    <row r="267">
      <c r="A267" s="42"/>
      <c r="B267" s="42"/>
      <c r="C267" s="42"/>
      <c r="D267" s="46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</row>
    <row r="268">
      <c r="A268" s="45"/>
      <c r="B268" s="45"/>
      <c r="C268" s="45"/>
      <c r="D268" s="47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</row>
    <row r="269">
      <c r="A269" s="42"/>
      <c r="B269" s="42"/>
      <c r="C269" s="42"/>
      <c r="D269" s="46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</row>
    <row r="270">
      <c r="A270" s="45"/>
      <c r="B270" s="45"/>
      <c r="C270" s="45"/>
      <c r="D270" s="47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</row>
    <row r="271">
      <c r="A271" s="42"/>
      <c r="B271" s="42"/>
      <c r="C271" s="42"/>
      <c r="D271" s="46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</row>
    <row r="272">
      <c r="A272" s="45"/>
      <c r="B272" s="45"/>
      <c r="C272" s="45"/>
      <c r="D272" s="47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</row>
    <row r="273">
      <c r="A273" s="42"/>
      <c r="B273" s="42"/>
      <c r="C273" s="42"/>
      <c r="D273" s="46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</row>
    <row r="274">
      <c r="A274" s="45"/>
      <c r="B274" s="45"/>
      <c r="C274" s="45"/>
      <c r="D274" s="47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</row>
    <row r="275">
      <c r="A275" s="42"/>
      <c r="B275" s="42"/>
      <c r="C275" s="42"/>
      <c r="D275" s="46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</row>
    <row r="276">
      <c r="A276" s="45"/>
      <c r="B276" s="45"/>
      <c r="C276" s="45"/>
      <c r="D276" s="47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</row>
    <row r="277">
      <c r="A277" s="42"/>
      <c r="B277" s="42"/>
      <c r="C277" s="42"/>
      <c r="D277" s="46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</row>
    <row r="278">
      <c r="A278" s="45"/>
      <c r="B278" s="45"/>
      <c r="C278" s="45"/>
      <c r="D278" s="47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</row>
    <row r="279">
      <c r="A279" s="42"/>
      <c r="B279" s="42"/>
      <c r="C279" s="42"/>
      <c r="D279" s="46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</row>
    <row r="280">
      <c r="A280" s="45"/>
      <c r="B280" s="45"/>
      <c r="C280" s="45"/>
      <c r="D280" s="47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</row>
    <row r="281">
      <c r="A281" s="42"/>
      <c r="B281" s="42"/>
      <c r="C281" s="42"/>
      <c r="D281" s="46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</row>
    <row r="282">
      <c r="A282" s="45"/>
      <c r="B282" s="45"/>
      <c r="C282" s="45"/>
      <c r="D282" s="47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</row>
    <row r="283">
      <c r="A283" s="42"/>
      <c r="B283" s="42"/>
      <c r="C283" s="42"/>
      <c r="D283" s="46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</row>
    <row r="284">
      <c r="A284" s="45"/>
      <c r="B284" s="45"/>
      <c r="C284" s="45"/>
      <c r="D284" s="47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</row>
    <row r="285">
      <c r="A285" s="42"/>
      <c r="B285" s="42"/>
      <c r="C285" s="42"/>
      <c r="D285" s="46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</row>
    <row r="286">
      <c r="A286" s="45"/>
      <c r="B286" s="45"/>
      <c r="C286" s="45"/>
      <c r="D286" s="47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</row>
    <row r="287">
      <c r="A287" s="42"/>
      <c r="B287" s="42"/>
      <c r="C287" s="42"/>
      <c r="D287" s="46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</row>
    <row r="288">
      <c r="A288" s="45"/>
      <c r="B288" s="45"/>
      <c r="C288" s="45"/>
      <c r="D288" s="47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</row>
    <row r="289">
      <c r="A289" s="42"/>
      <c r="B289" s="42"/>
      <c r="C289" s="42"/>
      <c r="D289" s="46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</row>
    <row r="290">
      <c r="A290" s="45"/>
      <c r="B290" s="45"/>
      <c r="C290" s="45"/>
      <c r="D290" s="47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</row>
    <row r="291">
      <c r="A291" s="42"/>
      <c r="B291" s="42"/>
      <c r="C291" s="42"/>
      <c r="D291" s="46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</row>
    <row r="292">
      <c r="A292" s="45"/>
      <c r="B292" s="45"/>
      <c r="C292" s="45"/>
      <c r="D292" s="47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</row>
    <row r="293">
      <c r="A293" s="42"/>
      <c r="B293" s="42"/>
      <c r="C293" s="42"/>
      <c r="D293" s="46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</row>
    <row r="294">
      <c r="A294" s="45"/>
      <c r="B294" s="45"/>
      <c r="C294" s="45"/>
      <c r="D294" s="47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</row>
    <row r="295">
      <c r="A295" s="42"/>
      <c r="B295" s="42"/>
      <c r="C295" s="42"/>
      <c r="D295" s="46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</row>
    <row r="296">
      <c r="A296" s="45"/>
      <c r="B296" s="45"/>
      <c r="C296" s="45"/>
      <c r="D296" s="47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</row>
    <row r="297">
      <c r="A297" s="42"/>
      <c r="B297" s="42"/>
      <c r="C297" s="42"/>
      <c r="D297" s="46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</row>
    <row r="298">
      <c r="A298" s="45"/>
      <c r="B298" s="45"/>
      <c r="C298" s="45"/>
      <c r="D298" s="47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</row>
    <row r="299">
      <c r="A299" s="42"/>
      <c r="B299" s="42"/>
      <c r="C299" s="42"/>
      <c r="D299" s="46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</row>
    <row r="300">
      <c r="A300" s="45"/>
      <c r="B300" s="45"/>
      <c r="C300" s="45"/>
      <c r="D300" s="47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</row>
    <row r="301">
      <c r="A301" s="42"/>
      <c r="B301" s="42"/>
      <c r="C301" s="42"/>
      <c r="D301" s="46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</row>
    <row r="302">
      <c r="A302" s="45"/>
      <c r="B302" s="45"/>
      <c r="C302" s="45"/>
      <c r="D302" s="47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</row>
    <row r="303">
      <c r="A303" s="42"/>
      <c r="B303" s="42"/>
      <c r="C303" s="42"/>
      <c r="D303" s="46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</row>
    <row r="304">
      <c r="A304" s="45"/>
      <c r="B304" s="45"/>
      <c r="C304" s="45"/>
      <c r="D304" s="47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</row>
    <row r="305">
      <c r="A305" s="42"/>
      <c r="B305" s="42"/>
      <c r="C305" s="42"/>
      <c r="D305" s="46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</row>
    <row r="306">
      <c r="A306" s="45"/>
      <c r="B306" s="45"/>
      <c r="C306" s="45"/>
      <c r="D306" s="47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</row>
    <row r="307">
      <c r="A307" s="42"/>
      <c r="B307" s="42"/>
      <c r="C307" s="42"/>
      <c r="D307" s="46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</row>
    <row r="308">
      <c r="A308" s="45"/>
      <c r="B308" s="45"/>
      <c r="C308" s="45"/>
      <c r="D308" s="47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</row>
    <row r="309">
      <c r="A309" s="42"/>
      <c r="B309" s="42"/>
      <c r="C309" s="42"/>
      <c r="D309" s="46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</row>
    <row r="310">
      <c r="A310" s="45"/>
      <c r="B310" s="45"/>
      <c r="C310" s="45"/>
      <c r="D310" s="47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</row>
    <row r="311">
      <c r="A311" s="42"/>
      <c r="B311" s="42"/>
      <c r="C311" s="42"/>
      <c r="D311" s="46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</row>
    <row r="312">
      <c r="A312" s="45"/>
      <c r="B312" s="45"/>
      <c r="C312" s="45"/>
      <c r="D312" s="47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</row>
    <row r="313">
      <c r="A313" s="42"/>
      <c r="B313" s="42"/>
      <c r="C313" s="42"/>
      <c r="D313" s="46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</row>
    <row r="314">
      <c r="A314" s="45"/>
      <c r="B314" s="45"/>
      <c r="C314" s="45"/>
      <c r="D314" s="47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</row>
    <row r="315">
      <c r="A315" s="42"/>
      <c r="B315" s="42"/>
      <c r="C315" s="42"/>
      <c r="D315" s="46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</row>
    <row r="316">
      <c r="A316" s="45"/>
      <c r="B316" s="45"/>
      <c r="C316" s="45"/>
      <c r="D316" s="47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</row>
    <row r="317">
      <c r="A317" s="42"/>
      <c r="B317" s="42"/>
      <c r="C317" s="42"/>
      <c r="D317" s="46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</row>
    <row r="318">
      <c r="A318" s="45"/>
      <c r="B318" s="45"/>
      <c r="C318" s="45"/>
      <c r="D318" s="47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</row>
    <row r="319">
      <c r="A319" s="42"/>
      <c r="B319" s="42"/>
      <c r="C319" s="42"/>
      <c r="D319" s="46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</row>
    <row r="320">
      <c r="A320" s="45"/>
      <c r="B320" s="45"/>
      <c r="C320" s="45"/>
      <c r="D320" s="47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</row>
    <row r="321">
      <c r="A321" s="42"/>
      <c r="B321" s="42"/>
      <c r="C321" s="42"/>
      <c r="D321" s="46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</row>
    <row r="322">
      <c r="A322" s="45"/>
      <c r="B322" s="45"/>
      <c r="C322" s="45"/>
      <c r="D322" s="47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</row>
    <row r="323">
      <c r="A323" s="42"/>
      <c r="B323" s="42"/>
      <c r="C323" s="42"/>
      <c r="D323" s="46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</row>
    <row r="324">
      <c r="A324" s="45"/>
      <c r="B324" s="45"/>
      <c r="C324" s="45"/>
      <c r="D324" s="47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</row>
    <row r="325">
      <c r="A325" s="42"/>
      <c r="B325" s="42"/>
      <c r="C325" s="42"/>
      <c r="D325" s="46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</row>
    <row r="326">
      <c r="A326" s="45"/>
      <c r="B326" s="45"/>
      <c r="C326" s="45"/>
      <c r="D326" s="47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</row>
    <row r="327">
      <c r="A327" s="42"/>
      <c r="B327" s="42"/>
      <c r="C327" s="42"/>
      <c r="D327" s="46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</row>
    <row r="328">
      <c r="A328" s="45"/>
      <c r="B328" s="45"/>
      <c r="C328" s="45"/>
      <c r="D328" s="47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</row>
    <row r="329">
      <c r="A329" s="42"/>
      <c r="B329" s="42"/>
      <c r="C329" s="42"/>
      <c r="D329" s="46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</row>
    <row r="330">
      <c r="A330" s="45"/>
      <c r="B330" s="45"/>
      <c r="C330" s="45"/>
      <c r="D330" s="47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</row>
    <row r="331">
      <c r="A331" s="42"/>
      <c r="B331" s="42"/>
      <c r="C331" s="42"/>
      <c r="D331" s="46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</row>
    <row r="332">
      <c r="A332" s="45"/>
      <c r="B332" s="45"/>
      <c r="C332" s="45"/>
      <c r="D332" s="47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</row>
    <row r="333">
      <c r="A333" s="42"/>
      <c r="B333" s="42"/>
      <c r="C333" s="42"/>
      <c r="D333" s="46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</row>
    <row r="334">
      <c r="A334" s="45"/>
      <c r="B334" s="45"/>
      <c r="C334" s="45"/>
      <c r="D334" s="47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</row>
    <row r="335">
      <c r="A335" s="42"/>
      <c r="B335" s="42"/>
      <c r="C335" s="42"/>
      <c r="D335" s="46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</row>
    <row r="336">
      <c r="A336" s="45"/>
      <c r="B336" s="45"/>
      <c r="C336" s="45"/>
      <c r="D336" s="47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</row>
    <row r="337">
      <c r="A337" s="42"/>
      <c r="B337" s="42"/>
      <c r="C337" s="42"/>
      <c r="D337" s="46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</row>
    <row r="338">
      <c r="A338" s="45"/>
      <c r="B338" s="45"/>
      <c r="C338" s="45"/>
      <c r="D338" s="47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</row>
    <row r="339">
      <c r="A339" s="42"/>
      <c r="B339" s="42"/>
      <c r="C339" s="42"/>
      <c r="D339" s="46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</row>
    <row r="340">
      <c r="A340" s="45"/>
      <c r="B340" s="45"/>
      <c r="C340" s="45"/>
      <c r="D340" s="47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</row>
    <row r="341">
      <c r="A341" s="42"/>
      <c r="B341" s="42"/>
      <c r="C341" s="42"/>
      <c r="D341" s="46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</row>
    <row r="342">
      <c r="A342" s="45"/>
      <c r="B342" s="45"/>
      <c r="C342" s="45"/>
      <c r="D342" s="47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</row>
    <row r="343">
      <c r="A343" s="42"/>
      <c r="B343" s="42"/>
      <c r="C343" s="42"/>
      <c r="D343" s="46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</row>
    <row r="344">
      <c r="A344" s="45"/>
      <c r="B344" s="45"/>
      <c r="C344" s="45"/>
      <c r="D344" s="47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</row>
    <row r="345">
      <c r="A345" s="42"/>
      <c r="B345" s="42"/>
      <c r="C345" s="42"/>
      <c r="D345" s="46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</row>
    <row r="346">
      <c r="A346" s="45"/>
      <c r="B346" s="45"/>
      <c r="C346" s="45"/>
      <c r="D346" s="47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</row>
    <row r="347">
      <c r="A347" s="42"/>
      <c r="B347" s="42"/>
      <c r="C347" s="42"/>
      <c r="D347" s="46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</row>
    <row r="348">
      <c r="A348" s="45"/>
      <c r="B348" s="45"/>
      <c r="C348" s="45"/>
      <c r="D348" s="47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</row>
    <row r="349">
      <c r="A349" s="42"/>
      <c r="B349" s="42"/>
      <c r="C349" s="42"/>
      <c r="D349" s="46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</row>
    <row r="350">
      <c r="A350" s="45"/>
      <c r="B350" s="45"/>
      <c r="C350" s="45"/>
      <c r="D350" s="47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</row>
    <row r="351">
      <c r="A351" s="42"/>
      <c r="B351" s="42"/>
      <c r="C351" s="42"/>
      <c r="D351" s="46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</row>
    <row r="352">
      <c r="A352" s="45"/>
      <c r="B352" s="45"/>
      <c r="C352" s="45"/>
      <c r="D352" s="47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</row>
    <row r="353">
      <c r="A353" s="42"/>
      <c r="B353" s="42"/>
      <c r="C353" s="42"/>
      <c r="D353" s="46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</row>
    <row r="354">
      <c r="A354" s="45"/>
      <c r="B354" s="45"/>
      <c r="C354" s="45"/>
      <c r="D354" s="47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</row>
    <row r="355">
      <c r="A355" s="42"/>
      <c r="B355" s="42"/>
      <c r="C355" s="42"/>
      <c r="D355" s="46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</row>
    <row r="356">
      <c r="A356" s="45"/>
      <c r="B356" s="45"/>
      <c r="C356" s="45"/>
      <c r="D356" s="47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</row>
    <row r="357">
      <c r="A357" s="42"/>
      <c r="B357" s="42"/>
      <c r="C357" s="42"/>
      <c r="D357" s="46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</row>
    <row r="358">
      <c r="A358" s="45"/>
      <c r="B358" s="45"/>
      <c r="C358" s="45"/>
      <c r="D358" s="47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</row>
    <row r="359">
      <c r="A359" s="42"/>
      <c r="B359" s="42"/>
      <c r="C359" s="42"/>
      <c r="D359" s="46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</row>
    <row r="360">
      <c r="A360" s="45"/>
      <c r="B360" s="45"/>
      <c r="C360" s="45"/>
      <c r="D360" s="47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</row>
    <row r="361">
      <c r="A361" s="42"/>
      <c r="B361" s="42"/>
      <c r="C361" s="42"/>
      <c r="D361" s="46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</row>
    <row r="362">
      <c r="A362" s="45"/>
      <c r="B362" s="45"/>
      <c r="C362" s="45"/>
      <c r="D362" s="47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</row>
    <row r="363">
      <c r="A363" s="42"/>
      <c r="B363" s="42"/>
      <c r="C363" s="42"/>
      <c r="D363" s="46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</row>
    <row r="364">
      <c r="A364" s="45"/>
      <c r="B364" s="45"/>
      <c r="C364" s="45"/>
      <c r="D364" s="47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</row>
    <row r="365">
      <c r="A365" s="42"/>
      <c r="B365" s="42"/>
      <c r="C365" s="42"/>
      <c r="D365" s="46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</row>
    <row r="366">
      <c r="A366" s="45"/>
      <c r="B366" s="45"/>
      <c r="C366" s="45"/>
      <c r="D366" s="47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</row>
    <row r="367">
      <c r="A367" s="42"/>
      <c r="B367" s="42"/>
      <c r="C367" s="42"/>
      <c r="D367" s="46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</row>
    <row r="368">
      <c r="A368" s="45"/>
      <c r="B368" s="45"/>
      <c r="C368" s="45"/>
      <c r="D368" s="47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</row>
    <row r="369">
      <c r="A369" s="42"/>
      <c r="B369" s="42"/>
      <c r="C369" s="42"/>
      <c r="D369" s="46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</row>
    <row r="370">
      <c r="A370" s="45"/>
      <c r="B370" s="45"/>
      <c r="C370" s="45"/>
      <c r="D370" s="47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</row>
    <row r="371">
      <c r="A371" s="42"/>
      <c r="B371" s="42"/>
      <c r="C371" s="42"/>
      <c r="D371" s="46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</row>
    <row r="372">
      <c r="A372" s="45"/>
      <c r="B372" s="45"/>
      <c r="C372" s="45"/>
      <c r="D372" s="47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</row>
    <row r="373">
      <c r="A373" s="42"/>
      <c r="B373" s="42"/>
      <c r="C373" s="42"/>
      <c r="D373" s="46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</row>
    <row r="374">
      <c r="A374" s="45"/>
      <c r="B374" s="45"/>
      <c r="C374" s="45"/>
      <c r="D374" s="47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</row>
    <row r="375">
      <c r="A375" s="42"/>
      <c r="B375" s="42"/>
      <c r="C375" s="42"/>
      <c r="D375" s="46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</row>
    <row r="376">
      <c r="A376" s="45"/>
      <c r="B376" s="45"/>
      <c r="C376" s="45"/>
      <c r="D376" s="47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</row>
    <row r="377">
      <c r="A377" s="42"/>
      <c r="B377" s="42"/>
      <c r="C377" s="42"/>
      <c r="D377" s="46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</row>
    <row r="378">
      <c r="A378" s="45"/>
      <c r="B378" s="45"/>
      <c r="C378" s="45"/>
      <c r="D378" s="47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</row>
    <row r="379">
      <c r="A379" s="42"/>
      <c r="B379" s="42"/>
      <c r="C379" s="42"/>
      <c r="D379" s="46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</row>
    <row r="380">
      <c r="A380" s="45"/>
      <c r="B380" s="45"/>
      <c r="C380" s="45"/>
      <c r="D380" s="47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</row>
    <row r="381">
      <c r="A381" s="42"/>
      <c r="B381" s="42"/>
      <c r="C381" s="42"/>
      <c r="D381" s="46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</row>
    <row r="382">
      <c r="A382" s="45"/>
      <c r="B382" s="45"/>
      <c r="C382" s="45"/>
      <c r="D382" s="47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</row>
    <row r="383">
      <c r="A383" s="42"/>
      <c r="B383" s="42"/>
      <c r="C383" s="42"/>
      <c r="D383" s="46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</row>
    <row r="384">
      <c r="A384" s="45"/>
      <c r="B384" s="45"/>
      <c r="C384" s="45"/>
      <c r="D384" s="47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</row>
    <row r="385">
      <c r="A385" s="42"/>
      <c r="B385" s="42"/>
      <c r="C385" s="42"/>
      <c r="D385" s="46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</row>
    <row r="386">
      <c r="A386" s="45"/>
      <c r="B386" s="45"/>
      <c r="C386" s="45"/>
      <c r="D386" s="47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</row>
    <row r="387">
      <c r="A387" s="42"/>
      <c r="B387" s="42"/>
      <c r="C387" s="42"/>
      <c r="D387" s="46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</row>
    <row r="388">
      <c r="A388" s="45"/>
      <c r="B388" s="45"/>
      <c r="C388" s="45"/>
      <c r="D388" s="47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</row>
    <row r="389">
      <c r="A389" s="42"/>
      <c r="B389" s="42"/>
      <c r="C389" s="42"/>
      <c r="D389" s="46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</row>
    <row r="390">
      <c r="A390" s="45"/>
      <c r="B390" s="45"/>
      <c r="C390" s="45"/>
      <c r="D390" s="47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</row>
    <row r="391">
      <c r="A391" s="42"/>
      <c r="B391" s="42"/>
      <c r="C391" s="42"/>
      <c r="D391" s="46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</row>
    <row r="392">
      <c r="A392" s="45"/>
      <c r="B392" s="45"/>
      <c r="C392" s="45"/>
      <c r="D392" s="47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</row>
    <row r="393">
      <c r="A393" s="42"/>
      <c r="B393" s="42"/>
      <c r="C393" s="42"/>
      <c r="D393" s="46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</row>
    <row r="394">
      <c r="A394" s="45"/>
      <c r="B394" s="45"/>
      <c r="C394" s="45"/>
      <c r="D394" s="47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</row>
    <row r="395">
      <c r="A395" s="42"/>
      <c r="B395" s="42"/>
      <c r="C395" s="42"/>
      <c r="D395" s="46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</row>
    <row r="396">
      <c r="A396" s="45"/>
      <c r="B396" s="45"/>
      <c r="C396" s="45"/>
      <c r="D396" s="47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</row>
    <row r="397">
      <c r="A397" s="42"/>
      <c r="B397" s="42"/>
      <c r="C397" s="42"/>
      <c r="D397" s="46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</row>
    <row r="398">
      <c r="A398" s="45"/>
      <c r="B398" s="45"/>
      <c r="C398" s="45"/>
      <c r="D398" s="47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</row>
    <row r="399">
      <c r="A399" s="42"/>
      <c r="B399" s="42"/>
      <c r="C399" s="42"/>
      <c r="D399" s="46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</row>
    <row r="400">
      <c r="A400" s="45"/>
      <c r="B400" s="45"/>
      <c r="C400" s="45"/>
      <c r="D400" s="47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</row>
    <row r="401">
      <c r="A401" s="42"/>
      <c r="B401" s="42"/>
      <c r="C401" s="42"/>
      <c r="D401" s="46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</row>
    <row r="402">
      <c r="A402" s="45"/>
      <c r="B402" s="45"/>
      <c r="C402" s="45"/>
      <c r="D402" s="47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</row>
    <row r="403">
      <c r="A403" s="42"/>
      <c r="B403" s="42"/>
      <c r="C403" s="42"/>
      <c r="D403" s="46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</row>
    <row r="404">
      <c r="A404" s="45"/>
      <c r="B404" s="45"/>
      <c r="C404" s="45"/>
      <c r="D404" s="47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</row>
    <row r="405">
      <c r="A405" s="42"/>
      <c r="B405" s="42"/>
      <c r="C405" s="42"/>
      <c r="D405" s="46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</row>
    <row r="406">
      <c r="A406" s="45"/>
      <c r="B406" s="45"/>
      <c r="C406" s="45"/>
      <c r="D406" s="47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</row>
    <row r="407">
      <c r="A407" s="42"/>
      <c r="B407" s="42"/>
      <c r="C407" s="42"/>
      <c r="D407" s="46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</row>
    <row r="408">
      <c r="A408" s="45"/>
      <c r="B408" s="45"/>
      <c r="C408" s="45"/>
      <c r="D408" s="47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</row>
    <row r="409">
      <c r="A409" s="42"/>
      <c r="B409" s="42"/>
      <c r="C409" s="42"/>
      <c r="D409" s="46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</row>
    <row r="410">
      <c r="A410" s="45"/>
      <c r="B410" s="45"/>
      <c r="C410" s="45"/>
      <c r="D410" s="47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</row>
    <row r="411">
      <c r="A411" s="42"/>
      <c r="B411" s="42"/>
      <c r="C411" s="42"/>
      <c r="D411" s="46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</row>
    <row r="412">
      <c r="A412" s="45"/>
      <c r="B412" s="45"/>
      <c r="C412" s="45"/>
      <c r="D412" s="47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</row>
    <row r="413">
      <c r="A413" s="42"/>
      <c r="B413" s="42"/>
      <c r="C413" s="42"/>
      <c r="D413" s="46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</row>
    <row r="414">
      <c r="A414" s="45"/>
      <c r="B414" s="45"/>
      <c r="C414" s="45"/>
      <c r="D414" s="47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</row>
    <row r="415">
      <c r="A415" s="42"/>
      <c r="B415" s="42"/>
      <c r="C415" s="42"/>
      <c r="D415" s="46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</row>
    <row r="416">
      <c r="A416" s="45"/>
      <c r="B416" s="45"/>
      <c r="C416" s="45"/>
      <c r="D416" s="47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</row>
    <row r="417">
      <c r="A417" s="42"/>
      <c r="B417" s="42"/>
      <c r="C417" s="42"/>
      <c r="D417" s="46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</row>
    <row r="418">
      <c r="A418" s="45"/>
      <c r="B418" s="45"/>
      <c r="C418" s="45"/>
      <c r="D418" s="47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</row>
    <row r="419">
      <c r="A419" s="42"/>
      <c r="B419" s="42"/>
      <c r="C419" s="42"/>
      <c r="D419" s="46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</row>
    <row r="420">
      <c r="A420" s="45"/>
      <c r="B420" s="45"/>
      <c r="C420" s="45"/>
      <c r="D420" s="47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</row>
    <row r="421">
      <c r="A421" s="42"/>
      <c r="B421" s="42"/>
      <c r="C421" s="42"/>
      <c r="D421" s="46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</row>
    <row r="422">
      <c r="A422" s="45"/>
      <c r="B422" s="45"/>
      <c r="C422" s="45"/>
      <c r="D422" s="47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</row>
    <row r="423">
      <c r="A423" s="42"/>
      <c r="B423" s="42"/>
      <c r="C423" s="42"/>
      <c r="D423" s="46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</row>
    <row r="424">
      <c r="A424" s="45"/>
      <c r="B424" s="45"/>
      <c r="C424" s="45"/>
      <c r="D424" s="47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</row>
    <row r="425">
      <c r="A425" s="42"/>
      <c r="B425" s="42"/>
      <c r="C425" s="42"/>
      <c r="D425" s="46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</row>
    <row r="426">
      <c r="A426" s="45"/>
      <c r="B426" s="45"/>
      <c r="C426" s="45"/>
      <c r="D426" s="47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</row>
    <row r="427">
      <c r="A427" s="42"/>
      <c r="B427" s="42"/>
      <c r="C427" s="42"/>
      <c r="D427" s="46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</row>
    <row r="428">
      <c r="A428" s="45"/>
      <c r="B428" s="45"/>
      <c r="C428" s="45"/>
      <c r="D428" s="47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</row>
    <row r="429">
      <c r="A429" s="42"/>
      <c r="B429" s="42"/>
      <c r="C429" s="42"/>
      <c r="D429" s="46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</row>
    <row r="430">
      <c r="A430" s="45"/>
      <c r="B430" s="45"/>
      <c r="C430" s="45"/>
      <c r="D430" s="47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</row>
    <row r="431">
      <c r="A431" s="42"/>
      <c r="B431" s="42"/>
      <c r="C431" s="42"/>
      <c r="D431" s="46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</row>
    <row r="432">
      <c r="A432" s="45"/>
      <c r="B432" s="45"/>
      <c r="C432" s="45"/>
      <c r="D432" s="47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</row>
    <row r="433">
      <c r="A433" s="42"/>
      <c r="B433" s="42"/>
      <c r="C433" s="42"/>
      <c r="D433" s="46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</row>
    <row r="434">
      <c r="A434" s="45"/>
      <c r="B434" s="45"/>
      <c r="C434" s="45"/>
      <c r="D434" s="47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</row>
    <row r="435">
      <c r="A435" s="42"/>
      <c r="B435" s="42"/>
      <c r="C435" s="42"/>
      <c r="D435" s="46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</row>
    <row r="436">
      <c r="A436" s="45"/>
      <c r="B436" s="45"/>
      <c r="C436" s="45"/>
      <c r="D436" s="47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</row>
    <row r="437">
      <c r="A437" s="42"/>
      <c r="B437" s="42"/>
      <c r="C437" s="42"/>
      <c r="D437" s="46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</row>
    <row r="438">
      <c r="A438" s="45"/>
      <c r="B438" s="45"/>
      <c r="C438" s="45"/>
      <c r="D438" s="47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</row>
    <row r="439">
      <c r="A439" s="42"/>
      <c r="B439" s="42"/>
      <c r="C439" s="42"/>
      <c r="D439" s="46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</row>
    <row r="440">
      <c r="A440" s="45"/>
      <c r="B440" s="45"/>
      <c r="C440" s="45"/>
      <c r="D440" s="47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</row>
    <row r="441">
      <c r="A441" s="42"/>
      <c r="B441" s="42"/>
      <c r="C441" s="42"/>
      <c r="D441" s="46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</row>
    <row r="442">
      <c r="A442" s="45"/>
      <c r="B442" s="45"/>
      <c r="C442" s="45"/>
      <c r="D442" s="47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</row>
    <row r="443">
      <c r="A443" s="42"/>
      <c r="B443" s="42"/>
      <c r="C443" s="42"/>
      <c r="D443" s="46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</row>
    <row r="444">
      <c r="A444" s="45"/>
      <c r="B444" s="45"/>
      <c r="C444" s="45"/>
      <c r="D444" s="47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</row>
    <row r="445">
      <c r="A445" s="42"/>
      <c r="B445" s="42"/>
      <c r="C445" s="42"/>
      <c r="D445" s="46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</row>
    <row r="446">
      <c r="A446" s="45"/>
      <c r="B446" s="45"/>
      <c r="C446" s="45"/>
      <c r="D446" s="47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</row>
    <row r="447">
      <c r="A447" s="42"/>
      <c r="B447" s="42"/>
      <c r="C447" s="42"/>
      <c r="D447" s="46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</row>
    <row r="448">
      <c r="A448" s="45"/>
      <c r="B448" s="45"/>
      <c r="C448" s="45"/>
      <c r="D448" s="47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</row>
    <row r="449">
      <c r="A449" s="42"/>
      <c r="B449" s="42"/>
      <c r="C449" s="42"/>
      <c r="D449" s="46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</row>
    <row r="450">
      <c r="A450" s="45"/>
      <c r="B450" s="45"/>
      <c r="C450" s="45"/>
      <c r="D450" s="47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</row>
    <row r="451">
      <c r="A451" s="42"/>
      <c r="B451" s="42"/>
      <c r="C451" s="42"/>
      <c r="D451" s="46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</row>
    <row r="452">
      <c r="A452" s="45"/>
      <c r="B452" s="45"/>
      <c r="C452" s="45"/>
      <c r="D452" s="47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</row>
    <row r="453">
      <c r="A453" s="42"/>
      <c r="B453" s="42"/>
      <c r="C453" s="42"/>
      <c r="D453" s="46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</row>
    <row r="454">
      <c r="A454" s="45"/>
      <c r="B454" s="45"/>
      <c r="C454" s="45"/>
      <c r="D454" s="47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</row>
    <row r="455">
      <c r="A455" s="42"/>
      <c r="B455" s="42"/>
      <c r="C455" s="42"/>
      <c r="D455" s="46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</row>
    <row r="456">
      <c r="A456" s="45"/>
      <c r="B456" s="45"/>
      <c r="C456" s="45"/>
      <c r="D456" s="47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</row>
    <row r="457">
      <c r="A457" s="42"/>
      <c r="B457" s="42"/>
      <c r="C457" s="42"/>
      <c r="D457" s="46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</row>
    <row r="458">
      <c r="A458" s="45"/>
      <c r="B458" s="45"/>
      <c r="C458" s="45"/>
      <c r="D458" s="47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</row>
    <row r="459">
      <c r="A459" s="42"/>
      <c r="B459" s="42"/>
      <c r="C459" s="42"/>
      <c r="D459" s="46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</row>
    <row r="460">
      <c r="A460" s="45"/>
      <c r="B460" s="45"/>
      <c r="C460" s="45"/>
      <c r="D460" s="47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</row>
    <row r="461">
      <c r="A461" s="42"/>
      <c r="B461" s="42"/>
      <c r="C461" s="42"/>
      <c r="D461" s="46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</row>
    <row r="462">
      <c r="A462" s="45"/>
      <c r="B462" s="45"/>
      <c r="C462" s="45"/>
      <c r="D462" s="47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</row>
    <row r="463">
      <c r="A463" s="42"/>
      <c r="B463" s="42"/>
      <c r="C463" s="42"/>
      <c r="D463" s="46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</row>
    <row r="464">
      <c r="A464" s="45"/>
      <c r="B464" s="45"/>
      <c r="C464" s="45"/>
      <c r="D464" s="47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</row>
    <row r="465">
      <c r="A465" s="42"/>
      <c r="B465" s="42"/>
      <c r="C465" s="42"/>
      <c r="D465" s="46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</row>
    <row r="466">
      <c r="A466" s="45"/>
      <c r="B466" s="45"/>
      <c r="C466" s="45"/>
      <c r="D466" s="47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</row>
    <row r="467">
      <c r="A467" s="42"/>
      <c r="B467" s="42"/>
      <c r="C467" s="42"/>
      <c r="D467" s="46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</row>
    <row r="468">
      <c r="A468" s="45"/>
      <c r="B468" s="45"/>
      <c r="C468" s="45"/>
      <c r="D468" s="47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</row>
    <row r="469">
      <c r="A469" s="42"/>
      <c r="B469" s="42"/>
      <c r="C469" s="42"/>
      <c r="D469" s="46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</row>
    <row r="470">
      <c r="A470" s="45"/>
      <c r="B470" s="45"/>
      <c r="C470" s="45"/>
      <c r="D470" s="47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</row>
    <row r="471">
      <c r="A471" s="42"/>
      <c r="B471" s="42"/>
      <c r="C471" s="42"/>
      <c r="D471" s="46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</row>
    <row r="472">
      <c r="A472" s="45"/>
      <c r="B472" s="45"/>
      <c r="C472" s="45"/>
      <c r="D472" s="47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</row>
    <row r="473">
      <c r="A473" s="42"/>
      <c r="B473" s="42"/>
      <c r="C473" s="42"/>
      <c r="D473" s="46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</row>
    <row r="474">
      <c r="A474" s="45"/>
      <c r="B474" s="45"/>
      <c r="C474" s="45"/>
      <c r="D474" s="47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</row>
    <row r="475">
      <c r="A475" s="42"/>
      <c r="B475" s="42"/>
      <c r="C475" s="42"/>
      <c r="D475" s="46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</row>
    <row r="476">
      <c r="A476" s="45"/>
      <c r="B476" s="45"/>
      <c r="C476" s="45"/>
      <c r="D476" s="47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</row>
    <row r="477">
      <c r="A477" s="42"/>
      <c r="B477" s="42"/>
      <c r="C477" s="42"/>
      <c r="D477" s="46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</row>
    <row r="478">
      <c r="A478" s="45"/>
      <c r="B478" s="45"/>
      <c r="C478" s="45"/>
      <c r="D478" s="47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</row>
    <row r="479">
      <c r="A479" s="42"/>
      <c r="B479" s="42"/>
      <c r="C479" s="42"/>
      <c r="D479" s="46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</row>
    <row r="480">
      <c r="A480" s="45"/>
      <c r="B480" s="45"/>
      <c r="C480" s="45"/>
      <c r="D480" s="47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</row>
    <row r="481">
      <c r="A481" s="42"/>
      <c r="B481" s="42"/>
      <c r="C481" s="42"/>
      <c r="D481" s="46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</row>
    <row r="482">
      <c r="A482" s="45"/>
      <c r="B482" s="45"/>
      <c r="C482" s="45"/>
      <c r="D482" s="47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</row>
    <row r="483">
      <c r="A483" s="42"/>
      <c r="B483" s="42"/>
      <c r="C483" s="42"/>
      <c r="D483" s="46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</row>
    <row r="484">
      <c r="A484" s="45"/>
      <c r="B484" s="45"/>
      <c r="C484" s="45"/>
      <c r="D484" s="47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</row>
    <row r="485">
      <c r="A485" s="42"/>
      <c r="B485" s="42"/>
      <c r="C485" s="42"/>
      <c r="D485" s="46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</row>
    <row r="486">
      <c r="A486" s="45"/>
      <c r="B486" s="45"/>
      <c r="C486" s="45"/>
      <c r="D486" s="47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</row>
    <row r="487">
      <c r="A487" s="42"/>
      <c r="B487" s="42"/>
      <c r="C487" s="42"/>
      <c r="D487" s="46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</row>
    <row r="488">
      <c r="A488" s="45"/>
      <c r="B488" s="45"/>
      <c r="C488" s="45"/>
      <c r="D488" s="47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</row>
    <row r="489">
      <c r="A489" s="42"/>
      <c r="B489" s="42"/>
      <c r="C489" s="42"/>
      <c r="D489" s="46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</row>
    <row r="490">
      <c r="A490" s="45"/>
      <c r="B490" s="45"/>
      <c r="C490" s="45"/>
      <c r="D490" s="47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</row>
    <row r="491">
      <c r="A491" s="42"/>
      <c r="B491" s="42"/>
      <c r="C491" s="42"/>
      <c r="D491" s="46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</row>
    <row r="492">
      <c r="A492" s="45"/>
      <c r="B492" s="45"/>
      <c r="C492" s="45"/>
      <c r="D492" s="47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</row>
    <row r="493">
      <c r="A493" s="42"/>
      <c r="B493" s="42"/>
      <c r="C493" s="42"/>
      <c r="D493" s="46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</row>
    <row r="494">
      <c r="A494" s="45"/>
      <c r="B494" s="45"/>
      <c r="C494" s="45"/>
      <c r="D494" s="47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</row>
    <row r="495">
      <c r="A495" s="42"/>
      <c r="B495" s="42"/>
      <c r="C495" s="42"/>
      <c r="D495" s="46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</row>
    <row r="496">
      <c r="A496" s="45"/>
      <c r="B496" s="45"/>
      <c r="C496" s="45"/>
      <c r="D496" s="47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</row>
    <row r="497">
      <c r="A497" s="42"/>
      <c r="B497" s="42"/>
      <c r="C497" s="42"/>
      <c r="D497" s="46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</row>
    <row r="498">
      <c r="A498" s="45"/>
      <c r="B498" s="45"/>
      <c r="C498" s="45"/>
      <c r="D498" s="47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</row>
    <row r="499">
      <c r="A499" s="42"/>
      <c r="B499" s="42"/>
      <c r="C499" s="42"/>
      <c r="D499" s="46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</row>
    <row r="500">
      <c r="A500" s="45"/>
      <c r="B500" s="45"/>
      <c r="C500" s="45"/>
      <c r="D500" s="47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</row>
    <row r="501">
      <c r="A501" s="42"/>
      <c r="B501" s="42"/>
      <c r="C501" s="42"/>
      <c r="D501" s="46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</row>
    <row r="502">
      <c r="A502" s="45"/>
      <c r="B502" s="45"/>
      <c r="C502" s="45"/>
      <c r="D502" s="47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</row>
    <row r="503">
      <c r="A503" s="42"/>
      <c r="B503" s="42"/>
      <c r="C503" s="42"/>
      <c r="D503" s="46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</row>
    <row r="504">
      <c r="A504" s="45"/>
      <c r="B504" s="45"/>
      <c r="C504" s="45"/>
      <c r="D504" s="47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</row>
    <row r="505">
      <c r="A505" s="42"/>
      <c r="B505" s="42"/>
      <c r="C505" s="42"/>
      <c r="D505" s="46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</row>
    <row r="506">
      <c r="A506" s="45"/>
      <c r="B506" s="45"/>
      <c r="C506" s="45"/>
      <c r="D506" s="47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</row>
    <row r="507">
      <c r="A507" s="42"/>
      <c r="B507" s="42"/>
      <c r="C507" s="42"/>
      <c r="D507" s="46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</row>
    <row r="508">
      <c r="A508" s="45"/>
      <c r="B508" s="45"/>
      <c r="C508" s="45"/>
      <c r="D508" s="47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</row>
    <row r="509">
      <c r="A509" s="42"/>
      <c r="B509" s="42"/>
      <c r="C509" s="42"/>
      <c r="D509" s="46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</row>
    <row r="510">
      <c r="A510" s="45"/>
      <c r="B510" s="45"/>
      <c r="C510" s="45"/>
      <c r="D510" s="47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</row>
    <row r="511">
      <c r="A511" s="42"/>
      <c r="B511" s="42"/>
      <c r="C511" s="42"/>
      <c r="D511" s="46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</row>
    <row r="512">
      <c r="A512" s="45"/>
      <c r="B512" s="45"/>
      <c r="C512" s="45"/>
      <c r="D512" s="47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</row>
    <row r="513">
      <c r="A513" s="42"/>
      <c r="B513" s="42"/>
      <c r="C513" s="42"/>
      <c r="D513" s="46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</row>
    <row r="514">
      <c r="A514" s="45"/>
      <c r="B514" s="45"/>
      <c r="C514" s="45"/>
      <c r="D514" s="47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</row>
    <row r="515">
      <c r="A515" s="42"/>
      <c r="B515" s="42"/>
      <c r="C515" s="42"/>
      <c r="D515" s="46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</row>
    <row r="516">
      <c r="A516" s="45"/>
      <c r="B516" s="45"/>
      <c r="C516" s="45"/>
      <c r="D516" s="47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</row>
    <row r="517">
      <c r="A517" s="42"/>
      <c r="B517" s="42"/>
      <c r="C517" s="42"/>
      <c r="D517" s="46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</row>
    <row r="518">
      <c r="A518" s="45"/>
      <c r="B518" s="45"/>
      <c r="C518" s="45"/>
      <c r="D518" s="47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</row>
    <row r="519">
      <c r="A519" s="42"/>
      <c r="B519" s="42"/>
      <c r="C519" s="42"/>
      <c r="D519" s="46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</row>
    <row r="520">
      <c r="A520" s="45"/>
      <c r="B520" s="45"/>
      <c r="C520" s="45"/>
      <c r="D520" s="47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</row>
    <row r="521">
      <c r="A521" s="42"/>
      <c r="B521" s="42"/>
      <c r="C521" s="42"/>
      <c r="D521" s="46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</row>
    <row r="522">
      <c r="A522" s="45"/>
      <c r="B522" s="45"/>
      <c r="C522" s="45"/>
      <c r="D522" s="47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</row>
    <row r="523">
      <c r="A523" s="42"/>
      <c r="B523" s="42"/>
      <c r="C523" s="42"/>
      <c r="D523" s="46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</row>
    <row r="524">
      <c r="A524" s="45"/>
      <c r="B524" s="45"/>
      <c r="C524" s="45"/>
      <c r="D524" s="47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</row>
    <row r="525">
      <c r="A525" s="42"/>
      <c r="B525" s="42"/>
      <c r="C525" s="42"/>
      <c r="D525" s="46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</row>
    <row r="526">
      <c r="A526" s="45"/>
      <c r="B526" s="45"/>
      <c r="C526" s="45"/>
      <c r="D526" s="47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</row>
    <row r="527">
      <c r="A527" s="42"/>
      <c r="B527" s="42"/>
      <c r="C527" s="42"/>
      <c r="D527" s="46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</row>
    <row r="528">
      <c r="A528" s="45"/>
      <c r="B528" s="45"/>
      <c r="C528" s="45"/>
      <c r="D528" s="47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</row>
    <row r="529">
      <c r="A529" s="42"/>
      <c r="B529" s="42"/>
      <c r="C529" s="42"/>
      <c r="D529" s="46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</row>
    <row r="530">
      <c r="A530" s="45"/>
      <c r="B530" s="45"/>
      <c r="C530" s="45"/>
      <c r="D530" s="47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</row>
    <row r="531">
      <c r="A531" s="42"/>
      <c r="B531" s="42"/>
      <c r="C531" s="42"/>
      <c r="D531" s="46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</row>
    <row r="532">
      <c r="A532" s="45"/>
      <c r="B532" s="45"/>
      <c r="C532" s="45"/>
      <c r="D532" s="47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</row>
    <row r="533">
      <c r="A533" s="42"/>
      <c r="B533" s="42"/>
      <c r="C533" s="42"/>
      <c r="D533" s="46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</row>
    <row r="534">
      <c r="A534" s="45"/>
      <c r="B534" s="45"/>
      <c r="C534" s="45"/>
      <c r="D534" s="47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</row>
    <row r="535">
      <c r="A535" s="42"/>
      <c r="B535" s="42"/>
      <c r="C535" s="42"/>
      <c r="D535" s="46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</row>
    <row r="536">
      <c r="A536" s="45"/>
      <c r="B536" s="45"/>
      <c r="C536" s="45"/>
      <c r="D536" s="47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</row>
    <row r="537">
      <c r="A537" s="42"/>
      <c r="B537" s="42"/>
      <c r="C537" s="42"/>
      <c r="D537" s="46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</row>
    <row r="538">
      <c r="A538" s="45"/>
      <c r="B538" s="45"/>
      <c r="C538" s="45"/>
      <c r="D538" s="47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</row>
    <row r="539">
      <c r="A539" s="42"/>
      <c r="B539" s="42"/>
      <c r="C539" s="42"/>
      <c r="D539" s="46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</row>
    <row r="540">
      <c r="A540" s="45"/>
      <c r="B540" s="45"/>
      <c r="C540" s="45"/>
      <c r="D540" s="47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</row>
    <row r="541">
      <c r="A541" s="42"/>
      <c r="B541" s="42"/>
      <c r="C541" s="42"/>
      <c r="D541" s="46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</row>
    <row r="542">
      <c r="A542" s="45"/>
      <c r="B542" s="45"/>
      <c r="C542" s="45"/>
      <c r="D542" s="47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</row>
    <row r="543">
      <c r="A543" s="42"/>
      <c r="B543" s="42"/>
      <c r="C543" s="42"/>
      <c r="D543" s="46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</row>
    <row r="544">
      <c r="A544" s="45"/>
      <c r="B544" s="45"/>
      <c r="C544" s="45"/>
      <c r="D544" s="47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</row>
    <row r="545">
      <c r="A545" s="42"/>
      <c r="B545" s="42"/>
      <c r="C545" s="42"/>
      <c r="D545" s="46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</row>
    <row r="546">
      <c r="A546" s="45"/>
      <c r="B546" s="45"/>
      <c r="C546" s="45"/>
      <c r="D546" s="47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</row>
    <row r="547">
      <c r="A547" s="42"/>
      <c r="B547" s="42"/>
      <c r="C547" s="42"/>
      <c r="D547" s="46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</row>
    <row r="548">
      <c r="A548" s="45"/>
      <c r="B548" s="45"/>
      <c r="C548" s="45"/>
      <c r="D548" s="47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</row>
    <row r="549">
      <c r="A549" s="42"/>
      <c r="B549" s="42"/>
      <c r="C549" s="42"/>
      <c r="D549" s="46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</row>
    <row r="550">
      <c r="A550" s="45"/>
      <c r="B550" s="45"/>
      <c r="C550" s="45"/>
      <c r="D550" s="47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</row>
    <row r="551">
      <c r="A551" s="42"/>
      <c r="B551" s="42"/>
      <c r="C551" s="42"/>
      <c r="D551" s="46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</row>
    <row r="552">
      <c r="A552" s="45"/>
      <c r="B552" s="45"/>
      <c r="C552" s="45"/>
      <c r="D552" s="47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</row>
    <row r="553">
      <c r="A553" s="42"/>
      <c r="B553" s="42"/>
      <c r="C553" s="42"/>
      <c r="D553" s="46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</row>
    <row r="554">
      <c r="A554" s="45"/>
      <c r="B554" s="45"/>
      <c r="C554" s="45"/>
      <c r="D554" s="47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</row>
    <row r="555">
      <c r="A555" s="42"/>
      <c r="B555" s="42"/>
      <c r="C555" s="42"/>
      <c r="D555" s="46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</row>
    <row r="556">
      <c r="A556" s="45"/>
      <c r="B556" s="45"/>
      <c r="C556" s="45"/>
      <c r="D556" s="47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</row>
    <row r="557">
      <c r="A557" s="42"/>
      <c r="B557" s="42"/>
      <c r="C557" s="42"/>
      <c r="D557" s="46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</row>
    <row r="558">
      <c r="A558" s="45"/>
      <c r="B558" s="45"/>
      <c r="C558" s="45"/>
      <c r="D558" s="47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</row>
    <row r="559">
      <c r="A559" s="42"/>
      <c r="B559" s="42"/>
      <c r="C559" s="42"/>
      <c r="D559" s="46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</row>
    <row r="560">
      <c r="A560" s="45"/>
      <c r="B560" s="45"/>
      <c r="C560" s="45"/>
      <c r="D560" s="47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</row>
    <row r="561">
      <c r="A561" s="42"/>
      <c r="B561" s="42"/>
      <c r="C561" s="42"/>
      <c r="D561" s="46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</row>
    <row r="562">
      <c r="A562" s="45"/>
      <c r="B562" s="45"/>
      <c r="C562" s="45"/>
      <c r="D562" s="47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</row>
    <row r="563">
      <c r="A563" s="42"/>
      <c r="B563" s="42"/>
      <c r="C563" s="42"/>
      <c r="D563" s="46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</row>
    <row r="564">
      <c r="A564" s="45"/>
      <c r="B564" s="45"/>
      <c r="C564" s="45"/>
      <c r="D564" s="47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</row>
    <row r="565">
      <c r="A565" s="42"/>
      <c r="B565" s="42"/>
      <c r="C565" s="42"/>
      <c r="D565" s="46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</row>
    <row r="566">
      <c r="A566" s="45"/>
      <c r="B566" s="45"/>
      <c r="C566" s="45"/>
      <c r="D566" s="47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</row>
    <row r="567">
      <c r="A567" s="42"/>
      <c r="B567" s="42"/>
      <c r="C567" s="42"/>
      <c r="D567" s="46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</row>
    <row r="568">
      <c r="A568" s="45"/>
      <c r="B568" s="45"/>
      <c r="C568" s="45"/>
      <c r="D568" s="47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</row>
    <row r="569">
      <c r="A569" s="42"/>
      <c r="B569" s="42"/>
      <c r="C569" s="42"/>
      <c r="D569" s="46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</row>
    <row r="570">
      <c r="A570" s="45"/>
      <c r="B570" s="45"/>
      <c r="C570" s="45"/>
      <c r="D570" s="47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</row>
    <row r="571">
      <c r="A571" s="42"/>
      <c r="B571" s="42"/>
      <c r="C571" s="42"/>
      <c r="D571" s="46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</row>
    <row r="572">
      <c r="A572" s="45"/>
      <c r="B572" s="45"/>
      <c r="C572" s="45"/>
      <c r="D572" s="47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</row>
    <row r="573">
      <c r="A573" s="42"/>
      <c r="B573" s="42"/>
      <c r="C573" s="42"/>
      <c r="D573" s="46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</row>
    <row r="574">
      <c r="A574" s="45"/>
      <c r="B574" s="45"/>
      <c r="C574" s="45"/>
      <c r="D574" s="47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</row>
    <row r="575">
      <c r="A575" s="42"/>
      <c r="B575" s="42"/>
      <c r="C575" s="42"/>
      <c r="D575" s="46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</row>
    <row r="576">
      <c r="A576" s="45"/>
      <c r="B576" s="45"/>
      <c r="C576" s="45"/>
      <c r="D576" s="47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</row>
    <row r="577">
      <c r="A577" s="42"/>
      <c r="B577" s="42"/>
      <c r="C577" s="42"/>
      <c r="D577" s="46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</row>
    <row r="578">
      <c r="A578" s="45"/>
      <c r="B578" s="45"/>
      <c r="C578" s="45"/>
      <c r="D578" s="47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</row>
    <row r="579">
      <c r="D579" s="49"/>
    </row>
    <row r="580">
      <c r="D580" s="49"/>
    </row>
    <row r="581">
      <c r="D581" s="49"/>
    </row>
    <row r="582">
      <c r="D582" s="49"/>
    </row>
    <row r="583">
      <c r="D583" s="49"/>
    </row>
    <row r="584">
      <c r="D584" s="49"/>
    </row>
    <row r="585">
      <c r="D585" s="49"/>
    </row>
    <row r="586">
      <c r="D586" s="49"/>
    </row>
    <row r="587">
      <c r="D587" s="49"/>
    </row>
    <row r="588">
      <c r="D588" s="49"/>
    </row>
    <row r="589">
      <c r="D589" s="49"/>
    </row>
    <row r="590">
      <c r="D590" s="49"/>
    </row>
    <row r="591">
      <c r="D591" s="49"/>
    </row>
    <row r="592">
      <c r="D592" s="49"/>
    </row>
    <row r="593">
      <c r="D593" s="49"/>
    </row>
    <row r="594">
      <c r="D594" s="49"/>
    </row>
    <row r="595">
      <c r="D595" s="49"/>
    </row>
    <row r="596">
      <c r="D596" s="49"/>
    </row>
    <row r="597">
      <c r="D597" s="49"/>
    </row>
    <row r="598">
      <c r="D598" s="49"/>
    </row>
    <row r="599">
      <c r="D599" s="49"/>
    </row>
    <row r="600">
      <c r="D600" s="49"/>
    </row>
    <row r="601">
      <c r="D601" s="49"/>
    </row>
    <row r="602">
      <c r="D602" s="49"/>
    </row>
    <row r="603">
      <c r="D603" s="49"/>
    </row>
    <row r="604">
      <c r="D604" s="49"/>
    </row>
    <row r="605">
      <c r="D605" s="49"/>
    </row>
    <row r="606">
      <c r="D606" s="49"/>
    </row>
    <row r="607">
      <c r="D607" s="49"/>
    </row>
    <row r="608">
      <c r="D608" s="49"/>
    </row>
    <row r="609">
      <c r="D609" s="49"/>
    </row>
    <row r="610">
      <c r="D610" s="49"/>
    </row>
    <row r="611">
      <c r="D611" s="49"/>
    </row>
    <row r="612">
      <c r="D612" s="49"/>
    </row>
    <row r="613">
      <c r="D613" s="49"/>
    </row>
    <row r="614">
      <c r="D614" s="49"/>
    </row>
    <row r="615">
      <c r="D615" s="49"/>
    </row>
    <row r="616">
      <c r="D616" s="49"/>
    </row>
    <row r="617">
      <c r="D617" s="49"/>
    </row>
    <row r="618">
      <c r="D618" s="49"/>
    </row>
    <row r="619">
      <c r="D619" s="49"/>
    </row>
    <row r="620">
      <c r="D620" s="49"/>
    </row>
    <row r="621">
      <c r="D621" s="49"/>
    </row>
    <row r="622">
      <c r="D622" s="49"/>
    </row>
    <row r="623">
      <c r="D623" s="49"/>
    </row>
    <row r="624">
      <c r="D624" s="49"/>
    </row>
    <row r="625">
      <c r="D625" s="49"/>
    </row>
    <row r="626">
      <c r="D626" s="49"/>
    </row>
    <row r="627">
      <c r="D627" s="49"/>
    </row>
    <row r="628">
      <c r="D628" s="49"/>
    </row>
    <row r="629">
      <c r="D629" s="49"/>
    </row>
    <row r="630">
      <c r="D630" s="49"/>
    </row>
    <row r="631">
      <c r="D631" s="49"/>
    </row>
    <row r="632">
      <c r="D632" s="49"/>
    </row>
    <row r="633">
      <c r="D633" s="49"/>
    </row>
    <row r="634">
      <c r="D634" s="49"/>
    </row>
    <row r="635">
      <c r="D635" s="49"/>
    </row>
    <row r="636">
      <c r="D636" s="49"/>
    </row>
    <row r="637">
      <c r="D637" s="49"/>
    </row>
    <row r="638">
      <c r="D638" s="49"/>
    </row>
    <row r="639">
      <c r="D639" s="49"/>
    </row>
    <row r="640">
      <c r="D640" s="49"/>
    </row>
    <row r="641">
      <c r="D641" s="49"/>
    </row>
    <row r="642">
      <c r="D642" s="49"/>
    </row>
    <row r="643">
      <c r="D643" s="49"/>
    </row>
    <row r="644">
      <c r="D644" s="49"/>
    </row>
    <row r="645">
      <c r="D645" s="49"/>
    </row>
    <row r="646">
      <c r="D646" s="49"/>
    </row>
    <row r="647">
      <c r="D647" s="49"/>
    </row>
    <row r="648">
      <c r="D648" s="49"/>
    </row>
    <row r="649">
      <c r="D649" s="49"/>
    </row>
    <row r="650">
      <c r="D650" s="49"/>
    </row>
    <row r="651">
      <c r="D651" s="49"/>
    </row>
    <row r="652">
      <c r="D652" s="49"/>
    </row>
    <row r="653">
      <c r="D653" s="49"/>
    </row>
    <row r="654">
      <c r="D654" s="49"/>
    </row>
    <row r="655">
      <c r="D655" s="49"/>
    </row>
    <row r="656">
      <c r="D656" s="49"/>
    </row>
    <row r="657">
      <c r="D657" s="49"/>
    </row>
    <row r="658">
      <c r="D658" s="49"/>
    </row>
    <row r="659">
      <c r="D659" s="49"/>
    </row>
    <row r="660">
      <c r="D660" s="49"/>
    </row>
    <row r="661">
      <c r="D661" s="49"/>
    </row>
    <row r="662">
      <c r="D662" s="49"/>
    </row>
    <row r="663">
      <c r="D663" s="49"/>
    </row>
    <row r="664">
      <c r="D664" s="49"/>
    </row>
    <row r="665">
      <c r="D665" s="49"/>
    </row>
    <row r="666">
      <c r="D666" s="49"/>
    </row>
    <row r="667">
      <c r="D667" s="49"/>
    </row>
    <row r="668">
      <c r="D668" s="49"/>
    </row>
    <row r="669">
      <c r="D669" s="49"/>
    </row>
    <row r="670">
      <c r="D670" s="49"/>
    </row>
    <row r="671">
      <c r="D671" s="49"/>
    </row>
    <row r="672">
      <c r="D672" s="49"/>
    </row>
    <row r="673">
      <c r="D673" s="49"/>
    </row>
    <row r="674">
      <c r="D674" s="49"/>
    </row>
    <row r="675">
      <c r="D675" s="49"/>
    </row>
    <row r="676">
      <c r="D676" s="49"/>
    </row>
    <row r="677">
      <c r="D677" s="49"/>
    </row>
    <row r="678">
      <c r="D678" s="49"/>
    </row>
    <row r="679">
      <c r="D679" s="49"/>
    </row>
    <row r="680">
      <c r="D680" s="49"/>
    </row>
    <row r="681">
      <c r="D681" s="49"/>
    </row>
    <row r="682">
      <c r="D682" s="49"/>
    </row>
    <row r="683">
      <c r="D683" s="49"/>
    </row>
    <row r="684">
      <c r="D684" s="49"/>
    </row>
    <row r="685">
      <c r="D685" s="49"/>
    </row>
    <row r="686">
      <c r="D686" s="49"/>
    </row>
    <row r="687">
      <c r="D687" s="49"/>
    </row>
    <row r="688">
      <c r="D688" s="49"/>
    </row>
    <row r="689">
      <c r="D689" s="49"/>
    </row>
    <row r="690">
      <c r="D690" s="49"/>
    </row>
    <row r="691">
      <c r="D691" s="49"/>
    </row>
    <row r="692">
      <c r="D692" s="49"/>
    </row>
    <row r="693">
      <c r="D693" s="49"/>
    </row>
    <row r="694">
      <c r="D694" s="49"/>
    </row>
    <row r="695">
      <c r="D695" s="49"/>
    </row>
    <row r="696">
      <c r="D696" s="49"/>
    </row>
    <row r="697">
      <c r="D697" s="49"/>
    </row>
    <row r="698">
      <c r="D698" s="49"/>
    </row>
    <row r="699">
      <c r="D699" s="49"/>
    </row>
    <row r="700">
      <c r="D700" s="49"/>
    </row>
    <row r="701">
      <c r="D701" s="49"/>
    </row>
    <row r="702">
      <c r="D702" s="49"/>
    </row>
    <row r="703">
      <c r="D703" s="49"/>
    </row>
    <row r="704">
      <c r="D704" s="49"/>
    </row>
    <row r="705">
      <c r="D705" s="49"/>
    </row>
    <row r="706">
      <c r="D706" s="49"/>
    </row>
    <row r="707">
      <c r="D707" s="49"/>
    </row>
    <row r="708">
      <c r="D708" s="49"/>
    </row>
    <row r="709">
      <c r="D709" s="49"/>
    </row>
    <row r="710">
      <c r="D710" s="49"/>
    </row>
    <row r="711">
      <c r="D711" s="49"/>
    </row>
    <row r="712">
      <c r="D712" s="49"/>
    </row>
    <row r="713">
      <c r="D713" s="49"/>
    </row>
    <row r="714">
      <c r="D714" s="49"/>
    </row>
    <row r="715">
      <c r="D715" s="49"/>
    </row>
    <row r="716">
      <c r="D716" s="49"/>
    </row>
    <row r="717">
      <c r="D717" s="49"/>
    </row>
    <row r="718">
      <c r="D718" s="49"/>
    </row>
    <row r="719">
      <c r="D719" s="49"/>
    </row>
    <row r="720">
      <c r="D720" s="49"/>
    </row>
    <row r="721">
      <c r="D721" s="49"/>
    </row>
    <row r="722">
      <c r="D722" s="49"/>
    </row>
    <row r="723">
      <c r="D723" s="49"/>
    </row>
    <row r="724">
      <c r="D724" s="49"/>
    </row>
    <row r="725">
      <c r="D725" s="49"/>
    </row>
    <row r="726">
      <c r="D726" s="49"/>
    </row>
    <row r="727">
      <c r="D727" s="49"/>
    </row>
    <row r="728">
      <c r="D728" s="49"/>
    </row>
    <row r="729">
      <c r="D729" s="49"/>
    </row>
    <row r="730">
      <c r="D730" s="49"/>
    </row>
    <row r="731">
      <c r="D731" s="49"/>
    </row>
    <row r="732">
      <c r="D732" s="49"/>
    </row>
    <row r="733">
      <c r="D733" s="49"/>
    </row>
    <row r="734">
      <c r="D734" s="49"/>
    </row>
    <row r="735">
      <c r="D735" s="49"/>
    </row>
    <row r="736">
      <c r="D736" s="49"/>
    </row>
    <row r="737">
      <c r="D737" s="49"/>
    </row>
    <row r="738">
      <c r="D738" s="49"/>
    </row>
    <row r="739">
      <c r="D739" s="49"/>
    </row>
    <row r="740">
      <c r="D740" s="49"/>
    </row>
    <row r="741">
      <c r="D741" s="49"/>
    </row>
    <row r="742">
      <c r="D742" s="49"/>
    </row>
    <row r="743">
      <c r="D743" s="49"/>
    </row>
    <row r="744">
      <c r="D744" s="49"/>
    </row>
    <row r="745">
      <c r="D745" s="49"/>
    </row>
    <row r="746">
      <c r="D746" s="49"/>
    </row>
    <row r="747">
      <c r="D747" s="49"/>
    </row>
    <row r="748">
      <c r="D748" s="49"/>
    </row>
    <row r="749">
      <c r="D749" s="49"/>
    </row>
    <row r="750">
      <c r="D750" s="49"/>
    </row>
    <row r="751">
      <c r="D751" s="49"/>
    </row>
    <row r="752">
      <c r="D752" s="49"/>
    </row>
    <row r="753">
      <c r="D753" s="49"/>
    </row>
    <row r="754">
      <c r="D754" s="49"/>
    </row>
    <row r="755">
      <c r="D755" s="49"/>
    </row>
    <row r="756">
      <c r="D756" s="49"/>
    </row>
    <row r="757">
      <c r="D757" s="49"/>
    </row>
    <row r="758">
      <c r="D758" s="49"/>
    </row>
    <row r="759">
      <c r="D759" s="49"/>
    </row>
    <row r="760">
      <c r="D760" s="49"/>
    </row>
    <row r="761">
      <c r="D761" s="49"/>
    </row>
    <row r="762">
      <c r="D762" s="49"/>
    </row>
    <row r="763">
      <c r="D763" s="49"/>
    </row>
    <row r="764">
      <c r="D764" s="49"/>
    </row>
    <row r="765">
      <c r="D765" s="49"/>
    </row>
    <row r="766">
      <c r="D766" s="49"/>
    </row>
    <row r="767">
      <c r="D767" s="49"/>
    </row>
    <row r="768">
      <c r="D768" s="49"/>
    </row>
    <row r="769">
      <c r="D769" s="49"/>
    </row>
    <row r="770">
      <c r="D770" s="49"/>
    </row>
    <row r="771">
      <c r="D771" s="49"/>
    </row>
    <row r="772">
      <c r="D772" s="49"/>
    </row>
    <row r="773">
      <c r="D773" s="49"/>
    </row>
    <row r="774">
      <c r="D774" s="49"/>
    </row>
    <row r="775">
      <c r="D775" s="49"/>
    </row>
    <row r="776">
      <c r="D776" s="49"/>
    </row>
    <row r="777">
      <c r="D777" s="49"/>
    </row>
    <row r="778">
      <c r="D778" s="49"/>
    </row>
    <row r="779">
      <c r="D779" s="49"/>
    </row>
    <row r="780">
      <c r="D780" s="49"/>
    </row>
    <row r="781">
      <c r="D781" s="49"/>
    </row>
    <row r="782">
      <c r="D782" s="49"/>
    </row>
    <row r="783">
      <c r="D783" s="49"/>
    </row>
    <row r="784">
      <c r="D784" s="49"/>
    </row>
    <row r="785">
      <c r="D785" s="49"/>
    </row>
    <row r="786">
      <c r="D786" s="49"/>
    </row>
    <row r="787">
      <c r="D787" s="49"/>
    </row>
    <row r="788">
      <c r="D788" s="49"/>
    </row>
    <row r="789">
      <c r="D789" s="49"/>
    </row>
    <row r="790">
      <c r="D790" s="49"/>
    </row>
    <row r="791">
      <c r="D791" s="49"/>
    </row>
    <row r="792">
      <c r="D792" s="49"/>
    </row>
    <row r="793">
      <c r="D793" s="49"/>
    </row>
    <row r="794">
      <c r="D794" s="49"/>
    </row>
    <row r="795">
      <c r="D795" s="49"/>
    </row>
    <row r="796">
      <c r="D796" s="49"/>
    </row>
    <row r="797">
      <c r="D797" s="49"/>
    </row>
    <row r="798">
      <c r="D798" s="49"/>
    </row>
    <row r="799">
      <c r="D799" s="49"/>
    </row>
    <row r="800">
      <c r="D800" s="49"/>
    </row>
    <row r="801">
      <c r="D801" s="49"/>
    </row>
    <row r="802">
      <c r="D802" s="49"/>
    </row>
    <row r="803">
      <c r="D803" s="49"/>
    </row>
    <row r="804">
      <c r="D804" s="49"/>
    </row>
    <row r="805">
      <c r="D805" s="49"/>
    </row>
    <row r="806">
      <c r="D806" s="49"/>
    </row>
    <row r="807">
      <c r="D807" s="49"/>
    </row>
    <row r="808">
      <c r="D808" s="49"/>
    </row>
    <row r="809">
      <c r="D809" s="49"/>
    </row>
    <row r="810">
      <c r="D810" s="49"/>
    </row>
    <row r="811">
      <c r="D811" s="49"/>
    </row>
    <row r="812">
      <c r="D812" s="49"/>
    </row>
    <row r="813">
      <c r="D813" s="49"/>
    </row>
    <row r="814">
      <c r="D814" s="49"/>
    </row>
    <row r="815">
      <c r="D815" s="49"/>
    </row>
    <row r="816">
      <c r="D816" s="49"/>
    </row>
    <row r="817">
      <c r="D817" s="49"/>
    </row>
    <row r="818">
      <c r="D818" s="49"/>
    </row>
    <row r="819">
      <c r="D819" s="49"/>
    </row>
    <row r="820">
      <c r="D820" s="49"/>
    </row>
    <row r="821">
      <c r="D821" s="49"/>
    </row>
    <row r="822">
      <c r="D822" s="49"/>
    </row>
    <row r="823">
      <c r="D823" s="49"/>
    </row>
    <row r="824">
      <c r="D824" s="49"/>
    </row>
    <row r="825">
      <c r="D825" s="49"/>
    </row>
    <row r="826">
      <c r="D826" s="49"/>
    </row>
    <row r="827">
      <c r="D827" s="49"/>
    </row>
    <row r="828">
      <c r="D828" s="49"/>
    </row>
    <row r="829">
      <c r="D829" s="49"/>
    </row>
    <row r="830">
      <c r="D830" s="49"/>
    </row>
    <row r="831">
      <c r="D831" s="49"/>
    </row>
    <row r="832">
      <c r="D832" s="49"/>
    </row>
    <row r="833">
      <c r="D833" s="49"/>
    </row>
    <row r="834">
      <c r="D834" s="49"/>
    </row>
    <row r="835">
      <c r="D835" s="49"/>
    </row>
    <row r="836">
      <c r="D836" s="49"/>
    </row>
    <row r="837">
      <c r="D837" s="49"/>
    </row>
    <row r="838">
      <c r="D838" s="49"/>
    </row>
    <row r="839">
      <c r="D839" s="49"/>
    </row>
    <row r="840">
      <c r="D840" s="49"/>
    </row>
    <row r="841">
      <c r="D841" s="49"/>
    </row>
    <row r="842">
      <c r="D842" s="49"/>
    </row>
    <row r="843">
      <c r="D843" s="49"/>
    </row>
    <row r="844">
      <c r="D844" s="49"/>
    </row>
    <row r="845">
      <c r="D845" s="49"/>
    </row>
    <row r="846">
      <c r="D846" s="49"/>
    </row>
    <row r="847">
      <c r="D847" s="49"/>
    </row>
    <row r="848">
      <c r="D848" s="49"/>
    </row>
    <row r="849">
      <c r="D849" s="49"/>
    </row>
    <row r="850">
      <c r="D850" s="49"/>
    </row>
    <row r="851">
      <c r="D851" s="49"/>
    </row>
    <row r="852">
      <c r="D852" s="49"/>
    </row>
    <row r="853">
      <c r="D853" s="49"/>
    </row>
    <row r="854">
      <c r="D854" s="49"/>
    </row>
    <row r="855">
      <c r="D855" s="49"/>
    </row>
    <row r="856">
      <c r="D856" s="49"/>
    </row>
    <row r="857">
      <c r="D857" s="49"/>
    </row>
    <row r="858">
      <c r="D858" s="49"/>
    </row>
    <row r="859">
      <c r="D859" s="49"/>
    </row>
    <row r="860">
      <c r="D860" s="49"/>
    </row>
    <row r="861">
      <c r="D861" s="49"/>
    </row>
    <row r="862">
      <c r="D862" s="49"/>
    </row>
    <row r="863">
      <c r="D863" s="49"/>
    </row>
    <row r="864">
      <c r="D864" s="49"/>
    </row>
    <row r="865">
      <c r="D865" s="49"/>
    </row>
    <row r="866">
      <c r="D866" s="49"/>
    </row>
    <row r="867">
      <c r="D867" s="49"/>
    </row>
    <row r="868">
      <c r="D868" s="49"/>
    </row>
    <row r="869">
      <c r="D869" s="49"/>
    </row>
    <row r="870">
      <c r="D870" s="49"/>
    </row>
    <row r="871">
      <c r="D871" s="49"/>
    </row>
    <row r="872">
      <c r="D872" s="49"/>
    </row>
    <row r="873">
      <c r="D873" s="49"/>
    </row>
    <row r="874">
      <c r="D874" s="49"/>
    </row>
    <row r="875">
      <c r="D875" s="49"/>
    </row>
    <row r="876">
      <c r="D876" s="49"/>
    </row>
    <row r="877">
      <c r="D877" s="49"/>
    </row>
    <row r="878">
      <c r="D878" s="49"/>
    </row>
    <row r="879">
      <c r="D879" s="49"/>
    </row>
    <row r="880">
      <c r="D880" s="49"/>
    </row>
    <row r="881">
      <c r="D881" s="49"/>
    </row>
    <row r="882">
      <c r="D882" s="49"/>
    </row>
    <row r="883">
      <c r="D883" s="49"/>
    </row>
    <row r="884">
      <c r="D884" s="49"/>
    </row>
    <row r="885">
      <c r="D885" s="49"/>
    </row>
    <row r="886">
      <c r="D886" s="49"/>
    </row>
    <row r="887">
      <c r="D887" s="49"/>
    </row>
    <row r="888">
      <c r="D888" s="49"/>
    </row>
    <row r="889">
      <c r="D889" s="49"/>
    </row>
    <row r="890">
      <c r="D890" s="49"/>
    </row>
    <row r="891">
      <c r="D891" s="49"/>
    </row>
    <row r="892">
      <c r="D892" s="49"/>
    </row>
    <row r="893">
      <c r="D893" s="49"/>
    </row>
    <row r="894">
      <c r="D894" s="49"/>
    </row>
    <row r="895">
      <c r="D895" s="49"/>
    </row>
    <row r="896">
      <c r="D896" s="49"/>
    </row>
    <row r="897">
      <c r="D897" s="49"/>
    </row>
    <row r="898">
      <c r="D898" s="49"/>
    </row>
    <row r="899">
      <c r="D899" s="49"/>
    </row>
    <row r="900">
      <c r="D900" s="49"/>
    </row>
    <row r="901">
      <c r="D901" s="49"/>
    </row>
    <row r="902">
      <c r="D902" s="49"/>
    </row>
    <row r="903">
      <c r="D903" s="49"/>
    </row>
    <row r="904">
      <c r="D904" s="49"/>
    </row>
    <row r="905">
      <c r="D905" s="49"/>
    </row>
    <row r="906">
      <c r="D906" s="49"/>
    </row>
    <row r="907">
      <c r="D907" s="49"/>
    </row>
    <row r="908">
      <c r="D908" s="49"/>
    </row>
    <row r="909">
      <c r="D909" s="49"/>
    </row>
    <row r="910">
      <c r="D910" s="49"/>
    </row>
    <row r="911">
      <c r="D911" s="49"/>
    </row>
    <row r="912">
      <c r="D912" s="49"/>
    </row>
    <row r="913">
      <c r="D913" s="49"/>
    </row>
    <row r="914">
      <c r="D914" s="49"/>
    </row>
    <row r="915">
      <c r="D915" s="49"/>
    </row>
    <row r="916">
      <c r="D916" s="49"/>
    </row>
    <row r="917">
      <c r="D917" s="49"/>
    </row>
    <row r="918">
      <c r="D918" s="49"/>
    </row>
    <row r="919">
      <c r="D919" s="49"/>
    </row>
    <row r="920">
      <c r="D920" s="49"/>
    </row>
    <row r="921">
      <c r="D921" s="49"/>
    </row>
    <row r="922">
      <c r="D922" s="49"/>
    </row>
    <row r="923">
      <c r="D923" s="49"/>
    </row>
    <row r="924">
      <c r="D924" s="49"/>
    </row>
    <row r="925">
      <c r="D925" s="49"/>
    </row>
    <row r="926">
      <c r="D926" s="49"/>
    </row>
    <row r="927">
      <c r="D927" s="49"/>
    </row>
    <row r="928">
      <c r="D928" s="49"/>
    </row>
    <row r="929">
      <c r="D929" s="49"/>
    </row>
    <row r="930">
      <c r="D930" s="49"/>
    </row>
    <row r="931">
      <c r="D931" s="49"/>
    </row>
    <row r="932">
      <c r="D932" s="49"/>
    </row>
    <row r="933">
      <c r="D933" s="49"/>
    </row>
    <row r="934">
      <c r="D934" s="49"/>
    </row>
    <row r="935">
      <c r="D935" s="49"/>
    </row>
    <row r="936">
      <c r="D936" s="49"/>
    </row>
    <row r="937">
      <c r="D937" s="49"/>
    </row>
    <row r="938">
      <c r="D938" s="49"/>
    </row>
    <row r="939">
      <c r="D939" s="49"/>
    </row>
    <row r="940">
      <c r="D940" s="49"/>
    </row>
    <row r="941">
      <c r="D941" s="49"/>
    </row>
    <row r="942">
      <c r="D942" s="49"/>
    </row>
    <row r="943">
      <c r="D943" s="49"/>
    </row>
    <row r="944">
      <c r="D944" s="49"/>
    </row>
    <row r="945">
      <c r="D945" s="49"/>
    </row>
    <row r="946">
      <c r="D946" s="49"/>
    </row>
    <row r="947">
      <c r="D947" s="49"/>
    </row>
    <row r="948">
      <c r="D948" s="49"/>
    </row>
    <row r="949">
      <c r="D949" s="49"/>
    </row>
    <row r="950">
      <c r="D950" s="49"/>
    </row>
    <row r="951">
      <c r="D951" s="49"/>
    </row>
    <row r="952">
      <c r="D952" s="49"/>
    </row>
    <row r="953">
      <c r="D953" s="49"/>
    </row>
    <row r="954">
      <c r="D954" s="49"/>
    </row>
    <row r="955">
      <c r="D955" s="49"/>
    </row>
    <row r="956">
      <c r="D956" s="49"/>
    </row>
    <row r="957">
      <c r="D957" s="49"/>
    </row>
    <row r="958">
      <c r="D958" s="49"/>
    </row>
    <row r="959">
      <c r="D959" s="49"/>
    </row>
    <row r="960">
      <c r="D960" s="49"/>
    </row>
    <row r="961">
      <c r="D961" s="49"/>
    </row>
    <row r="962">
      <c r="D962" s="49"/>
    </row>
    <row r="963">
      <c r="D963" s="49"/>
    </row>
    <row r="964">
      <c r="D964" s="49"/>
    </row>
    <row r="965">
      <c r="D965" s="49"/>
    </row>
    <row r="966">
      <c r="D966" s="49"/>
    </row>
    <row r="967">
      <c r="D967" s="49"/>
    </row>
    <row r="968">
      <c r="D968" s="49"/>
    </row>
    <row r="969">
      <c r="D969" s="49"/>
    </row>
    <row r="970">
      <c r="D970" s="49"/>
    </row>
    <row r="971">
      <c r="D971" s="49"/>
    </row>
    <row r="972">
      <c r="D972" s="49"/>
    </row>
    <row r="973">
      <c r="D973" s="49"/>
    </row>
    <row r="974">
      <c r="D974" s="49"/>
    </row>
    <row r="975">
      <c r="D975" s="49"/>
    </row>
    <row r="976">
      <c r="D976" s="49"/>
    </row>
    <row r="977">
      <c r="D977" s="49"/>
    </row>
    <row r="978">
      <c r="D978" s="49"/>
    </row>
    <row r="979">
      <c r="D979" s="49"/>
    </row>
    <row r="980">
      <c r="D980" s="49"/>
    </row>
    <row r="981">
      <c r="D981" s="49"/>
    </row>
    <row r="982">
      <c r="D982" s="49"/>
    </row>
    <row r="983">
      <c r="D983" s="49"/>
    </row>
    <row r="984">
      <c r="D984" s="49"/>
    </row>
    <row r="985">
      <c r="D985" s="49"/>
    </row>
    <row r="986">
      <c r="D986" s="49"/>
    </row>
    <row r="987">
      <c r="D987" s="49"/>
    </row>
    <row r="988">
      <c r="D988" s="49"/>
    </row>
    <row r="989">
      <c r="D989" s="49"/>
    </row>
    <row r="990">
      <c r="D990" s="49"/>
    </row>
    <row r="991">
      <c r="D991" s="49"/>
    </row>
    <row r="992">
      <c r="D992" s="49"/>
    </row>
    <row r="993">
      <c r="D993" s="49"/>
    </row>
    <row r="994">
      <c r="D994" s="49"/>
    </row>
    <row r="995">
      <c r="D995" s="49"/>
    </row>
    <row r="996">
      <c r="D996" s="49"/>
    </row>
    <row r="997">
      <c r="D997" s="49"/>
    </row>
    <row r="998">
      <c r="D998" s="49"/>
    </row>
    <row r="999">
      <c r="D999" s="49"/>
    </row>
    <row r="1000">
      <c r="D1000" s="4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6.0"/>
    <col customWidth="1" min="3" max="4" width="24.0"/>
    <col customWidth="1" min="5" max="5" width="18.0"/>
    <col customWidth="1" min="6" max="6" width="56.71"/>
    <col customWidth="1" min="7" max="7" width="22.0"/>
    <col customWidth="1" min="8" max="8" width="44.0"/>
    <col customWidth="1" min="9" max="9" width="8.0"/>
    <col customWidth="1" min="10" max="26" width="8.71"/>
  </cols>
  <sheetData>
    <row r="1" ht="18.0" customHeight="1">
      <c r="A1" s="6" t="s">
        <v>2112</v>
      </c>
      <c r="B1" s="7"/>
      <c r="C1" s="7"/>
      <c r="D1" s="7"/>
      <c r="E1" s="7"/>
      <c r="F1" s="7"/>
      <c r="G1" s="7"/>
      <c r="H1" s="7"/>
      <c r="I1" s="8"/>
    </row>
    <row r="2" ht="30.0" customHeight="1">
      <c r="A2" s="9" t="s">
        <v>14</v>
      </c>
      <c r="B2" s="9" t="s">
        <v>2113</v>
      </c>
      <c r="C2" s="10" t="s">
        <v>2114</v>
      </c>
      <c r="D2" s="9" t="s">
        <v>2115</v>
      </c>
      <c r="E2" s="10" t="s">
        <v>2116</v>
      </c>
      <c r="F2" s="10" t="s">
        <v>2117</v>
      </c>
      <c r="G2" s="10" t="s">
        <v>2118</v>
      </c>
      <c r="H2" s="10" t="s">
        <v>27</v>
      </c>
      <c r="I2" s="10" t="s">
        <v>2119</v>
      </c>
    </row>
    <row r="3">
      <c r="A3" s="50">
        <v>0.0</v>
      </c>
      <c r="B3" s="51">
        <v>4.0</v>
      </c>
      <c r="C3" s="50" t="s">
        <v>49</v>
      </c>
      <c r="D3" s="50" t="s">
        <v>28</v>
      </c>
      <c r="E3" s="50">
        <v>750.0</v>
      </c>
      <c r="F3" s="52" t="s">
        <v>2120</v>
      </c>
      <c r="G3" s="53">
        <v>5.0</v>
      </c>
      <c r="H3" s="50"/>
      <c r="I3" s="50"/>
    </row>
    <row r="4">
      <c r="A4" s="50">
        <v>1.0</v>
      </c>
      <c r="B4" s="51">
        <v>5.0</v>
      </c>
      <c r="C4" s="50" t="s">
        <v>52</v>
      </c>
      <c r="D4" s="50" t="s">
        <v>28</v>
      </c>
      <c r="E4" s="50">
        <v>750.0</v>
      </c>
      <c r="F4" s="52" t="s">
        <v>2121</v>
      </c>
      <c r="G4" s="53">
        <v>18.0</v>
      </c>
      <c r="H4" s="50"/>
      <c r="I4" s="50"/>
    </row>
    <row r="5">
      <c r="A5" s="50">
        <v>2.0</v>
      </c>
      <c r="B5" s="51">
        <v>6.0</v>
      </c>
      <c r="C5" s="50" t="s">
        <v>55</v>
      </c>
      <c r="D5" s="50" t="s">
        <v>28</v>
      </c>
      <c r="E5" s="50">
        <v>750.0</v>
      </c>
      <c r="F5" s="52" t="s">
        <v>2122</v>
      </c>
      <c r="G5" s="53">
        <v>5.0</v>
      </c>
      <c r="H5" s="50"/>
      <c r="I5" s="50"/>
    </row>
    <row r="6">
      <c r="A6" s="50">
        <v>3.0</v>
      </c>
      <c r="B6" s="51">
        <v>7.0</v>
      </c>
      <c r="C6" s="50" t="s">
        <v>57</v>
      </c>
      <c r="D6" s="50" t="s">
        <v>35</v>
      </c>
      <c r="E6" s="50">
        <v>750.0</v>
      </c>
      <c r="F6" s="52" t="s">
        <v>2123</v>
      </c>
      <c r="G6" s="53">
        <v>5.0</v>
      </c>
      <c r="H6" s="50"/>
      <c r="I6" s="50"/>
    </row>
    <row r="7">
      <c r="A7" s="50">
        <v>4.0</v>
      </c>
      <c r="B7" s="51">
        <v>8.0</v>
      </c>
      <c r="C7" s="50" t="s">
        <v>61</v>
      </c>
      <c r="D7" s="50" t="s">
        <v>35</v>
      </c>
      <c r="E7" s="50">
        <v>750.0</v>
      </c>
      <c r="F7" s="52" t="s">
        <v>2124</v>
      </c>
      <c r="G7" s="53">
        <v>5.0</v>
      </c>
      <c r="H7" s="50"/>
      <c r="I7" s="50"/>
    </row>
    <row r="8">
      <c r="A8" s="50">
        <v>5.0</v>
      </c>
      <c r="B8" s="51">
        <v>9.0</v>
      </c>
      <c r="C8" s="50" t="s">
        <v>63</v>
      </c>
      <c r="D8" s="50" t="s">
        <v>35</v>
      </c>
      <c r="E8" s="50">
        <v>750.0</v>
      </c>
      <c r="F8" s="52" t="s">
        <v>2125</v>
      </c>
      <c r="G8" s="53">
        <v>5.0</v>
      </c>
      <c r="H8" s="50"/>
      <c r="I8" s="50"/>
    </row>
    <row r="9">
      <c r="A9" s="50">
        <v>6.0</v>
      </c>
      <c r="B9" s="51">
        <v>10.0</v>
      </c>
      <c r="C9" s="50" t="s">
        <v>65</v>
      </c>
      <c r="D9" s="50" t="s">
        <v>39</v>
      </c>
      <c r="E9" s="50">
        <v>750.0</v>
      </c>
      <c r="F9" s="52" t="s">
        <v>2126</v>
      </c>
      <c r="G9" s="53">
        <v>9.0</v>
      </c>
      <c r="H9" s="50"/>
      <c r="I9" s="50"/>
    </row>
    <row r="10">
      <c r="A10" s="50">
        <v>7.0</v>
      </c>
      <c r="B10" s="51">
        <v>11.0</v>
      </c>
      <c r="C10" s="50" t="s">
        <v>67</v>
      </c>
      <c r="D10" s="50" t="s">
        <v>39</v>
      </c>
      <c r="E10" s="50">
        <v>750.0</v>
      </c>
      <c r="F10" s="52" t="s">
        <v>2127</v>
      </c>
      <c r="G10" s="53">
        <v>9.0</v>
      </c>
      <c r="H10" s="50"/>
      <c r="I10" s="50"/>
    </row>
    <row r="11">
      <c r="A11" s="50">
        <v>8.0</v>
      </c>
      <c r="B11" s="51">
        <v>12.0</v>
      </c>
      <c r="C11" s="50" t="s">
        <v>69</v>
      </c>
      <c r="D11" s="50" t="s">
        <v>45</v>
      </c>
      <c r="E11" s="50">
        <v>750.0</v>
      </c>
      <c r="F11" s="52" t="s">
        <v>2128</v>
      </c>
      <c r="G11" s="53">
        <v>9.0</v>
      </c>
      <c r="H11" s="50"/>
      <c r="I11" s="50"/>
    </row>
    <row r="12">
      <c r="A12" s="50">
        <v>9.0</v>
      </c>
      <c r="B12" s="51">
        <v>13.0</v>
      </c>
      <c r="C12" s="50" t="s">
        <v>71</v>
      </c>
      <c r="D12" s="50" t="s">
        <v>45</v>
      </c>
      <c r="E12" s="54">
        <v>750.0</v>
      </c>
      <c r="F12" s="52" t="s">
        <v>2129</v>
      </c>
      <c r="G12" s="53">
        <v>9.0</v>
      </c>
      <c r="H12" s="50"/>
      <c r="I12" s="50"/>
    </row>
    <row r="13">
      <c r="A13" s="50">
        <v>10.0</v>
      </c>
      <c r="B13" s="51">
        <v>14.0</v>
      </c>
      <c r="C13" s="50" t="s">
        <v>73</v>
      </c>
      <c r="D13" s="50" t="s">
        <v>49</v>
      </c>
      <c r="E13" s="50">
        <v>1000.0</v>
      </c>
      <c r="F13" s="52" t="s">
        <v>2130</v>
      </c>
      <c r="G13" s="53">
        <v>9.0</v>
      </c>
      <c r="H13" s="50"/>
      <c r="I13" s="50"/>
    </row>
    <row r="14">
      <c r="A14" s="50">
        <v>11.0</v>
      </c>
      <c r="B14" s="51">
        <v>15.0</v>
      </c>
      <c r="C14" s="50" t="s">
        <v>76</v>
      </c>
      <c r="D14" s="50" t="s">
        <v>49</v>
      </c>
      <c r="E14" s="50">
        <v>1000.0</v>
      </c>
      <c r="F14" s="52" t="s">
        <v>2131</v>
      </c>
      <c r="G14" s="53">
        <v>9.0</v>
      </c>
      <c r="H14" s="50"/>
      <c r="I14" s="50"/>
    </row>
    <row r="15">
      <c r="A15" s="50">
        <v>12.0</v>
      </c>
      <c r="B15" s="51">
        <v>16.0</v>
      </c>
      <c r="C15" s="50" t="s">
        <v>78</v>
      </c>
      <c r="D15" s="50" t="s">
        <v>52</v>
      </c>
      <c r="E15" s="50">
        <v>1000.0</v>
      </c>
      <c r="F15" s="52" t="s">
        <v>2132</v>
      </c>
      <c r="G15" s="53">
        <v>18.0</v>
      </c>
      <c r="H15" s="50"/>
      <c r="I15" s="50"/>
    </row>
    <row r="16">
      <c r="A16" s="50">
        <v>13.0</v>
      </c>
      <c r="B16" s="51">
        <v>17.0</v>
      </c>
      <c r="C16" s="50" t="s">
        <v>80</v>
      </c>
      <c r="D16" s="50" t="s">
        <v>55</v>
      </c>
      <c r="E16" s="50">
        <v>1000.0</v>
      </c>
      <c r="F16" s="52" t="s">
        <v>2133</v>
      </c>
      <c r="G16" s="53">
        <v>9.0</v>
      </c>
      <c r="H16" s="50"/>
      <c r="I16" s="50"/>
    </row>
    <row r="17">
      <c r="A17" s="50">
        <v>14.0</v>
      </c>
      <c r="B17" s="51">
        <v>18.0</v>
      </c>
      <c r="C17" s="50" t="s">
        <v>82</v>
      </c>
      <c r="D17" s="50" t="s">
        <v>55</v>
      </c>
      <c r="E17" s="50">
        <v>1000.0</v>
      </c>
      <c r="F17" s="52" t="s">
        <v>2134</v>
      </c>
      <c r="G17" s="53">
        <v>9.0</v>
      </c>
      <c r="H17" s="50"/>
      <c r="I17" s="50"/>
    </row>
    <row r="18">
      <c r="A18" s="50">
        <v>15.0</v>
      </c>
      <c r="B18" s="51">
        <v>19.0</v>
      </c>
      <c r="C18" s="50" t="s">
        <v>84</v>
      </c>
      <c r="D18" s="50" t="s">
        <v>57</v>
      </c>
      <c r="E18" s="50">
        <v>1000.0</v>
      </c>
      <c r="F18" s="52" t="s">
        <v>2135</v>
      </c>
      <c r="G18" s="53">
        <v>9.0</v>
      </c>
      <c r="H18" s="50"/>
      <c r="I18" s="50"/>
    </row>
    <row r="19">
      <c r="A19" s="50">
        <v>16.0</v>
      </c>
      <c r="B19" s="51">
        <v>20.0</v>
      </c>
      <c r="C19" s="50" t="s">
        <v>86</v>
      </c>
      <c r="D19" s="50" t="s">
        <v>57</v>
      </c>
      <c r="E19" s="50">
        <v>1000.0</v>
      </c>
      <c r="F19" s="52" t="s">
        <v>2136</v>
      </c>
      <c r="G19" s="53">
        <v>9.0</v>
      </c>
      <c r="H19" s="50"/>
      <c r="I19" s="50"/>
    </row>
    <row r="20">
      <c r="A20" s="50">
        <v>17.0</v>
      </c>
      <c r="B20" s="51">
        <v>21.0</v>
      </c>
      <c r="C20" s="50" t="s">
        <v>88</v>
      </c>
      <c r="D20" s="50" t="s">
        <v>61</v>
      </c>
      <c r="E20" s="50">
        <v>1000.0</v>
      </c>
      <c r="F20" s="52" t="s">
        <v>2137</v>
      </c>
      <c r="G20" s="53">
        <v>18.0</v>
      </c>
      <c r="H20" s="50"/>
      <c r="I20" s="50"/>
    </row>
    <row r="21" ht="15.75" customHeight="1">
      <c r="A21" s="50">
        <v>18.0</v>
      </c>
      <c r="B21" s="51">
        <v>22.0</v>
      </c>
      <c r="C21" s="50" t="s">
        <v>90</v>
      </c>
      <c r="D21" s="50" t="s">
        <v>63</v>
      </c>
      <c r="E21" s="50">
        <v>1000.0</v>
      </c>
      <c r="F21" s="52" t="s">
        <v>2138</v>
      </c>
      <c r="G21" s="53">
        <v>9.0</v>
      </c>
      <c r="H21" s="50"/>
      <c r="I21" s="50"/>
    </row>
    <row r="22" ht="15.75" customHeight="1">
      <c r="A22" s="50">
        <v>19.0</v>
      </c>
      <c r="B22" s="51">
        <v>23.0</v>
      </c>
      <c r="C22" s="50" t="s">
        <v>92</v>
      </c>
      <c r="D22" s="50" t="s">
        <v>63</v>
      </c>
      <c r="E22" s="50">
        <v>1000.0</v>
      </c>
      <c r="F22" s="52" t="s">
        <v>2139</v>
      </c>
      <c r="G22" s="53">
        <v>9.0</v>
      </c>
      <c r="H22" s="50"/>
      <c r="I22" s="50"/>
    </row>
    <row r="23" ht="15.75" customHeight="1">
      <c r="A23" s="50">
        <v>20.0</v>
      </c>
      <c r="B23" s="51">
        <v>24.0</v>
      </c>
      <c r="C23" s="50" t="s">
        <v>94</v>
      </c>
      <c r="D23" s="50" t="s">
        <v>65</v>
      </c>
      <c r="E23" s="50">
        <v>1000.0</v>
      </c>
      <c r="F23" s="52" t="s">
        <v>2140</v>
      </c>
      <c r="G23" s="53">
        <v>9.0</v>
      </c>
      <c r="H23" s="50"/>
      <c r="I23" s="50"/>
    </row>
    <row r="24" ht="15.75" customHeight="1">
      <c r="A24" s="50">
        <v>21.0</v>
      </c>
      <c r="B24" s="51">
        <v>25.0</v>
      </c>
      <c r="C24" s="50" t="s">
        <v>96</v>
      </c>
      <c r="D24" s="50" t="s">
        <v>65</v>
      </c>
      <c r="E24" s="50">
        <v>1000.0</v>
      </c>
      <c r="F24" s="52" t="s">
        <v>2141</v>
      </c>
      <c r="G24" s="53">
        <v>9.0</v>
      </c>
      <c r="H24" s="50"/>
      <c r="I24" s="50"/>
    </row>
    <row r="25" ht="15.75" customHeight="1">
      <c r="A25" s="50">
        <v>22.0</v>
      </c>
      <c r="B25" s="51">
        <v>26.0</v>
      </c>
      <c r="C25" s="50" t="s">
        <v>99</v>
      </c>
      <c r="D25" s="50" t="s">
        <v>67</v>
      </c>
      <c r="E25" s="50">
        <v>1000.0</v>
      </c>
      <c r="F25" s="52" t="s">
        <v>2142</v>
      </c>
      <c r="G25" s="53">
        <v>9.0</v>
      </c>
      <c r="H25" s="50"/>
      <c r="I25" s="50"/>
    </row>
    <row r="26" ht="15.75" customHeight="1">
      <c r="A26" s="50">
        <v>23.0</v>
      </c>
      <c r="B26" s="51">
        <v>27.0</v>
      </c>
      <c r="C26" s="50" t="s">
        <v>101</v>
      </c>
      <c r="D26" s="50" t="s">
        <v>67</v>
      </c>
      <c r="E26" s="50">
        <v>1000.0</v>
      </c>
      <c r="F26" s="52" t="s">
        <v>2143</v>
      </c>
      <c r="G26" s="53">
        <v>9.0</v>
      </c>
      <c r="H26" s="50"/>
      <c r="I26" s="50"/>
    </row>
    <row r="27" ht="15.75" customHeight="1">
      <c r="A27" s="50">
        <v>24.0</v>
      </c>
      <c r="B27" s="51">
        <v>28.0</v>
      </c>
      <c r="C27" s="50" t="s">
        <v>103</v>
      </c>
      <c r="D27" s="50" t="s">
        <v>69</v>
      </c>
      <c r="E27" s="50">
        <v>1000.0</v>
      </c>
      <c r="F27" s="52" t="s">
        <v>2144</v>
      </c>
      <c r="G27" s="53">
        <v>9.0</v>
      </c>
      <c r="H27" s="50"/>
      <c r="I27" s="50"/>
    </row>
    <row r="28" ht="15.75" customHeight="1">
      <c r="A28" s="50">
        <v>25.0</v>
      </c>
      <c r="B28" s="51">
        <v>29.0</v>
      </c>
      <c r="C28" s="50" t="s">
        <v>105</v>
      </c>
      <c r="D28" s="50" t="s">
        <v>69</v>
      </c>
      <c r="E28" s="50">
        <v>1000.0</v>
      </c>
      <c r="F28" s="52" t="s">
        <v>2145</v>
      </c>
      <c r="G28" s="53">
        <v>9.0</v>
      </c>
      <c r="H28" s="50"/>
      <c r="I28" s="50"/>
    </row>
    <row r="29" ht="15.75" customHeight="1">
      <c r="A29" s="50">
        <v>26.0</v>
      </c>
      <c r="B29" s="51">
        <v>30.0</v>
      </c>
      <c r="C29" s="50" t="s">
        <v>107</v>
      </c>
      <c r="D29" s="50" t="s">
        <v>71</v>
      </c>
      <c r="E29" s="50">
        <v>1000.0</v>
      </c>
      <c r="F29" s="52" t="s">
        <v>2146</v>
      </c>
      <c r="G29" s="53">
        <v>9.0</v>
      </c>
      <c r="H29" s="50"/>
      <c r="I29" s="50"/>
    </row>
    <row r="30" ht="15.75" customHeight="1">
      <c r="A30" s="50">
        <v>27.0</v>
      </c>
      <c r="B30" s="51">
        <v>31.0</v>
      </c>
      <c r="C30" s="50" t="s">
        <v>2147</v>
      </c>
      <c r="D30" s="50" t="s">
        <v>71</v>
      </c>
      <c r="E30" s="50">
        <v>1000.0</v>
      </c>
      <c r="F30" s="52" t="s">
        <v>2148</v>
      </c>
      <c r="G30" s="53">
        <v>9.0</v>
      </c>
      <c r="H30" s="50"/>
      <c r="I30" s="50"/>
    </row>
    <row r="31" ht="15.75" customHeight="1">
      <c r="F31" s="55"/>
    </row>
    <row r="32" ht="15.75" customHeight="1">
      <c r="F32" s="49"/>
    </row>
    <row r="33" ht="15.75" customHeight="1">
      <c r="F33" s="49"/>
    </row>
    <row r="34" ht="15.75" customHeight="1">
      <c r="F34" s="49"/>
    </row>
    <row r="35" ht="15.75" customHeight="1">
      <c r="F35" s="49"/>
    </row>
    <row r="36" ht="15.75" customHeight="1">
      <c r="F36" s="49"/>
    </row>
    <row r="37" ht="15.75" customHeight="1">
      <c r="F37" s="49"/>
    </row>
    <row r="38" ht="15.75" customHeight="1">
      <c r="F38" s="49"/>
    </row>
    <row r="39" ht="15.75" customHeight="1">
      <c r="F39" s="49"/>
    </row>
    <row r="40" ht="15.75" customHeight="1">
      <c r="F40" s="49"/>
    </row>
    <row r="41" ht="15.75" customHeight="1">
      <c r="F41" s="49"/>
    </row>
    <row r="42" ht="15.75" customHeight="1">
      <c r="F42" s="49"/>
    </row>
    <row r="43" ht="15.75" customHeight="1">
      <c r="F43" s="49"/>
    </row>
    <row r="44" ht="15.75" customHeight="1">
      <c r="F44" s="49"/>
    </row>
    <row r="45" ht="15.75" customHeight="1">
      <c r="F45" s="49"/>
    </row>
    <row r="46" ht="15.75" customHeight="1">
      <c r="F46" s="49"/>
    </row>
    <row r="47" ht="15.75" customHeight="1">
      <c r="F47" s="49"/>
    </row>
    <row r="48" ht="15.75" customHeight="1">
      <c r="F48" s="49"/>
    </row>
    <row r="49" ht="15.75" customHeight="1">
      <c r="F49" s="49"/>
    </row>
    <row r="50" ht="15.75" customHeight="1">
      <c r="F50" s="49"/>
    </row>
    <row r="51" ht="15.75" customHeight="1">
      <c r="F51" s="49"/>
    </row>
    <row r="52" ht="15.75" customHeight="1">
      <c r="F52" s="49"/>
    </row>
    <row r="53" ht="15.75" customHeight="1">
      <c r="F53" s="49"/>
    </row>
    <row r="54" ht="15.75" customHeight="1">
      <c r="F54" s="49"/>
    </row>
    <row r="55" ht="15.75" customHeight="1">
      <c r="F55" s="49"/>
    </row>
    <row r="56" ht="15.75" customHeight="1">
      <c r="F56" s="49"/>
    </row>
    <row r="57" ht="15.75" customHeight="1">
      <c r="F57" s="49"/>
    </row>
    <row r="58" ht="15.75" customHeight="1">
      <c r="F58" s="49"/>
    </row>
    <row r="59" ht="15.75" customHeight="1">
      <c r="F59" s="49"/>
    </row>
    <row r="60" ht="15.75" customHeight="1">
      <c r="F60" s="49"/>
    </row>
    <row r="61" ht="15.75" customHeight="1">
      <c r="F61" s="49"/>
    </row>
    <row r="62" ht="15.75" customHeight="1">
      <c r="F62" s="49"/>
    </row>
    <row r="63" ht="15.75" customHeight="1">
      <c r="F63" s="49"/>
    </row>
    <row r="64" ht="15.75" customHeight="1">
      <c r="F64" s="49"/>
    </row>
    <row r="65" ht="15.75" customHeight="1">
      <c r="F65" s="49"/>
    </row>
    <row r="66" ht="15.75" customHeight="1">
      <c r="F66" s="49"/>
    </row>
    <row r="67" ht="15.75" customHeight="1">
      <c r="F67" s="49"/>
    </row>
    <row r="68" ht="15.75" customHeight="1">
      <c r="F68" s="49"/>
    </row>
    <row r="69" ht="15.75" customHeight="1">
      <c r="F69" s="49"/>
    </row>
    <row r="70" ht="15.75" customHeight="1">
      <c r="F70" s="49"/>
    </row>
    <row r="71" ht="15.75" customHeight="1">
      <c r="F71" s="49"/>
    </row>
    <row r="72" ht="15.75" customHeight="1">
      <c r="F72" s="49"/>
    </row>
    <row r="73" ht="15.75" customHeight="1">
      <c r="F73" s="49"/>
    </row>
    <row r="74" ht="15.75" customHeight="1">
      <c r="F74" s="49"/>
    </row>
    <row r="75" ht="15.75" customHeight="1">
      <c r="F75" s="49"/>
    </row>
    <row r="76" ht="15.75" customHeight="1">
      <c r="F76" s="49"/>
    </row>
    <row r="77" ht="15.75" customHeight="1">
      <c r="F77" s="49"/>
    </row>
    <row r="78" ht="15.75" customHeight="1">
      <c r="F78" s="49"/>
    </row>
    <row r="79" ht="15.75" customHeight="1">
      <c r="F79" s="49"/>
    </row>
    <row r="80" ht="15.75" customHeight="1">
      <c r="F80" s="49"/>
    </row>
    <row r="81" ht="15.75" customHeight="1">
      <c r="F81" s="49"/>
    </row>
    <row r="82" ht="15.75" customHeight="1">
      <c r="F82" s="49"/>
    </row>
    <row r="83" ht="15.75" customHeight="1">
      <c r="F83" s="49"/>
    </row>
    <row r="84" ht="15.75" customHeight="1">
      <c r="F84" s="49"/>
    </row>
    <row r="85" ht="15.75" customHeight="1">
      <c r="F85" s="49"/>
    </row>
    <row r="86" ht="15.75" customHeight="1">
      <c r="F86" s="49"/>
    </row>
    <row r="87" ht="15.75" customHeight="1">
      <c r="F87" s="49"/>
    </row>
    <row r="88" ht="15.75" customHeight="1">
      <c r="F88" s="49"/>
    </row>
    <row r="89" ht="15.75" customHeight="1">
      <c r="F89" s="49"/>
    </row>
    <row r="90" ht="15.75" customHeight="1">
      <c r="F90" s="49"/>
    </row>
    <row r="91" ht="15.75" customHeight="1">
      <c r="F91" s="49"/>
    </row>
    <row r="92" ht="15.75" customHeight="1">
      <c r="F92" s="49"/>
    </row>
    <row r="93" ht="15.75" customHeight="1">
      <c r="F93" s="49"/>
    </row>
    <row r="94" ht="15.75" customHeight="1">
      <c r="F94" s="49"/>
    </row>
    <row r="95" ht="15.75" customHeight="1">
      <c r="F95" s="49"/>
    </row>
    <row r="96" ht="15.75" customHeight="1">
      <c r="F96" s="49"/>
    </row>
    <row r="97" ht="15.75" customHeight="1">
      <c r="F97" s="49"/>
    </row>
    <row r="98" ht="15.75" customHeight="1">
      <c r="F98" s="49"/>
    </row>
    <row r="99" ht="15.75" customHeight="1">
      <c r="F99" s="49"/>
    </row>
    <row r="100" ht="15.75" customHeight="1">
      <c r="F100" s="49"/>
    </row>
    <row r="101" ht="15.75" customHeight="1">
      <c r="F101" s="49"/>
    </row>
    <row r="102" ht="15.75" customHeight="1">
      <c r="F102" s="49"/>
    </row>
    <row r="103" ht="15.75" customHeight="1">
      <c r="F103" s="49"/>
    </row>
    <row r="104" ht="15.75" customHeight="1">
      <c r="F104" s="49"/>
    </row>
    <row r="105" ht="15.75" customHeight="1">
      <c r="F105" s="49"/>
    </row>
    <row r="106" ht="15.75" customHeight="1">
      <c r="F106" s="49"/>
    </row>
    <row r="107" ht="15.75" customHeight="1">
      <c r="F107" s="49"/>
    </row>
    <row r="108" ht="15.75" customHeight="1">
      <c r="F108" s="49"/>
    </row>
    <row r="109" ht="15.75" customHeight="1">
      <c r="F109" s="49"/>
    </row>
    <row r="110" ht="15.75" customHeight="1">
      <c r="F110" s="49"/>
    </row>
    <row r="111" ht="15.75" customHeight="1">
      <c r="F111" s="49"/>
    </row>
    <row r="112" ht="15.75" customHeight="1">
      <c r="F112" s="49"/>
    </row>
    <row r="113" ht="15.75" customHeight="1">
      <c r="F113" s="49"/>
    </row>
    <row r="114" ht="15.75" customHeight="1">
      <c r="F114" s="49"/>
    </row>
    <row r="115" ht="15.75" customHeight="1">
      <c r="F115" s="49"/>
    </row>
    <row r="116" ht="15.75" customHeight="1">
      <c r="F116" s="49"/>
    </row>
    <row r="117" ht="15.75" customHeight="1">
      <c r="F117" s="49"/>
    </row>
    <row r="118" ht="15.75" customHeight="1">
      <c r="F118" s="49"/>
    </row>
    <row r="119" ht="15.75" customHeight="1">
      <c r="F119" s="49"/>
    </row>
    <row r="120" ht="15.75" customHeight="1">
      <c r="F120" s="49"/>
    </row>
    <row r="121" ht="15.75" customHeight="1">
      <c r="F121" s="49"/>
    </row>
    <row r="122" ht="15.75" customHeight="1">
      <c r="F122" s="49"/>
    </row>
    <row r="123" ht="15.75" customHeight="1">
      <c r="F123" s="49"/>
    </row>
    <row r="124" ht="15.75" customHeight="1">
      <c r="F124" s="49"/>
    </row>
    <row r="125" ht="15.75" customHeight="1">
      <c r="F125" s="49"/>
    </row>
    <row r="126" ht="15.75" customHeight="1">
      <c r="F126" s="49"/>
    </row>
    <row r="127" ht="15.75" customHeight="1">
      <c r="F127" s="49"/>
    </row>
    <row r="128" ht="15.75" customHeight="1">
      <c r="F128" s="49"/>
    </row>
    <row r="129" ht="15.75" customHeight="1">
      <c r="F129" s="49"/>
    </row>
    <row r="130" ht="15.75" customHeight="1">
      <c r="F130" s="49"/>
    </row>
    <row r="131" ht="15.75" customHeight="1">
      <c r="F131" s="49"/>
    </row>
    <row r="132" ht="15.75" customHeight="1">
      <c r="F132" s="49"/>
    </row>
    <row r="133" ht="15.75" customHeight="1">
      <c r="F133" s="49"/>
    </row>
    <row r="134" ht="15.75" customHeight="1">
      <c r="F134" s="49"/>
    </row>
    <row r="135" ht="15.75" customHeight="1">
      <c r="F135" s="49"/>
    </row>
    <row r="136" ht="15.75" customHeight="1">
      <c r="F136" s="49"/>
    </row>
    <row r="137" ht="15.75" customHeight="1">
      <c r="F137" s="49"/>
    </row>
    <row r="138" ht="15.75" customHeight="1">
      <c r="F138" s="49"/>
    </row>
    <row r="139" ht="15.75" customHeight="1">
      <c r="F139" s="49"/>
    </row>
    <row r="140" ht="15.75" customHeight="1">
      <c r="F140" s="49"/>
    </row>
    <row r="141" ht="15.75" customHeight="1">
      <c r="F141" s="49"/>
    </row>
    <row r="142" ht="15.75" customHeight="1">
      <c r="F142" s="49"/>
    </row>
    <row r="143" ht="15.75" customHeight="1">
      <c r="F143" s="49"/>
    </row>
    <row r="144" ht="15.75" customHeight="1">
      <c r="F144" s="49"/>
    </row>
    <row r="145" ht="15.75" customHeight="1">
      <c r="F145" s="49"/>
    </row>
    <row r="146" ht="15.75" customHeight="1">
      <c r="F146" s="49"/>
    </row>
    <row r="147" ht="15.75" customHeight="1">
      <c r="F147" s="49"/>
    </row>
    <row r="148" ht="15.75" customHeight="1">
      <c r="F148" s="49"/>
    </row>
    <row r="149" ht="15.75" customHeight="1">
      <c r="F149" s="49"/>
    </row>
    <row r="150" ht="15.75" customHeight="1">
      <c r="F150" s="49"/>
    </row>
    <row r="151" ht="15.75" customHeight="1">
      <c r="F151" s="49"/>
    </row>
    <row r="152" ht="15.75" customHeight="1">
      <c r="F152" s="49"/>
    </row>
    <row r="153" ht="15.75" customHeight="1">
      <c r="F153" s="49"/>
    </row>
    <row r="154" ht="15.75" customHeight="1">
      <c r="F154" s="49"/>
    </row>
    <row r="155" ht="15.75" customHeight="1">
      <c r="F155" s="49"/>
    </row>
    <row r="156" ht="15.75" customHeight="1">
      <c r="F156" s="49"/>
    </row>
    <row r="157" ht="15.75" customHeight="1">
      <c r="F157" s="49"/>
    </row>
    <row r="158" ht="15.75" customHeight="1">
      <c r="F158" s="49"/>
    </row>
    <row r="159" ht="15.75" customHeight="1">
      <c r="F159" s="49"/>
    </row>
    <row r="160" ht="15.75" customHeight="1">
      <c r="F160" s="49"/>
    </row>
    <row r="161" ht="15.75" customHeight="1">
      <c r="F161" s="49"/>
    </row>
    <row r="162" ht="15.75" customHeight="1">
      <c r="F162" s="49"/>
    </row>
    <row r="163" ht="15.75" customHeight="1">
      <c r="F163" s="49"/>
    </row>
    <row r="164" ht="15.75" customHeight="1">
      <c r="F164" s="49"/>
    </row>
    <row r="165" ht="15.75" customHeight="1">
      <c r="F165" s="49"/>
    </row>
    <row r="166" ht="15.75" customHeight="1">
      <c r="F166" s="49"/>
    </row>
    <row r="167" ht="15.75" customHeight="1">
      <c r="F167" s="49"/>
    </row>
    <row r="168" ht="15.75" customHeight="1">
      <c r="F168" s="49"/>
    </row>
    <row r="169" ht="15.75" customHeight="1">
      <c r="F169" s="49"/>
    </row>
    <row r="170" ht="15.75" customHeight="1">
      <c r="F170" s="49"/>
    </row>
    <row r="171" ht="15.75" customHeight="1">
      <c r="F171" s="49"/>
    </row>
    <row r="172" ht="15.75" customHeight="1">
      <c r="F172" s="49"/>
    </row>
    <row r="173" ht="15.75" customHeight="1">
      <c r="F173" s="49"/>
    </row>
    <row r="174" ht="15.75" customHeight="1">
      <c r="F174" s="49"/>
    </row>
    <row r="175" ht="15.75" customHeight="1">
      <c r="F175" s="49"/>
    </row>
    <row r="176" ht="15.75" customHeight="1">
      <c r="F176" s="49"/>
    </row>
    <row r="177" ht="15.75" customHeight="1">
      <c r="F177" s="49"/>
    </row>
    <row r="178" ht="15.75" customHeight="1">
      <c r="F178" s="49"/>
    </row>
    <row r="179" ht="15.75" customHeight="1">
      <c r="F179" s="49"/>
    </row>
    <row r="180" ht="15.75" customHeight="1">
      <c r="F180" s="49"/>
    </row>
    <row r="181" ht="15.75" customHeight="1">
      <c r="F181" s="49"/>
    </row>
    <row r="182" ht="15.75" customHeight="1">
      <c r="F182" s="49"/>
    </row>
    <row r="183" ht="15.75" customHeight="1">
      <c r="F183" s="49"/>
    </row>
    <row r="184" ht="15.75" customHeight="1">
      <c r="F184" s="49"/>
    </row>
    <row r="185" ht="15.75" customHeight="1">
      <c r="F185" s="49"/>
    </row>
    <row r="186" ht="15.75" customHeight="1">
      <c r="F186" s="49"/>
    </row>
    <row r="187" ht="15.75" customHeight="1">
      <c r="F187" s="49"/>
    </row>
    <row r="188" ht="15.75" customHeight="1">
      <c r="F188" s="49"/>
    </row>
    <row r="189" ht="15.75" customHeight="1">
      <c r="F189" s="49"/>
    </row>
    <row r="190" ht="15.75" customHeight="1">
      <c r="F190" s="49"/>
    </row>
    <row r="191" ht="15.75" customHeight="1">
      <c r="F191" s="49"/>
    </row>
    <row r="192" ht="15.75" customHeight="1">
      <c r="F192" s="49"/>
    </row>
    <row r="193" ht="15.75" customHeight="1">
      <c r="F193" s="49"/>
    </row>
    <row r="194" ht="15.75" customHeight="1">
      <c r="F194" s="49"/>
    </row>
    <row r="195" ht="15.75" customHeight="1">
      <c r="F195" s="49"/>
    </row>
    <row r="196" ht="15.75" customHeight="1">
      <c r="F196" s="49"/>
    </row>
    <row r="197" ht="15.75" customHeight="1">
      <c r="F197" s="49"/>
    </row>
    <row r="198" ht="15.75" customHeight="1">
      <c r="F198" s="49"/>
    </row>
    <row r="199" ht="15.75" customHeight="1">
      <c r="F199" s="49"/>
    </row>
    <row r="200" ht="15.75" customHeight="1">
      <c r="F200" s="49"/>
    </row>
    <row r="201" ht="15.75" customHeight="1">
      <c r="F201" s="49"/>
    </row>
    <row r="202" ht="15.75" customHeight="1">
      <c r="F202" s="49"/>
    </row>
    <row r="203" ht="15.75" customHeight="1">
      <c r="F203" s="49"/>
    </row>
    <row r="204" ht="15.75" customHeight="1">
      <c r="F204" s="49"/>
    </row>
    <row r="205" ht="15.75" customHeight="1">
      <c r="F205" s="49"/>
    </row>
    <row r="206" ht="15.75" customHeight="1">
      <c r="F206" s="49"/>
    </row>
    <row r="207" ht="15.75" customHeight="1">
      <c r="F207" s="49"/>
    </row>
    <row r="208" ht="15.75" customHeight="1">
      <c r="F208" s="49"/>
    </row>
    <row r="209" ht="15.75" customHeight="1">
      <c r="F209" s="49"/>
    </row>
    <row r="210" ht="15.75" customHeight="1">
      <c r="F210" s="49"/>
    </row>
    <row r="211" ht="15.75" customHeight="1">
      <c r="F211" s="49"/>
    </row>
    <row r="212" ht="15.75" customHeight="1">
      <c r="F212" s="49"/>
    </row>
    <row r="213" ht="15.75" customHeight="1">
      <c r="F213" s="49"/>
    </row>
    <row r="214" ht="15.75" customHeight="1">
      <c r="F214" s="49"/>
    </row>
    <row r="215" ht="15.75" customHeight="1">
      <c r="F215" s="49"/>
    </row>
    <row r="216" ht="15.75" customHeight="1">
      <c r="F216" s="49"/>
    </row>
    <row r="217" ht="15.75" customHeight="1">
      <c r="F217" s="49"/>
    </row>
    <row r="218" ht="15.75" customHeight="1">
      <c r="F218" s="49"/>
    </row>
    <row r="219" ht="15.75" customHeight="1">
      <c r="F219" s="49"/>
    </row>
    <row r="220" ht="15.75" customHeight="1">
      <c r="F220" s="49"/>
    </row>
    <row r="221" ht="15.75" customHeight="1">
      <c r="F221" s="49"/>
    </row>
    <row r="222" ht="15.75" customHeight="1">
      <c r="F222" s="49"/>
    </row>
    <row r="223" ht="15.75" customHeight="1">
      <c r="F223" s="49"/>
    </row>
    <row r="224" ht="15.75" customHeight="1">
      <c r="F224" s="49"/>
    </row>
    <row r="225" ht="15.75" customHeight="1">
      <c r="F225" s="49"/>
    </row>
    <row r="226" ht="15.75" customHeight="1">
      <c r="F226" s="49"/>
    </row>
    <row r="227" ht="15.75" customHeight="1">
      <c r="F227" s="49"/>
    </row>
    <row r="228" ht="15.75" customHeight="1">
      <c r="F228" s="49"/>
    </row>
    <row r="229" ht="15.75" customHeight="1">
      <c r="F229" s="49"/>
    </row>
    <row r="230" ht="15.75" customHeight="1">
      <c r="F230" s="49"/>
    </row>
    <row r="231" ht="15.75" customHeight="1">
      <c r="F231" s="49"/>
    </row>
    <row r="232" ht="15.75" customHeight="1">
      <c r="F232" s="49"/>
    </row>
    <row r="233" ht="15.75" customHeight="1">
      <c r="F233" s="49"/>
    </row>
    <row r="234" ht="15.75" customHeight="1">
      <c r="F234" s="49"/>
    </row>
    <row r="235" ht="15.75" customHeight="1">
      <c r="F235" s="49"/>
    </row>
    <row r="236" ht="15.75" customHeight="1">
      <c r="F236" s="49"/>
    </row>
    <row r="237" ht="15.75" customHeight="1">
      <c r="F237" s="49"/>
    </row>
    <row r="238" ht="15.75" customHeight="1">
      <c r="F238" s="49"/>
    </row>
    <row r="239" ht="15.75" customHeight="1">
      <c r="F239" s="49"/>
    </row>
    <row r="240" ht="15.75" customHeight="1">
      <c r="F240" s="49"/>
    </row>
    <row r="241" ht="15.75" customHeight="1">
      <c r="F241" s="49"/>
    </row>
    <row r="242" ht="15.75" customHeight="1">
      <c r="F242" s="49"/>
    </row>
    <row r="243" ht="15.75" customHeight="1">
      <c r="F243" s="49"/>
    </row>
    <row r="244" ht="15.75" customHeight="1">
      <c r="F244" s="49"/>
    </row>
    <row r="245" ht="15.75" customHeight="1">
      <c r="F245" s="49"/>
    </row>
    <row r="246" ht="15.75" customHeight="1">
      <c r="F246" s="49"/>
    </row>
    <row r="247" ht="15.75" customHeight="1">
      <c r="F247" s="49"/>
    </row>
    <row r="248" ht="15.75" customHeight="1">
      <c r="F248" s="49"/>
    </row>
    <row r="249" ht="15.75" customHeight="1">
      <c r="F249" s="49"/>
    </row>
    <row r="250" ht="15.75" customHeight="1">
      <c r="F250" s="49"/>
    </row>
    <row r="251" ht="15.75" customHeight="1">
      <c r="F251" s="49"/>
    </row>
    <row r="252" ht="15.75" customHeight="1">
      <c r="F252" s="49"/>
    </row>
    <row r="253" ht="15.75" customHeight="1">
      <c r="F253" s="49"/>
    </row>
    <row r="254" ht="15.75" customHeight="1">
      <c r="F254" s="49"/>
    </row>
    <row r="255" ht="15.75" customHeight="1">
      <c r="F255" s="49"/>
    </row>
    <row r="256" ht="15.75" customHeight="1">
      <c r="F256" s="49"/>
    </row>
    <row r="257" ht="15.75" customHeight="1">
      <c r="F257" s="49"/>
    </row>
    <row r="258" ht="15.75" customHeight="1">
      <c r="F258" s="49"/>
    </row>
    <row r="259" ht="15.75" customHeight="1">
      <c r="F259" s="49"/>
    </row>
    <row r="260" ht="15.75" customHeight="1">
      <c r="F260" s="49"/>
    </row>
    <row r="261" ht="15.75" customHeight="1">
      <c r="F261" s="49"/>
    </row>
    <row r="262" ht="15.75" customHeight="1">
      <c r="F262" s="49"/>
    </row>
    <row r="263" ht="15.75" customHeight="1">
      <c r="F263" s="49"/>
    </row>
    <row r="264" ht="15.75" customHeight="1">
      <c r="F264" s="49"/>
    </row>
    <row r="265" ht="15.75" customHeight="1">
      <c r="F265" s="49"/>
    </row>
    <row r="266" ht="15.75" customHeight="1">
      <c r="F266" s="49"/>
    </row>
    <row r="267" ht="15.75" customHeight="1">
      <c r="F267" s="49"/>
    </row>
    <row r="268" ht="15.75" customHeight="1">
      <c r="F268" s="49"/>
    </row>
    <row r="269" ht="15.75" customHeight="1">
      <c r="F269" s="49"/>
    </row>
    <row r="270" ht="15.75" customHeight="1">
      <c r="F270" s="49"/>
    </row>
    <row r="271" ht="15.75" customHeight="1">
      <c r="F271" s="49"/>
    </row>
    <row r="272" ht="15.75" customHeight="1">
      <c r="F272" s="49"/>
    </row>
    <row r="273" ht="15.75" customHeight="1">
      <c r="F273" s="49"/>
    </row>
    <row r="274" ht="15.75" customHeight="1">
      <c r="F274" s="49"/>
    </row>
    <row r="275" ht="15.75" customHeight="1">
      <c r="F275" s="49"/>
    </row>
    <row r="276" ht="15.75" customHeight="1">
      <c r="F276" s="49"/>
    </row>
    <row r="277" ht="15.75" customHeight="1">
      <c r="F277" s="49"/>
    </row>
    <row r="278" ht="15.75" customHeight="1">
      <c r="F278" s="49"/>
    </row>
    <row r="279" ht="15.75" customHeight="1">
      <c r="F279" s="49"/>
    </row>
    <row r="280" ht="15.75" customHeight="1">
      <c r="F280" s="49"/>
    </row>
    <row r="281" ht="15.75" customHeight="1">
      <c r="F281" s="49"/>
    </row>
    <row r="282" ht="15.75" customHeight="1">
      <c r="F282" s="49"/>
    </row>
    <row r="283" ht="15.75" customHeight="1">
      <c r="F283" s="49"/>
    </row>
    <row r="284" ht="15.75" customHeight="1">
      <c r="F284" s="49"/>
    </row>
    <row r="285" ht="15.75" customHeight="1">
      <c r="F285" s="49"/>
    </row>
    <row r="286" ht="15.75" customHeight="1">
      <c r="F286" s="49"/>
    </row>
    <row r="287" ht="15.75" customHeight="1">
      <c r="F287" s="49"/>
    </row>
    <row r="288" ht="15.75" customHeight="1">
      <c r="F288" s="49"/>
    </row>
    <row r="289" ht="15.75" customHeight="1">
      <c r="F289" s="49"/>
    </row>
    <row r="290" ht="15.75" customHeight="1">
      <c r="F290" s="49"/>
    </row>
    <row r="291" ht="15.75" customHeight="1">
      <c r="F291" s="49"/>
    </row>
    <row r="292" ht="15.75" customHeight="1">
      <c r="F292" s="49"/>
    </row>
    <row r="293" ht="15.75" customHeight="1">
      <c r="F293" s="49"/>
    </row>
    <row r="294" ht="15.75" customHeight="1">
      <c r="F294" s="49"/>
    </row>
    <row r="295" ht="15.75" customHeight="1">
      <c r="F295" s="49"/>
    </row>
    <row r="296" ht="15.75" customHeight="1">
      <c r="F296" s="49"/>
    </row>
    <row r="297" ht="15.75" customHeight="1">
      <c r="F297" s="49"/>
    </row>
    <row r="298" ht="15.75" customHeight="1">
      <c r="F298" s="49"/>
    </row>
    <row r="299" ht="15.75" customHeight="1">
      <c r="F299" s="49"/>
    </row>
    <row r="300" ht="15.75" customHeight="1">
      <c r="F300" s="49"/>
    </row>
    <row r="301" ht="15.75" customHeight="1">
      <c r="F301" s="49"/>
    </row>
    <row r="302" ht="15.75" customHeight="1">
      <c r="F302" s="49"/>
    </row>
    <row r="303" ht="15.75" customHeight="1">
      <c r="F303" s="49"/>
    </row>
    <row r="304" ht="15.75" customHeight="1">
      <c r="F304" s="49"/>
    </row>
    <row r="305" ht="15.75" customHeight="1">
      <c r="F305" s="49"/>
    </row>
    <row r="306" ht="15.75" customHeight="1">
      <c r="F306" s="49"/>
    </row>
    <row r="307" ht="15.75" customHeight="1">
      <c r="F307" s="49"/>
    </row>
    <row r="308" ht="15.75" customHeight="1">
      <c r="F308" s="49"/>
    </row>
    <row r="309" ht="15.75" customHeight="1">
      <c r="F309" s="49"/>
    </row>
    <row r="310" ht="15.75" customHeight="1">
      <c r="F310" s="49"/>
    </row>
    <row r="311" ht="15.75" customHeight="1">
      <c r="F311" s="49"/>
    </row>
    <row r="312" ht="15.75" customHeight="1">
      <c r="F312" s="49"/>
    </row>
    <row r="313" ht="15.75" customHeight="1">
      <c r="F313" s="49"/>
    </row>
    <row r="314" ht="15.75" customHeight="1">
      <c r="F314" s="49"/>
    </row>
    <row r="315" ht="15.75" customHeight="1">
      <c r="F315" s="49"/>
    </row>
    <row r="316" ht="15.75" customHeight="1">
      <c r="F316" s="49"/>
    </row>
    <row r="317" ht="15.75" customHeight="1">
      <c r="F317" s="49"/>
    </row>
    <row r="318" ht="15.75" customHeight="1">
      <c r="F318" s="49"/>
    </row>
    <row r="319" ht="15.75" customHeight="1">
      <c r="F319" s="49"/>
    </row>
    <row r="320" ht="15.75" customHeight="1">
      <c r="F320" s="49"/>
    </row>
    <row r="321" ht="15.75" customHeight="1">
      <c r="F321" s="49"/>
    </row>
    <row r="322" ht="15.75" customHeight="1">
      <c r="F322" s="49"/>
    </row>
    <row r="323" ht="15.75" customHeight="1">
      <c r="F323" s="49"/>
    </row>
    <row r="324" ht="15.75" customHeight="1">
      <c r="F324" s="49"/>
    </row>
    <row r="325" ht="15.75" customHeight="1">
      <c r="F325" s="49"/>
    </row>
    <row r="326" ht="15.75" customHeight="1">
      <c r="F326" s="49"/>
    </row>
    <row r="327" ht="15.75" customHeight="1">
      <c r="F327" s="49"/>
    </row>
    <row r="328" ht="15.75" customHeight="1">
      <c r="F328" s="49"/>
    </row>
    <row r="329" ht="15.75" customHeight="1">
      <c r="F329" s="49"/>
    </row>
    <row r="330" ht="15.75" customHeight="1">
      <c r="F330" s="49"/>
    </row>
    <row r="331" ht="15.75" customHeight="1">
      <c r="F331" s="49"/>
    </row>
    <row r="332" ht="15.75" customHeight="1">
      <c r="F332" s="49"/>
    </row>
    <row r="333" ht="15.75" customHeight="1">
      <c r="F333" s="49"/>
    </row>
    <row r="334" ht="15.75" customHeight="1">
      <c r="F334" s="49"/>
    </row>
    <row r="335" ht="15.75" customHeight="1">
      <c r="F335" s="49"/>
    </row>
    <row r="336" ht="15.75" customHeight="1">
      <c r="F336" s="49"/>
    </row>
    <row r="337" ht="15.75" customHeight="1">
      <c r="F337" s="49"/>
    </row>
    <row r="338" ht="15.75" customHeight="1">
      <c r="F338" s="49"/>
    </row>
    <row r="339" ht="15.75" customHeight="1">
      <c r="F339" s="49"/>
    </row>
    <row r="340" ht="15.75" customHeight="1">
      <c r="F340" s="49"/>
    </row>
    <row r="341" ht="15.75" customHeight="1">
      <c r="F341" s="49"/>
    </row>
    <row r="342" ht="15.75" customHeight="1">
      <c r="F342" s="49"/>
    </row>
    <row r="343" ht="15.75" customHeight="1">
      <c r="F343" s="49"/>
    </row>
    <row r="344" ht="15.75" customHeight="1">
      <c r="F344" s="49"/>
    </row>
    <row r="345" ht="15.75" customHeight="1">
      <c r="F345" s="49"/>
    </row>
    <row r="346" ht="15.75" customHeight="1">
      <c r="F346" s="49"/>
    </row>
    <row r="347" ht="15.75" customHeight="1">
      <c r="F347" s="49"/>
    </row>
    <row r="348" ht="15.75" customHeight="1">
      <c r="F348" s="49"/>
    </row>
    <row r="349" ht="15.75" customHeight="1">
      <c r="F349" s="49"/>
    </row>
    <row r="350" ht="15.75" customHeight="1">
      <c r="F350" s="49"/>
    </row>
    <row r="351" ht="15.75" customHeight="1">
      <c r="F351" s="49"/>
    </row>
    <row r="352" ht="15.75" customHeight="1">
      <c r="F352" s="49"/>
    </row>
    <row r="353" ht="15.75" customHeight="1">
      <c r="F353" s="49"/>
    </row>
    <row r="354" ht="15.75" customHeight="1">
      <c r="F354" s="49"/>
    </row>
    <row r="355" ht="15.75" customHeight="1">
      <c r="F355" s="49"/>
    </row>
    <row r="356" ht="15.75" customHeight="1">
      <c r="F356" s="49"/>
    </row>
    <row r="357" ht="15.75" customHeight="1">
      <c r="F357" s="49"/>
    </row>
    <row r="358" ht="15.75" customHeight="1">
      <c r="F358" s="49"/>
    </row>
    <row r="359" ht="15.75" customHeight="1">
      <c r="F359" s="49"/>
    </row>
    <row r="360" ht="15.75" customHeight="1">
      <c r="F360" s="49"/>
    </row>
    <row r="361" ht="15.75" customHeight="1">
      <c r="F361" s="49"/>
    </row>
    <row r="362" ht="15.75" customHeight="1">
      <c r="F362" s="49"/>
    </row>
    <row r="363" ht="15.75" customHeight="1">
      <c r="F363" s="49"/>
    </row>
    <row r="364" ht="15.75" customHeight="1">
      <c r="F364" s="49"/>
    </row>
    <row r="365" ht="15.75" customHeight="1">
      <c r="F365" s="49"/>
    </row>
    <row r="366" ht="15.75" customHeight="1">
      <c r="F366" s="49"/>
    </row>
    <row r="367" ht="15.75" customHeight="1">
      <c r="F367" s="49"/>
    </row>
    <row r="368" ht="15.75" customHeight="1">
      <c r="F368" s="49"/>
    </row>
    <row r="369" ht="15.75" customHeight="1">
      <c r="F369" s="49"/>
    </row>
    <row r="370" ht="15.75" customHeight="1">
      <c r="F370" s="49"/>
    </row>
    <row r="371" ht="15.75" customHeight="1">
      <c r="F371" s="49"/>
    </row>
    <row r="372" ht="15.75" customHeight="1">
      <c r="F372" s="49"/>
    </row>
    <row r="373" ht="15.75" customHeight="1">
      <c r="F373" s="49"/>
    </row>
    <row r="374" ht="15.75" customHeight="1">
      <c r="F374" s="49"/>
    </row>
    <row r="375" ht="15.75" customHeight="1">
      <c r="F375" s="49"/>
    </row>
    <row r="376" ht="15.75" customHeight="1">
      <c r="F376" s="49"/>
    </row>
    <row r="377" ht="15.75" customHeight="1">
      <c r="F377" s="49"/>
    </row>
    <row r="378" ht="15.75" customHeight="1">
      <c r="F378" s="49"/>
    </row>
    <row r="379" ht="15.75" customHeight="1">
      <c r="F379" s="49"/>
    </row>
    <row r="380" ht="15.75" customHeight="1">
      <c r="F380" s="49"/>
    </row>
    <row r="381" ht="15.75" customHeight="1">
      <c r="F381" s="49"/>
    </row>
    <row r="382" ht="15.75" customHeight="1">
      <c r="F382" s="49"/>
    </row>
    <row r="383" ht="15.75" customHeight="1">
      <c r="F383" s="49"/>
    </row>
    <row r="384" ht="15.75" customHeight="1">
      <c r="F384" s="49"/>
    </row>
    <row r="385" ht="15.75" customHeight="1">
      <c r="F385" s="49"/>
    </row>
    <row r="386" ht="15.75" customHeight="1">
      <c r="F386" s="49"/>
    </row>
    <row r="387" ht="15.75" customHeight="1">
      <c r="F387" s="49"/>
    </row>
    <row r="388" ht="15.75" customHeight="1">
      <c r="F388" s="49"/>
    </row>
    <row r="389" ht="15.75" customHeight="1">
      <c r="F389" s="49"/>
    </row>
    <row r="390" ht="15.75" customHeight="1">
      <c r="F390" s="49"/>
    </row>
    <row r="391" ht="15.75" customHeight="1">
      <c r="F391" s="49"/>
    </row>
    <row r="392" ht="15.75" customHeight="1">
      <c r="F392" s="49"/>
    </row>
    <row r="393" ht="15.75" customHeight="1">
      <c r="F393" s="49"/>
    </row>
    <row r="394" ht="15.75" customHeight="1">
      <c r="F394" s="49"/>
    </row>
    <row r="395" ht="15.75" customHeight="1">
      <c r="F395" s="49"/>
    </row>
    <row r="396" ht="15.75" customHeight="1">
      <c r="F396" s="49"/>
    </row>
    <row r="397" ht="15.75" customHeight="1">
      <c r="F397" s="49"/>
    </row>
    <row r="398" ht="15.75" customHeight="1">
      <c r="F398" s="49"/>
    </row>
    <row r="399" ht="15.75" customHeight="1">
      <c r="F399" s="49"/>
    </row>
    <row r="400" ht="15.75" customHeight="1">
      <c r="F400" s="49"/>
    </row>
    <row r="401" ht="15.75" customHeight="1">
      <c r="F401" s="49"/>
    </row>
    <row r="402" ht="15.75" customHeight="1">
      <c r="F402" s="49"/>
    </row>
    <row r="403" ht="15.75" customHeight="1">
      <c r="F403" s="49"/>
    </row>
    <row r="404" ht="15.75" customHeight="1">
      <c r="F404" s="49"/>
    </row>
    <row r="405" ht="15.75" customHeight="1">
      <c r="F405" s="49"/>
    </row>
    <row r="406" ht="15.75" customHeight="1">
      <c r="F406" s="49"/>
    </row>
    <row r="407" ht="15.75" customHeight="1">
      <c r="F407" s="49"/>
    </row>
    <row r="408" ht="15.75" customHeight="1">
      <c r="F408" s="49"/>
    </row>
    <row r="409" ht="15.75" customHeight="1">
      <c r="F409" s="49"/>
    </row>
    <row r="410" ht="15.75" customHeight="1">
      <c r="F410" s="49"/>
    </row>
    <row r="411" ht="15.75" customHeight="1">
      <c r="F411" s="49"/>
    </row>
    <row r="412" ht="15.75" customHeight="1">
      <c r="F412" s="49"/>
    </row>
    <row r="413" ht="15.75" customHeight="1">
      <c r="F413" s="49"/>
    </row>
    <row r="414" ht="15.75" customHeight="1">
      <c r="F414" s="49"/>
    </row>
    <row r="415" ht="15.75" customHeight="1">
      <c r="F415" s="49"/>
    </row>
    <row r="416" ht="15.75" customHeight="1">
      <c r="F416" s="49"/>
    </row>
    <row r="417" ht="15.75" customHeight="1">
      <c r="F417" s="49"/>
    </row>
    <row r="418" ht="15.75" customHeight="1">
      <c r="F418" s="49"/>
    </row>
    <row r="419" ht="15.75" customHeight="1">
      <c r="F419" s="49"/>
    </row>
    <row r="420" ht="15.75" customHeight="1">
      <c r="F420" s="49"/>
    </row>
    <row r="421" ht="15.75" customHeight="1">
      <c r="F421" s="49"/>
    </row>
    <row r="422" ht="15.75" customHeight="1">
      <c r="F422" s="49"/>
    </row>
    <row r="423" ht="15.75" customHeight="1">
      <c r="F423" s="49"/>
    </row>
    <row r="424" ht="15.75" customHeight="1">
      <c r="F424" s="49"/>
    </row>
    <row r="425" ht="15.75" customHeight="1">
      <c r="F425" s="49"/>
    </row>
    <row r="426" ht="15.75" customHeight="1">
      <c r="F426" s="49"/>
    </row>
    <row r="427" ht="15.75" customHeight="1">
      <c r="F427" s="49"/>
    </row>
    <row r="428" ht="15.75" customHeight="1">
      <c r="F428" s="49"/>
    </row>
    <row r="429" ht="15.75" customHeight="1">
      <c r="F429" s="49"/>
    </row>
    <row r="430" ht="15.75" customHeight="1">
      <c r="F430" s="49"/>
    </row>
    <row r="431" ht="15.75" customHeight="1">
      <c r="F431" s="49"/>
    </row>
    <row r="432" ht="15.75" customHeight="1">
      <c r="F432" s="49"/>
    </row>
    <row r="433" ht="15.75" customHeight="1">
      <c r="F433" s="49"/>
    </row>
    <row r="434" ht="15.75" customHeight="1">
      <c r="F434" s="49"/>
    </row>
    <row r="435" ht="15.75" customHeight="1">
      <c r="F435" s="49"/>
    </row>
    <row r="436" ht="15.75" customHeight="1">
      <c r="F436" s="49"/>
    </row>
    <row r="437" ht="15.75" customHeight="1">
      <c r="F437" s="49"/>
    </row>
    <row r="438" ht="15.75" customHeight="1">
      <c r="F438" s="49"/>
    </row>
    <row r="439" ht="15.75" customHeight="1">
      <c r="F439" s="49"/>
    </row>
    <row r="440" ht="15.75" customHeight="1">
      <c r="F440" s="49"/>
    </row>
    <row r="441" ht="15.75" customHeight="1">
      <c r="F441" s="49"/>
    </row>
    <row r="442" ht="15.75" customHeight="1">
      <c r="F442" s="49"/>
    </row>
    <row r="443" ht="15.75" customHeight="1">
      <c r="F443" s="49"/>
    </row>
    <row r="444" ht="15.75" customHeight="1">
      <c r="F444" s="49"/>
    </row>
    <row r="445" ht="15.75" customHeight="1">
      <c r="F445" s="49"/>
    </row>
    <row r="446" ht="15.75" customHeight="1">
      <c r="F446" s="49"/>
    </row>
    <row r="447" ht="15.75" customHeight="1">
      <c r="F447" s="49"/>
    </row>
    <row r="448" ht="15.75" customHeight="1">
      <c r="F448" s="49"/>
    </row>
    <row r="449" ht="15.75" customHeight="1">
      <c r="F449" s="49"/>
    </row>
    <row r="450" ht="15.75" customHeight="1">
      <c r="F450" s="49"/>
    </row>
    <row r="451" ht="15.75" customHeight="1">
      <c r="F451" s="49"/>
    </row>
    <row r="452" ht="15.75" customHeight="1">
      <c r="F452" s="49"/>
    </row>
    <row r="453" ht="15.75" customHeight="1">
      <c r="F453" s="49"/>
    </row>
    <row r="454" ht="15.75" customHeight="1">
      <c r="F454" s="49"/>
    </row>
    <row r="455" ht="15.75" customHeight="1">
      <c r="F455" s="49"/>
    </row>
    <row r="456" ht="15.75" customHeight="1">
      <c r="F456" s="49"/>
    </row>
    <row r="457" ht="15.75" customHeight="1">
      <c r="F457" s="49"/>
    </row>
    <row r="458" ht="15.75" customHeight="1">
      <c r="F458" s="49"/>
    </row>
    <row r="459" ht="15.75" customHeight="1">
      <c r="F459" s="49"/>
    </row>
    <row r="460" ht="15.75" customHeight="1">
      <c r="F460" s="49"/>
    </row>
    <row r="461" ht="15.75" customHeight="1">
      <c r="F461" s="49"/>
    </row>
    <row r="462" ht="15.75" customHeight="1">
      <c r="F462" s="49"/>
    </row>
    <row r="463" ht="15.75" customHeight="1">
      <c r="F463" s="49"/>
    </row>
    <row r="464" ht="15.75" customHeight="1">
      <c r="F464" s="49"/>
    </row>
    <row r="465" ht="15.75" customHeight="1">
      <c r="F465" s="49"/>
    </row>
    <row r="466" ht="15.75" customHeight="1">
      <c r="F466" s="49"/>
    </row>
    <row r="467" ht="15.75" customHeight="1">
      <c r="F467" s="49"/>
    </row>
    <row r="468" ht="15.75" customHeight="1">
      <c r="F468" s="49"/>
    </row>
    <row r="469" ht="15.75" customHeight="1">
      <c r="F469" s="49"/>
    </row>
    <row r="470" ht="15.75" customHeight="1">
      <c r="F470" s="49"/>
    </row>
    <row r="471" ht="15.75" customHeight="1">
      <c r="F471" s="49"/>
    </row>
    <row r="472" ht="15.75" customHeight="1">
      <c r="F472" s="49"/>
    </row>
    <row r="473" ht="15.75" customHeight="1">
      <c r="F473" s="49"/>
    </row>
    <row r="474" ht="15.75" customHeight="1">
      <c r="F474" s="49"/>
    </row>
    <row r="475" ht="15.75" customHeight="1">
      <c r="F475" s="49"/>
    </row>
    <row r="476" ht="15.75" customHeight="1">
      <c r="F476" s="49"/>
    </row>
    <row r="477" ht="15.75" customHeight="1">
      <c r="F477" s="49"/>
    </row>
    <row r="478" ht="15.75" customHeight="1">
      <c r="F478" s="49"/>
    </row>
    <row r="479" ht="15.75" customHeight="1">
      <c r="F479" s="49"/>
    </row>
    <row r="480" ht="15.75" customHeight="1">
      <c r="F480" s="49"/>
    </row>
    <row r="481" ht="15.75" customHeight="1">
      <c r="F481" s="49"/>
    </row>
    <row r="482" ht="15.75" customHeight="1">
      <c r="F482" s="49"/>
    </row>
    <row r="483" ht="15.75" customHeight="1">
      <c r="F483" s="49"/>
    </row>
    <row r="484" ht="15.75" customHeight="1">
      <c r="F484" s="49"/>
    </row>
    <row r="485" ht="15.75" customHeight="1">
      <c r="F485" s="49"/>
    </row>
    <row r="486" ht="15.75" customHeight="1">
      <c r="F486" s="49"/>
    </row>
    <row r="487" ht="15.75" customHeight="1">
      <c r="F487" s="49"/>
    </row>
    <row r="488" ht="15.75" customHeight="1">
      <c r="F488" s="49"/>
    </row>
    <row r="489" ht="15.75" customHeight="1">
      <c r="F489" s="49"/>
    </row>
    <row r="490" ht="15.75" customHeight="1">
      <c r="F490" s="49"/>
    </row>
    <row r="491" ht="15.75" customHeight="1">
      <c r="F491" s="49"/>
    </row>
    <row r="492" ht="15.75" customHeight="1">
      <c r="F492" s="49"/>
    </row>
    <row r="493" ht="15.75" customHeight="1">
      <c r="F493" s="49"/>
    </row>
    <row r="494" ht="15.75" customHeight="1">
      <c r="F494" s="49"/>
    </row>
    <row r="495" ht="15.75" customHeight="1">
      <c r="F495" s="49"/>
    </row>
    <row r="496" ht="15.75" customHeight="1">
      <c r="F496" s="49"/>
    </row>
    <row r="497" ht="15.75" customHeight="1">
      <c r="F497" s="49"/>
    </row>
    <row r="498" ht="15.75" customHeight="1">
      <c r="F498" s="49"/>
    </row>
    <row r="499" ht="15.75" customHeight="1">
      <c r="F499" s="49"/>
    </row>
    <row r="500" ht="15.75" customHeight="1">
      <c r="F500" s="49"/>
    </row>
    <row r="501" ht="15.75" customHeight="1">
      <c r="F501" s="49"/>
    </row>
    <row r="502" ht="15.75" customHeight="1">
      <c r="F502" s="49"/>
    </row>
    <row r="503" ht="15.75" customHeight="1">
      <c r="F503" s="49"/>
    </row>
    <row r="504" ht="15.75" customHeight="1">
      <c r="F504" s="49"/>
    </row>
    <row r="505" ht="15.75" customHeight="1">
      <c r="F505" s="49"/>
    </row>
    <row r="506" ht="15.75" customHeight="1">
      <c r="F506" s="49"/>
    </row>
    <row r="507" ht="15.75" customHeight="1">
      <c r="F507" s="49"/>
    </row>
    <row r="508" ht="15.75" customHeight="1">
      <c r="F508" s="49"/>
    </row>
    <row r="509" ht="15.75" customHeight="1">
      <c r="F509" s="49"/>
    </row>
    <row r="510" ht="15.75" customHeight="1">
      <c r="F510" s="49"/>
    </row>
    <row r="511" ht="15.75" customHeight="1">
      <c r="F511" s="49"/>
    </row>
    <row r="512" ht="15.75" customHeight="1">
      <c r="F512" s="49"/>
    </row>
    <row r="513" ht="15.75" customHeight="1">
      <c r="F513" s="49"/>
    </row>
    <row r="514" ht="15.75" customHeight="1">
      <c r="F514" s="49"/>
    </row>
    <row r="515" ht="15.75" customHeight="1">
      <c r="F515" s="49"/>
    </row>
    <row r="516" ht="15.75" customHeight="1">
      <c r="F516" s="49"/>
    </row>
    <row r="517" ht="15.75" customHeight="1">
      <c r="F517" s="49"/>
    </row>
    <row r="518" ht="15.75" customHeight="1">
      <c r="F518" s="49"/>
    </row>
    <row r="519" ht="15.75" customHeight="1">
      <c r="F519" s="49"/>
    </row>
    <row r="520" ht="15.75" customHeight="1">
      <c r="F520" s="49"/>
    </row>
    <row r="521" ht="15.75" customHeight="1">
      <c r="F521" s="49"/>
    </row>
    <row r="522" ht="15.75" customHeight="1">
      <c r="F522" s="49"/>
    </row>
    <row r="523" ht="15.75" customHeight="1">
      <c r="F523" s="49"/>
    </row>
    <row r="524" ht="15.75" customHeight="1">
      <c r="F524" s="49"/>
    </row>
    <row r="525" ht="15.75" customHeight="1">
      <c r="F525" s="49"/>
    </row>
    <row r="526" ht="15.75" customHeight="1">
      <c r="F526" s="49"/>
    </row>
    <row r="527" ht="15.75" customHeight="1">
      <c r="F527" s="49"/>
    </row>
    <row r="528" ht="15.75" customHeight="1">
      <c r="F528" s="49"/>
    </row>
    <row r="529" ht="15.75" customHeight="1">
      <c r="F529" s="49"/>
    </row>
    <row r="530" ht="15.75" customHeight="1">
      <c r="F530" s="49"/>
    </row>
    <row r="531" ht="15.75" customHeight="1">
      <c r="F531" s="49"/>
    </row>
    <row r="532" ht="15.75" customHeight="1">
      <c r="F532" s="49"/>
    </row>
    <row r="533" ht="15.75" customHeight="1">
      <c r="F533" s="49"/>
    </row>
    <row r="534" ht="15.75" customHeight="1">
      <c r="F534" s="49"/>
    </row>
    <row r="535" ht="15.75" customHeight="1">
      <c r="F535" s="49"/>
    </row>
    <row r="536" ht="15.75" customHeight="1">
      <c r="F536" s="49"/>
    </row>
    <row r="537" ht="15.75" customHeight="1">
      <c r="F537" s="49"/>
    </row>
    <row r="538" ht="15.75" customHeight="1">
      <c r="F538" s="49"/>
    </row>
    <row r="539" ht="15.75" customHeight="1">
      <c r="F539" s="49"/>
    </row>
    <row r="540" ht="15.75" customHeight="1">
      <c r="F540" s="49"/>
    </row>
    <row r="541" ht="15.75" customHeight="1">
      <c r="F541" s="49"/>
    </row>
    <row r="542" ht="15.75" customHeight="1">
      <c r="F542" s="49"/>
    </row>
    <row r="543" ht="15.75" customHeight="1">
      <c r="F543" s="49"/>
    </row>
    <row r="544" ht="15.75" customHeight="1">
      <c r="F544" s="49"/>
    </row>
    <row r="545" ht="15.75" customHeight="1">
      <c r="F545" s="49"/>
    </row>
    <row r="546" ht="15.75" customHeight="1">
      <c r="F546" s="49"/>
    </row>
    <row r="547" ht="15.75" customHeight="1">
      <c r="F547" s="49"/>
    </row>
    <row r="548" ht="15.75" customHeight="1">
      <c r="F548" s="49"/>
    </row>
    <row r="549" ht="15.75" customHeight="1">
      <c r="F549" s="49"/>
    </row>
    <row r="550" ht="15.75" customHeight="1">
      <c r="F550" s="49"/>
    </row>
    <row r="551" ht="15.75" customHeight="1">
      <c r="F551" s="49"/>
    </row>
    <row r="552" ht="15.75" customHeight="1">
      <c r="F552" s="49"/>
    </row>
    <row r="553" ht="15.75" customHeight="1">
      <c r="F553" s="49"/>
    </row>
    <row r="554" ht="15.75" customHeight="1">
      <c r="F554" s="49"/>
    </row>
    <row r="555" ht="15.75" customHeight="1">
      <c r="F555" s="49"/>
    </row>
    <row r="556" ht="15.75" customHeight="1">
      <c r="F556" s="49"/>
    </row>
    <row r="557" ht="15.75" customHeight="1">
      <c r="F557" s="49"/>
    </row>
    <row r="558" ht="15.75" customHeight="1">
      <c r="F558" s="49"/>
    </row>
    <row r="559" ht="15.75" customHeight="1">
      <c r="F559" s="49"/>
    </row>
    <row r="560" ht="15.75" customHeight="1">
      <c r="F560" s="49"/>
    </row>
    <row r="561" ht="15.75" customHeight="1">
      <c r="F561" s="49"/>
    </row>
    <row r="562" ht="15.75" customHeight="1">
      <c r="F562" s="49"/>
    </row>
    <row r="563" ht="15.75" customHeight="1">
      <c r="F563" s="49"/>
    </row>
    <row r="564" ht="15.75" customHeight="1">
      <c r="F564" s="49"/>
    </row>
    <row r="565" ht="15.75" customHeight="1">
      <c r="F565" s="49"/>
    </row>
    <row r="566" ht="15.75" customHeight="1">
      <c r="F566" s="49"/>
    </row>
    <row r="567" ht="15.75" customHeight="1">
      <c r="F567" s="49"/>
    </row>
    <row r="568" ht="15.75" customHeight="1">
      <c r="F568" s="49"/>
    </row>
    <row r="569" ht="15.75" customHeight="1">
      <c r="F569" s="49"/>
    </row>
    <row r="570" ht="15.75" customHeight="1">
      <c r="F570" s="49"/>
    </row>
    <row r="571" ht="15.75" customHeight="1">
      <c r="F571" s="49"/>
    </row>
    <row r="572" ht="15.75" customHeight="1">
      <c r="F572" s="49"/>
    </row>
    <row r="573" ht="15.75" customHeight="1">
      <c r="F573" s="49"/>
    </row>
    <row r="574" ht="15.75" customHeight="1">
      <c r="F574" s="49"/>
    </row>
    <row r="575" ht="15.75" customHeight="1">
      <c r="F575" s="49"/>
    </row>
    <row r="576" ht="15.75" customHeight="1">
      <c r="F576" s="49"/>
    </row>
    <row r="577" ht="15.75" customHeight="1">
      <c r="F577" s="49"/>
    </row>
    <row r="578" ht="15.75" customHeight="1">
      <c r="F578" s="49"/>
    </row>
    <row r="579" ht="15.75" customHeight="1">
      <c r="F579" s="49"/>
    </row>
    <row r="580" ht="15.75" customHeight="1">
      <c r="F580" s="49"/>
    </row>
    <row r="581" ht="15.75" customHeight="1">
      <c r="F581" s="49"/>
    </row>
    <row r="582" ht="15.75" customHeight="1">
      <c r="F582" s="49"/>
    </row>
    <row r="583" ht="15.75" customHeight="1">
      <c r="F583" s="49"/>
    </row>
    <row r="584" ht="15.75" customHeight="1">
      <c r="F584" s="49"/>
    </row>
    <row r="585" ht="15.75" customHeight="1">
      <c r="F585" s="49"/>
    </row>
    <row r="586" ht="15.75" customHeight="1">
      <c r="F586" s="49"/>
    </row>
    <row r="587" ht="15.75" customHeight="1">
      <c r="F587" s="49"/>
    </row>
    <row r="588" ht="15.75" customHeight="1">
      <c r="F588" s="49"/>
    </row>
    <row r="589" ht="15.75" customHeight="1">
      <c r="F589" s="49"/>
    </row>
    <row r="590" ht="15.75" customHeight="1">
      <c r="F590" s="49"/>
    </row>
    <row r="591" ht="15.75" customHeight="1">
      <c r="F591" s="49"/>
    </row>
    <row r="592" ht="15.75" customHeight="1">
      <c r="F592" s="49"/>
    </row>
    <row r="593" ht="15.75" customHeight="1">
      <c r="F593" s="49"/>
    </row>
    <row r="594" ht="15.75" customHeight="1">
      <c r="F594" s="49"/>
    </row>
    <row r="595" ht="15.75" customHeight="1">
      <c r="F595" s="49"/>
    </row>
    <row r="596" ht="15.75" customHeight="1">
      <c r="F596" s="49"/>
    </row>
    <row r="597" ht="15.75" customHeight="1">
      <c r="F597" s="49"/>
    </row>
    <row r="598" ht="15.75" customHeight="1">
      <c r="F598" s="49"/>
    </row>
    <row r="599" ht="15.75" customHeight="1">
      <c r="F599" s="49"/>
    </row>
    <row r="600" ht="15.75" customHeight="1">
      <c r="F600" s="49"/>
    </row>
    <row r="601" ht="15.75" customHeight="1">
      <c r="F601" s="49"/>
    </row>
    <row r="602" ht="15.75" customHeight="1">
      <c r="F602" s="49"/>
    </row>
    <row r="603" ht="15.75" customHeight="1">
      <c r="F603" s="49"/>
    </row>
    <row r="604" ht="15.75" customHeight="1">
      <c r="F604" s="49"/>
    </row>
    <row r="605" ht="15.75" customHeight="1">
      <c r="F605" s="49"/>
    </row>
    <row r="606" ht="15.75" customHeight="1">
      <c r="F606" s="49"/>
    </row>
    <row r="607" ht="15.75" customHeight="1">
      <c r="F607" s="49"/>
    </row>
    <row r="608" ht="15.75" customHeight="1">
      <c r="F608" s="49"/>
    </row>
    <row r="609" ht="15.75" customHeight="1">
      <c r="F609" s="49"/>
    </row>
    <row r="610" ht="15.75" customHeight="1">
      <c r="F610" s="49"/>
    </row>
    <row r="611" ht="15.75" customHeight="1">
      <c r="F611" s="49"/>
    </row>
    <row r="612" ht="15.75" customHeight="1">
      <c r="F612" s="49"/>
    </row>
    <row r="613" ht="15.75" customHeight="1">
      <c r="F613" s="49"/>
    </row>
    <row r="614" ht="15.75" customHeight="1">
      <c r="F614" s="49"/>
    </row>
    <row r="615" ht="15.75" customHeight="1">
      <c r="F615" s="49"/>
    </row>
    <row r="616" ht="15.75" customHeight="1">
      <c r="F616" s="49"/>
    </row>
    <row r="617" ht="15.75" customHeight="1">
      <c r="F617" s="49"/>
    </row>
    <row r="618" ht="15.75" customHeight="1">
      <c r="F618" s="49"/>
    </row>
    <row r="619" ht="15.75" customHeight="1">
      <c r="F619" s="49"/>
    </row>
    <row r="620" ht="15.75" customHeight="1">
      <c r="F620" s="49"/>
    </row>
    <row r="621" ht="15.75" customHeight="1">
      <c r="F621" s="49"/>
    </row>
    <row r="622" ht="15.75" customHeight="1">
      <c r="F622" s="49"/>
    </row>
    <row r="623" ht="15.75" customHeight="1">
      <c r="F623" s="49"/>
    </row>
    <row r="624" ht="15.75" customHeight="1">
      <c r="F624" s="49"/>
    </row>
    <row r="625" ht="15.75" customHeight="1">
      <c r="F625" s="49"/>
    </row>
    <row r="626" ht="15.75" customHeight="1">
      <c r="F626" s="49"/>
    </row>
    <row r="627" ht="15.75" customHeight="1">
      <c r="F627" s="49"/>
    </row>
    <row r="628" ht="15.75" customHeight="1">
      <c r="F628" s="49"/>
    </row>
    <row r="629" ht="15.75" customHeight="1">
      <c r="F629" s="49"/>
    </row>
    <row r="630" ht="15.75" customHeight="1">
      <c r="F630" s="49"/>
    </row>
    <row r="631" ht="15.75" customHeight="1">
      <c r="F631" s="49"/>
    </row>
    <row r="632" ht="15.75" customHeight="1">
      <c r="F632" s="49"/>
    </row>
    <row r="633" ht="15.75" customHeight="1">
      <c r="F633" s="49"/>
    </row>
    <row r="634" ht="15.75" customHeight="1">
      <c r="F634" s="49"/>
    </row>
    <row r="635" ht="15.75" customHeight="1">
      <c r="F635" s="49"/>
    </row>
    <row r="636" ht="15.75" customHeight="1">
      <c r="F636" s="49"/>
    </row>
    <row r="637" ht="15.75" customHeight="1">
      <c r="F637" s="49"/>
    </row>
    <row r="638" ht="15.75" customHeight="1">
      <c r="F638" s="49"/>
    </row>
    <row r="639" ht="15.75" customHeight="1">
      <c r="F639" s="49"/>
    </row>
    <row r="640" ht="15.75" customHeight="1">
      <c r="F640" s="49"/>
    </row>
    <row r="641" ht="15.75" customHeight="1">
      <c r="F641" s="49"/>
    </row>
    <row r="642" ht="15.75" customHeight="1">
      <c r="F642" s="49"/>
    </row>
    <row r="643" ht="15.75" customHeight="1">
      <c r="F643" s="49"/>
    </row>
    <row r="644" ht="15.75" customHeight="1">
      <c r="F644" s="49"/>
    </row>
    <row r="645" ht="15.75" customHeight="1">
      <c r="F645" s="49"/>
    </row>
    <row r="646" ht="15.75" customHeight="1">
      <c r="F646" s="49"/>
    </row>
    <row r="647" ht="15.75" customHeight="1">
      <c r="F647" s="49"/>
    </row>
    <row r="648" ht="15.75" customHeight="1">
      <c r="F648" s="49"/>
    </row>
    <row r="649" ht="15.75" customHeight="1">
      <c r="F649" s="49"/>
    </row>
    <row r="650" ht="15.75" customHeight="1">
      <c r="F650" s="49"/>
    </row>
    <row r="651" ht="15.75" customHeight="1">
      <c r="F651" s="49"/>
    </row>
    <row r="652" ht="15.75" customHeight="1">
      <c r="F652" s="49"/>
    </row>
    <row r="653" ht="15.75" customHeight="1">
      <c r="F653" s="49"/>
    </row>
    <row r="654" ht="15.75" customHeight="1">
      <c r="F654" s="49"/>
    </row>
    <row r="655" ht="15.75" customHeight="1">
      <c r="F655" s="49"/>
    </row>
    <row r="656" ht="15.75" customHeight="1">
      <c r="F656" s="49"/>
    </row>
    <row r="657" ht="15.75" customHeight="1">
      <c r="F657" s="49"/>
    </row>
    <row r="658" ht="15.75" customHeight="1">
      <c r="F658" s="49"/>
    </row>
    <row r="659" ht="15.75" customHeight="1">
      <c r="F659" s="49"/>
    </row>
    <row r="660" ht="15.75" customHeight="1">
      <c r="F660" s="49"/>
    </row>
    <row r="661" ht="15.75" customHeight="1">
      <c r="F661" s="49"/>
    </row>
    <row r="662" ht="15.75" customHeight="1">
      <c r="F662" s="49"/>
    </row>
    <row r="663" ht="15.75" customHeight="1">
      <c r="F663" s="49"/>
    </row>
    <row r="664" ht="15.75" customHeight="1">
      <c r="F664" s="49"/>
    </row>
    <row r="665" ht="15.75" customHeight="1">
      <c r="F665" s="49"/>
    </row>
    <row r="666" ht="15.75" customHeight="1">
      <c r="F666" s="49"/>
    </row>
    <row r="667" ht="15.75" customHeight="1">
      <c r="F667" s="49"/>
    </row>
    <row r="668" ht="15.75" customHeight="1">
      <c r="F668" s="49"/>
    </row>
    <row r="669" ht="15.75" customHeight="1">
      <c r="F669" s="49"/>
    </row>
    <row r="670" ht="15.75" customHeight="1">
      <c r="F670" s="49"/>
    </row>
    <row r="671" ht="15.75" customHeight="1">
      <c r="F671" s="49"/>
    </row>
    <row r="672" ht="15.75" customHeight="1">
      <c r="F672" s="49"/>
    </row>
    <row r="673" ht="15.75" customHeight="1">
      <c r="F673" s="49"/>
    </row>
    <row r="674" ht="15.75" customHeight="1">
      <c r="F674" s="49"/>
    </row>
    <row r="675" ht="15.75" customHeight="1">
      <c r="F675" s="49"/>
    </row>
    <row r="676" ht="15.75" customHeight="1">
      <c r="F676" s="49"/>
    </row>
    <row r="677" ht="15.75" customHeight="1">
      <c r="F677" s="49"/>
    </row>
    <row r="678" ht="15.75" customHeight="1">
      <c r="F678" s="49"/>
    </row>
    <row r="679" ht="15.75" customHeight="1">
      <c r="F679" s="49"/>
    </row>
    <row r="680" ht="15.75" customHeight="1">
      <c r="F680" s="49"/>
    </row>
    <row r="681" ht="15.75" customHeight="1">
      <c r="F681" s="49"/>
    </row>
    <row r="682" ht="15.75" customHeight="1">
      <c r="F682" s="49"/>
    </row>
    <row r="683" ht="15.75" customHeight="1">
      <c r="F683" s="49"/>
    </row>
    <row r="684" ht="15.75" customHeight="1">
      <c r="F684" s="49"/>
    </row>
    <row r="685" ht="15.75" customHeight="1">
      <c r="F685" s="49"/>
    </row>
    <row r="686" ht="15.75" customHeight="1">
      <c r="F686" s="49"/>
    </row>
    <row r="687" ht="15.75" customHeight="1">
      <c r="F687" s="49"/>
    </row>
    <row r="688" ht="15.75" customHeight="1">
      <c r="F688" s="49"/>
    </row>
    <row r="689" ht="15.75" customHeight="1">
      <c r="F689" s="49"/>
    </row>
    <row r="690" ht="15.75" customHeight="1">
      <c r="F690" s="49"/>
    </row>
    <row r="691" ht="15.75" customHeight="1">
      <c r="F691" s="49"/>
    </row>
    <row r="692" ht="15.75" customHeight="1">
      <c r="F692" s="49"/>
    </row>
    <row r="693" ht="15.75" customHeight="1">
      <c r="F693" s="49"/>
    </row>
    <row r="694" ht="15.75" customHeight="1">
      <c r="F694" s="49"/>
    </row>
    <row r="695" ht="15.75" customHeight="1">
      <c r="F695" s="49"/>
    </row>
    <row r="696" ht="15.75" customHeight="1">
      <c r="F696" s="49"/>
    </row>
    <row r="697" ht="15.75" customHeight="1">
      <c r="F697" s="49"/>
    </row>
    <row r="698" ht="15.75" customHeight="1">
      <c r="F698" s="49"/>
    </row>
    <row r="699" ht="15.75" customHeight="1">
      <c r="F699" s="49"/>
    </row>
    <row r="700" ht="15.75" customHeight="1">
      <c r="F700" s="49"/>
    </row>
    <row r="701" ht="15.75" customHeight="1">
      <c r="F701" s="49"/>
    </row>
    <row r="702" ht="15.75" customHeight="1">
      <c r="F702" s="49"/>
    </row>
    <row r="703" ht="15.75" customHeight="1">
      <c r="F703" s="49"/>
    </row>
    <row r="704" ht="15.75" customHeight="1">
      <c r="F704" s="49"/>
    </row>
    <row r="705" ht="15.75" customHeight="1">
      <c r="F705" s="49"/>
    </row>
    <row r="706" ht="15.75" customHeight="1">
      <c r="F706" s="49"/>
    </row>
    <row r="707" ht="15.75" customHeight="1">
      <c r="F707" s="49"/>
    </row>
    <row r="708" ht="15.75" customHeight="1">
      <c r="F708" s="49"/>
    </row>
    <row r="709" ht="15.75" customHeight="1">
      <c r="F709" s="49"/>
    </row>
    <row r="710" ht="15.75" customHeight="1">
      <c r="F710" s="49"/>
    </row>
    <row r="711" ht="15.75" customHeight="1">
      <c r="F711" s="49"/>
    </row>
    <row r="712" ht="15.75" customHeight="1">
      <c r="F712" s="49"/>
    </row>
    <row r="713" ht="15.75" customHeight="1">
      <c r="F713" s="49"/>
    </row>
    <row r="714" ht="15.75" customHeight="1">
      <c r="F714" s="49"/>
    </row>
    <row r="715" ht="15.75" customHeight="1">
      <c r="F715" s="49"/>
    </row>
    <row r="716" ht="15.75" customHeight="1">
      <c r="F716" s="49"/>
    </row>
    <row r="717" ht="15.75" customHeight="1">
      <c r="F717" s="49"/>
    </row>
    <row r="718" ht="15.75" customHeight="1">
      <c r="F718" s="49"/>
    </row>
    <row r="719" ht="15.75" customHeight="1">
      <c r="F719" s="49"/>
    </row>
    <row r="720" ht="15.75" customHeight="1">
      <c r="F720" s="49"/>
    </row>
    <row r="721" ht="15.75" customHeight="1">
      <c r="F721" s="49"/>
    </row>
    <row r="722" ht="15.75" customHeight="1">
      <c r="F722" s="49"/>
    </row>
    <row r="723" ht="15.75" customHeight="1">
      <c r="F723" s="49"/>
    </row>
    <row r="724" ht="15.75" customHeight="1">
      <c r="F724" s="49"/>
    </row>
    <row r="725" ht="15.75" customHeight="1">
      <c r="F725" s="49"/>
    </row>
    <row r="726" ht="15.75" customHeight="1">
      <c r="F726" s="49"/>
    </row>
    <row r="727" ht="15.75" customHeight="1">
      <c r="F727" s="49"/>
    </row>
    <row r="728" ht="15.75" customHeight="1">
      <c r="F728" s="49"/>
    </row>
    <row r="729" ht="15.75" customHeight="1">
      <c r="F729" s="49"/>
    </row>
    <row r="730" ht="15.75" customHeight="1">
      <c r="F730" s="49"/>
    </row>
    <row r="731" ht="15.75" customHeight="1">
      <c r="F731" s="49"/>
    </row>
    <row r="732" ht="15.75" customHeight="1">
      <c r="F732" s="49"/>
    </row>
    <row r="733" ht="15.75" customHeight="1">
      <c r="F733" s="49"/>
    </row>
    <row r="734" ht="15.75" customHeight="1">
      <c r="F734" s="49"/>
    </row>
    <row r="735" ht="15.75" customHeight="1">
      <c r="F735" s="49"/>
    </row>
    <row r="736" ht="15.75" customHeight="1">
      <c r="F736" s="49"/>
    </row>
    <row r="737" ht="15.75" customHeight="1">
      <c r="F737" s="49"/>
    </row>
    <row r="738" ht="15.75" customHeight="1">
      <c r="F738" s="49"/>
    </row>
    <row r="739" ht="15.75" customHeight="1">
      <c r="F739" s="49"/>
    </row>
    <row r="740" ht="15.75" customHeight="1">
      <c r="F740" s="49"/>
    </row>
    <row r="741" ht="15.75" customHeight="1">
      <c r="F741" s="49"/>
    </row>
    <row r="742" ht="15.75" customHeight="1">
      <c r="F742" s="49"/>
    </row>
    <row r="743" ht="15.75" customHeight="1">
      <c r="F743" s="49"/>
    </row>
    <row r="744" ht="15.75" customHeight="1">
      <c r="F744" s="49"/>
    </row>
    <row r="745" ht="15.75" customHeight="1">
      <c r="F745" s="49"/>
    </row>
    <row r="746" ht="15.75" customHeight="1">
      <c r="F746" s="49"/>
    </row>
    <row r="747" ht="15.75" customHeight="1">
      <c r="F747" s="49"/>
    </row>
    <row r="748" ht="15.75" customHeight="1">
      <c r="F748" s="49"/>
    </row>
    <row r="749" ht="15.75" customHeight="1">
      <c r="F749" s="49"/>
    </row>
    <row r="750" ht="15.75" customHeight="1">
      <c r="F750" s="49"/>
    </row>
    <row r="751" ht="15.75" customHeight="1">
      <c r="F751" s="49"/>
    </row>
    <row r="752" ht="15.75" customHeight="1">
      <c r="F752" s="49"/>
    </row>
    <row r="753" ht="15.75" customHeight="1">
      <c r="F753" s="49"/>
    </row>
    <row r="754" ht="15.75" customHeight="1">
      <c r="F754" s="49"/>
    </row>
    <row r="755" ht="15.75" customHeight="1">
      <c r="F755" s="49"/>
    </row>
    <row r="756" ht="15.75" customHeight="1">
      <c r="F756" s="49"/>
    </row>
    <row r="757" ht="15.75" customHeight="1">
      <c r="F757" s="49"/>
    </row>
    <row r="758" ht="15.75" customHeight="1">
      <c r="F758" s="49"/>
    </row>
    <row r="759" ht="15.75" customHeight="1">
      <c r="F759" s="49"/>
    </row>
    <row r="760" ht="15.75" customHeight="1">
      <c r="F760" s="49"/>
    </row>
    <row r="761" ht="15.75" customHeight="1">
      <c r="F761" s="49"/>
    </row>
    <row r="762" ht="15.75" customHeight="1">
      <c r="F762" s="49"/>
    </row>
    <row r="763" ht="15.75" customHeight="1">
      <c r="F763" s="49"/>
    </row>
    <row r="764" ht="15.75" customHeight="1">
      <c r="F764" s="49"/>
    </row>
    <row r="765" ht="15.75" customHeight="1">
      <c r="F765" s="49"/>
    </row>
    <row r="766" ht="15.75" customHeight="1">
      <c r="F766" s="49"/>
    </row>
    <row r="767" ht="15.75" customHeight="1">
      <c r="F767" s="49"/>
    </row>
    <row r="768" ht="15.75" customHeight="1">
      <c r="F768" s="49"/>
    </row>
    <row r="769" ht="15.75" customHeight="1">
      <c r="F769" s="49"/>
    </row>
    <row r="770" ht="15.75" customHeight="1">
      <c r="F770" s="49"/>
    </row>
    <row r="771" ht="15.75" customHeight="1">
      <c r="F771" s="49"/>
    </row>
    <row r="772" ht="15.75" customHeight="1">
      <c r="F772" s="49"/>
    </row>
    <row r="773" ht="15.75" customHeight="1">
      <c r="F773" s="49"/>
    </row>
    <row r="774" ht="15.75" customHeight="1">
      <c r="F774" s="49"/>
    </row>
    <row r="775" ht="15.75" customHeight="1">
      <c r="F775" s="49"/>
    </row>
    <row r="776" ht="15.75" customHeight="1">
      <c r="F776" s="49"/>
    </row>
    <row r="777" ht="15.75" customHeight="1">
      <c r="F777" s="49"/>
    </row>
    <row r="778" ht="15.75" customHeight="1">
      <c r="F778" s="49"/>
    </row>
    <row r="779" ht="15.75" customHeight="1">
      <c r="F779" s="49"/>
    </row>
    <row r="780" ht="15.75" customHeight="1">
      <c r="F780" s="49"/>
    </row>
    <row r="781" ht="15.75" customHeight="1">
      <c r="F781" s="49"/>
    </row>
    <row r="782" ht="15.75" customHeight="1">
      <c r="F782" s="49"/>
    </row>
    <row r="783" ht="15.75" customHeight="1">
      <c r="F783" s="49"/>
    </row>
    <row r="784" ht="15.75" customHeight="1">
      <c r="F784" s="49"/>
    </row>
    <row r="785" ht="15.75" customHeight="1">
      <c r="F785" s="49"/>
    </row>
    <row r="786" ht="15.75" customHeight="1">
      <c r="F786" s="49"/>
    </row>
    <row r="787" ht="15.75" customHeight="1">
      <c r="F787" s="49"/>
    </row>
    <row r="788" ht="15.75" customHeight="1">
      <c r="F788" s="49"/>
    </row>
    <row r="789" ht="15.75" customHeight="1">
      <c r="F789" s="49"/>
    </row>
    <row r="790" ht="15.75" customHeight="1">
      <c r="F790" s="49"/>
    </row>
    <row r="791" ht="15.75" customHeight="1">
      <c r="F791" s="49"/>
    </row>
    <row r="792" ht="15.75" customHeight="1">
      <c r="F792" s="49"/>
    </row>
    <row r="793" ht="15.75" customHeight="1">
      <c r="F793" s="49"/>
    </row>
    <row r="794" ht="15.75" customHeight="1">
      <c r="F794" s="49"/>
    </row>
    <row r="795" ht="15.75" customHeight="1">
      <c r="F795" s="49"/>
    </row>
    <row r="796" ht="15.75" customHeight="1">
      <c r="F796" s="49"/>
    </row>
    <row r="797" ht="15.75" customHeight="1">
      <c r="F797" s="49"/>
    </row>
    <row r="798" ht="15.75" customHeight="1">
      <c r="F798" s="49"/>
    </row>
    <row r="799" ht="15.75" customHeight="1">
      <c r="F799" s="49"/>
    </row>
    <row r="800" ht="15.75" customHeight="1">
      <c r="F800" s="49"/>
    </row>
    <row r="801" ht="15.75" customHeight="1">
      <c r="F801" s="49"/>
    </row>
    <row r="802" ht="15.75" customHeight="1">
      <c r="F802" s="49"/>
    </row>
    <row r="803" ht="15.75" customHeight="1">
      <c r="F803" s="49"/>
    </row>
    <row r="804" ht="15.75" customHeight="1">
      <c r="F804" s="49"/>
    </row>
    <row r="805" ht="15.75" customHeight="1">
      <c r="F805" s="49"/>
    </row>
    <row r="806" ht="15.75" customHeight="1">
      <c r="F806" s="49"/>
    </row>
    <row r="807" ht="15.75" customHeight="1">
      <c r="F807" s="49"/>
    </row>
    <row r="808" ht="15.75" customHeight="1">
      <c r="F808" s="49"/>
    </row>
    <row r="809" ht="15.75" customHeight="1">
      <c r="F809" s="49"/>
    </row>
    <row r="810" ht="15.75" customHeight="1">
      <c r="F810" s="49"/>
    </row>
    <row r="811" ht="15.75" customHeight="1">
      <c r="F811" s="49"/>
    </row>
    <row r="812" ht="15.75" customHeight="1">
      <c r="F812" s="49"/>
    </row>
    <row r="813" ht="15.75" customHeight="1">
      <c r="F813" s="49"/>
    </row>
    <row r="814" ht="15.75" customHeight="1">
      <c r="F814" s="49"/>
    </row>
    <row r="815" ht="15.75" customHeight="1">
      <c r="F815" s="49"/>
    </row>
    <row r="816" ht="15.75" customHeight="1">
      <c r="F816" s="49"/>
    </row>
    <row r="817" ht="15.75" customHeight="1">
      <c r="F817" s="49"/>
    </row>
    <row r="818" ht="15.75" customHeight="1">
      <c r="F818" s="49"/>
    </row>
    <row r="819" ht="15.75" customHeight="1">
      <c r="F819" s="49"/>
    </row>
    <row r="820" ht="15.75" customHeight="1">
      <c r="F820" s="49"/>
    </row>
    <row r="821" ht="15.75" customHeight="1">
      <c r="F821" s="49"/>
    </row>
    <row r="822" ht="15.75" customHeight="1">
      <c r="F822" s="49"/>
    </row>
    <row r="823" ht="15.75" customHeight="1">
      <c r="F823" s="49"/>
    </row>
    <row r="824" ht="15.75" customHeight="1">
      <c r="F824" s="49"/>
    </row>
    <row r="825" ht="15.75" customHeight="1">
      <c r="F825" s="49"/>
    </row>
    <row r="826" ht="15.75" customHeight="1">
      <c r="F826" s="49"/>
    </row>
    <row r="827" ht="15.75" customHeight="1">
      <c r="F827" s="49"/>
    </row>
    <row r="828" ht="15.75" customHeight="1">
      <c r="F828" s="49"/>
    </row>
    <row r="829" ht="15.75" customHeight="1">
      <c r="F829" s="49"/>
    </row>
    <row r="830" ht="15.75" customHeight="1">
      <c r="F830" s="49"/>
    </row>
    <row r="831" ht="15.75" customHeight="1">
      <c r="F831" s="49"/>
    </row>
    <row r="832" ht="15.75" customHeight="1">
      <c r="F832" s="49"/>
    </row>
    <row r="833" ht="15.75" customHeight="1">
      <c r="F833" s="49"/>
    </row>
    <row r="834" ht="15.75" customHeight="1">
      <c r="F834" s="49"/>
    </row>
    <row r="835" ht="15.75" customHeight="1">
      <c r="F835" s="49"/>
    </row>
    <row r="836" ht="15.75" customHeight="1">
      <c r="F836" s="49"/>
    </row>
    <row r="837" ht="15.75" customHeight="1">
      <c r="F837" s="49"/>
    </row>
    <row r="838" ht="15.75" customHeight="1">
      <c r="F838" s="49"/>
    </row>
    <row r="839" ht="15.75" customHeight="1">
      <c r="F839" s="49"/>
    </row>
    <row r="840" ht="15.75" customHeight="1">
      <c r="F840" s="49"/>
    </row>
    <row r="841" ht="15.75" customHeight="1">
      <c r="F841" s="49"/>
    </row>
    <row r="842" ht="15.75" customHeight="1">
      <c r="F842" s="49"/>
    </row>
    <row r="843" ht="15.75" customHeight="1">
      <c r="F843" s="49"/>
    </row>
    <row r="844" ht="15.75" customHeight="1">
      <c r="F844" s="49"/>
    </row>
    <row r="845" ht="15.75" customHeight="1">
      <c r="F845" s="49"/>
    </row>
    <row r="846" ht="15.75" customHeight="1">
      <c r="F846" s="49"/>
    </row>
    <row r="847" ht="15.75" customHeight="1">
      <c r="F847" s="49"/>
    </row>
    <row r="848" ht="15.75" customHeight="1">
      <c r="F848" s="49"/>
    </row>
    <row r="849" ht="15.75" customHeight="1">
      <c r="F849" s="49"/>
    </row>
    <row r="850" ht="15.75" customHeight="1">
      <c r="F850" s="49"/>
    </row>
    <row r="851" ht="15.75" customHeight="1">
      <c r="F851" s="49"/>
    </row>
    <row r="852" ht="15.75" customHeight="1">
      <c r="F852" s="49"/>
    </row>
    <row r="853" ht="15.75" customHeight="1">
      <c r="F853" s="49"/>
    </row>
    <row r="854" ht="15.75" customHeight="1">
      <c r="F854" s="49"/>
    </row>
    <row r="855" ht="15.75" customHeight="1">
      <c r="F855" s="49"/>
    </row>
    <row r="856" ht="15.75" customHeight="1">
      <c r="F856" s="49"/>
    </row>
    <row r="857" ht="15.75" customHeight="1">
      <c r="F857" s="49"/>
    </row>
    <row r="858" ht="15.75" customHeight="1">
      <c r="F858" s="49"/>
    </row>
    <row r="859" ht="15.75" customHeight="1">
      <c r="F859" s="49"/>
    </row>
    <row r="860" ht="15.75" customHeight="1">
      <c r="F860" s="49"/>
    </row>
    <row r="861" ht="15.75" customHeight="1">
      <c r="F861" s="49"/>
    </row>
    <row r="862" ht="15.75" customHeight="1">
      <c r="F862" s="49"/>
    </row>
    <row r="863" ht="15.75" customHeight="1">
      <c r="F863" s="49"/>
    </row>
    <row r="864" ht="15.75" customHeight="1">
      <c r="F864" s="49"/>
    </row>
    <row r="865" ht="15.75" customHeight="1">
      <c r="F865" s="49"/>
    </row>
    <row r="866" ht="15.75" customHeight="1">
      <c r="F866" s="49"/>
    </row>
    <row r="867" ht="15.75" customHeight="1">
      <c r="F867" s="49"/>
    </row>
    <row r="868" ht="15.75" customHeight="1">
      <c r="F868" s="49"/>
    </row>
    <row r="869" ht="15.75" customHeight="1">
      <c r="F869" s="49"/>
    </row>
    <row r="870" ht="15.75" customHeight="1">
      <c r="F870" s="49"/>
    </row>
    <row r="871" ht="15.75" customHeight="1">
      <c r="F871" s="49"/>
    </row>
    <row r="872" ht="15.75" customHeight="1">
      <c r="F872" s="49"/>
    </row>
    <row r="873" ht="15.75" customHeight="1">
      <c r="F873" s="49"/>
    </row>
    <row r="874" ht="15.75" customHeight="1">
      <c r="F874" s="49"/>
    </row>
    <row r="875" ht="15.75" customHeight="1">
      <c r="F875" s="49"/>
    </row>
    <row r="876" ht="15.75" customHeight="1">
      <c r="F876" s="49"/>
    </row>
    <row r="877" ht="15.75" customHeight="1">
      <c r="F877" s="49"/>
    </row>
    <row r="878" ht="15.75" customHeight="1">
      <c r="F878" s="49"/>
    </row>
    <row r="879" ht="15.75" customHeight="1">
      <c r="F879" s="49"/>
    </row>
    <row r="880" ht="15.75" customHeight="1">
      <c r="F880" s="49"/>
    </row>
    <row r="881" ht="15.75" customHeight="1">
      <c r="F881" s="49"/>
    </row>
    <row r="882" ht="15.75" customHeight="1">
      <c r="F882" s="49"/>
    </row>
    <row r="883" ht="15.75" customHeight="1">
      <c r="F883" s="49"/>
    </row>
    <row r="884" ht="15.75" customHeight="1">
      <c r="F884" s="49"/>
    </row>
    <row r="885" ht="15.75" customHeight="1">
      <c r="F885" s="49"/>
    </row>
    <row r="886" ht="15.75" customHeight="1">
      <c r="F886" s="49"/>
    </row>
    <row r="887" ht="15.75" customHeight="1">
      <c r="F887" s="49"/>
    </row>
    <row r="888" ht="15.75" customHeight="1">
      <c r="F888" s="49"/>
    </row>
    <row r="889" ht="15.75" customHeight="1">
      <c r="F889" s="49"/>
    </row>
    <row r="890" ht="15.75" customHeight="1">
      <c r="F890" s="49"/>
    </row>
    <row r="891" ht="15.75" customHeight="1">
      <c r="F891" s="49"/>
    </row>
    <row r="892" ht="15.75" customHeight="1">
      <c r="F892" s="49"/>
    </row>
    <row r="893" ht="15.75" customHeight="1">
      <c r="F893" s="49"/>
    </row>
    <row r="894" ht="15.75" customHeight="1">
      <c r="F894" s="49"/>
    </row>
    <row r="895" ht="15.75" customHeight="1">
      <c r="F895" s="49"/>
    </row>
    <row r="896" ht="15.75" customHeight="1">
      <c r="F896" s="49"/>
    </row>
    <row r="897" ht="15.75" customHeight="1">
      <c r="F897" s="49"/>
    </row>
    <row r="898" ht="15.75" customHeight="1">
      <c r="F898" s="49"/>
    </row>
    <row r="899" ht="15.75" customHeight="1">
      <c r="F899" s="49"/>
    </row>
    <row r="900" ht="15.75" customHeight="1">
      <c r="F900" s="49"/>
    </row>
    <row r="901" ht="15.75" customHeight="1">
      <c r="F901" s="49"/>
    </row>
    <row r="902" ht="15.75" customHeight="1">
      <c r="F902" s="49"/>
    </row>
    <row r="903" ht="15.75" customHeight="1">
      <c r="F903" s="49"/>
    </row>
    <row r="904" ht="15.75" customHeight="1">
      <c r="F904" s="49"/>
    </row>
    <row r="905" ht="15.75" customHeight="1">
      <c r="F905" s="49"/>
    </row>
    <row r="906" ht="15.75" customHeight="1">
      <c r="F906" s="49"/>
    </row>
    <row r="907" ht="15.75" customHeight="1">
      <c r="F907" s="49"/>
    </row>
    <row r="908" ht="15.75" customHeight="1">
      <c r="F908" s="49"/>
    </row>
    <row r="909" ht="15.75" customHeight="1">
      <c r="F909" s="49"/>
    </row>
    <row r="910" ht="15.75" customHeight="1">
      <c r="F910" s="49"/>
    </row>
    <row r="911" ht="15.75" customHeight="1">
      <c r="F911" s="49"/>
    </row>
    <row r="912" ht="15.75" customHeight="1">
      <c r="F912" s="49"/>
    </row>
    <row r="913" ht="15.75" customHeight="1">
      <c r="F913" s="49"/>
    </row>
    <row r="914" ht="15.75" customHeight="1">
      <c r="F914" s="49"/>
    </row>
    <row r="915" ht="15.75" customHeight="1">
      <c r="F915" s="49"/>
    </row>
    <row r="916" ht="15.75" customHeight="1">
      <c r="F916" s="49"/>
    </row>
    <row r="917" ht="15.75" customHeight="1">
      <c r="F917" s="49"/>
    </row>
    <row r="918" ht="15.75" customHeight="1">
      <c r="F918" s="49"/>
    </row>
    <row r="919" ht="15.75" customHeight="1">
      <c r="F919" s="49"/>
    </row>
    <row r="920" ht="15.75" customHeight="1">
      <c r="F920" s="49"/>
    </row>
    <row r="921" ht="15.75" customHeight="1">
      <c r="F921" s="49"/>
    </row>
    <row r="922" ht="15.75" customHeight="1">
      <c r="F922" s="49"/>
    </row>
    <row r="923" ht="15.75" customHeight="1">
      <c r="F923" s="49"/>
    </row>
    <row r="924" ht="15.75" customHeight="1">
      <c r="F924" s="49"/>
    </row>
    <row r="925" ht="15.75" customHeight="1">
      <c r="F925" s="49"/>
    </row>
    <row r="926" ht="15.75" customHeight="1">
      <c r="F926" s="49"/>
    </row>
    <row r="927" ht="15.75" customHeight="1">
      <c r="F927" s="49"/>
    </row>
    <row r="928" ht="15.75" customHeight="1">
      <c r="F928" s="49"/>
    </row>
    <row r="929" ht="15.75" customHeight="1">
      <c r="F929" s="49"/>
    </row>
    <row r="930" ht="15.75" customHeight="1">
      <c r="F930" s="49"/>
    </row>
    <row r="931" ht="15.75" customHeight="1">
      <c r="F931" s="49"/>
    </row>
    <row r="932" ht="15.75" customHeight="1">
      <c r="F932" s="49"/>
    </row>
    <row r="933" ht="15.75" customHeight="1">
      <c r="F933" s="49"/>
    </row>
    <row r="934" ht="15.75" customHeight="1">
      <c r="F934" s="49"/>
    </row>
    <row r="935" ht="15.75" customHeight="1">
      <c r="F935" s="49"/>
    </row>
    <row r="936" ht="15.75" customHeight="1">
      <c r="F936" s="49"/>
    </row>
    <row r="937" ht="15.75" customHeight="1">
      <c r="F937" s="49"/>
    </row>
    <row r="938" ht="15.75" customHeight="1">
      <c r="F938" s="49"/>
    </row>
    <row r="939" ht="15.75" customHeight="1">
      <c r="F939" s="49"/>
    </row>
    <row r="940" ht="15.75" customHeight="1">
      <c r="F940" s="49"/>
    </row>
    <row r="941" ht="15.75" customHeight="1">
      <c r="F941" s="49"/>
    </row>
    <row r="942" ht="15.75" customHeight="1">
      <c r="F942" s="49"/>
    </row>
    <row r="943" ht="15.75" customHeight="1">
      <c r="F943" s="49"/>
    </row>
    <row r="944" ht="15.75" customHeight="1">
      <c r="F944" s="49"/>
    </row>
    <row r="945" ht="15.75" customHeight="1">
      <c r="F945" s="49"/>
    </row>
    <row r="946" ht="15.75" customHeight="1">
      <c r="F946" s="49"/>
    </row>
    <row r="947" ht="15.75" customHeight="1">
      <c r="F947" s="49"/>
    </row>
    <row r="948" ht="15.75" customHeight="1">
      <c r="F948" s="49"/>
    </row>
    <row r="949" ht="15.75" customHeight="1">
      <c r="F949" s="49"/>
    </row>
    <row r="950" ht="15.75" customHeight="1">
      <c r="F950" s="49"/>
    </row>
    <row r="951" ht="15.75" customHeight="1">
      <c r="F951" s="49"/>
    </row>
    <row r="952" ht="15.75" customHeight="1">
      <c r="F952" s="49"/>
    </row>
    <row r="953" ht="15.75" customHeight="1">
      <c r="F953" s="49"/>
    </row>
    <row r="954" ht="15.75" customHeight="1">
      <c r="F954" s="49"/>
    </row>
    <row r="955" ht="15.75" customHeight="1">
      <c r="F955" s="49"/>
    </row>
    <row r="956" ht="15.75" customHeight="1">
      <c r="F956" s="49"/>
    </row>
    <row r="957" ht="15.75" customHeight="1">
      <c r="F957" s="49"/>
    </row>
    <row r="958" ht="15.75" customHeight="1">
      <c r="F958" s="49"/>
    </row>
    <row r="959" ht="15.75" customHeight="1">
      <c r="F959" s="49"/>
    </row>
    <row r="960" ht="15.75" customHeight="1">
      <c r="F960" s="49"/>
    </row>
    <row r="961" ht="15.75" customHeight="1">
      <c r="F961" s="49"/>
    </row>
    <row r="962" ht="15.75" customHeight="1">
      <c r="F962" s="49"/>
    </row>
    <row r="963" ht="15.75" customHeight="1">
      <c r="F963" s="49"/>
    </row>
    <row r="964" ht="15.75" customHeight="1">
      <c r="F964" s="49"/>
    </row>
    <row r="965" ht="15.75" customHeight="1">
      <c r="F965" s="49"/>
    </row>
    <row r="966" ht="15.75" customHeight="1">
      <c r="F966" s="49"/>
    </row>
    <row r="967" ht="15.75" customHeight="1">
      <c r="F967" s="49"/>
    </row>
    <row r="968" ht="15.75" customHeight="1">
      <c r="F968" s="49"/>
    </row>
    <row r="969" ht="15.75" customHeight="1">
      <c r="F969" s="49"/>
    </row>
    <row r="970" ht="15.75" customHeight="1">
      <c r="F970" s="49"/>
    </row>
    <row r="971" ht="15.75" customHeight="1">
      <c r="F971" s="49"/>
    </row>
    <row r="972" ht="15.75" customHeight="1">
      <c r="F972" s="49"/>
    </row>
    <row r="973" ht="15.75" customHeight="1">
      <c r="F973" s="49"/>
    </row>
    <row r="974" ht="15.75" customHeight="1">
      <c r="F974" s="49"/>
    </row>
    <row r="975" ht="15.75" customHeight="1">
      <c r="F975" s="49"/>
    </row>
    <row r="976" ht="15.75" customHeight="1">
      <c r="F976" s="49"/>
    </row>
    <row r="977" ht="15.75" customHeight="1">
      <c r="F977" s="49"/>
    </row>
    <row r="978" ht="15.75" customHeight="1">
      <c r="F978" s="49"/>
    </row>
    <row r="979" ht="15.75" customHeight="1">
      <c r="F979" s="49"/>
    </row>
    <row r="980" ht="15.75" customHeight="1">
      <c r="F980" s="49"/>
    </row>
    <row r="981" ht="15.75" customHeight="1">
      <c r="F981" s="49"/>
    </row>
    <row r="982" ht="15.75" customHeight="1">
      <c r="F982" s="49"/>
    </row>
    <row r="983" ht="15.75" customHeight="1">
      <c r="F983" s="49"/>
    </row>
    <row r="984" ht="15.75" customHeight="1">
      <c r="F984" s="49"/>
    </row>
    <row r="985" ht="15.75" customHeight="1">
      <c r="F985" s="49"/>
    </row>
    <row r="986" ht="15.75" customHeight="1">
      <c r="F986" s="49"/>
    </row>
    <row r="987" ht="15.75" customHeight="1">
      <c r="F987" s="49"/>
    </row>
    <row r="988" ht="15.75" customHeight="1">
      <c r="F988" s="49"/>
    </row>
    <row r="989" ht="15.75" customHeight="1">
      <c r="F989" s="49"/>
    </row>
    <row r="990" ht="15.75" customHeight="1">
      <c r="F990" s="49"/>
    </row>
    <row r="991" ht="15.75" customHeight="1">
      <c r="F991" s="49"/>
    </row>
    <row r="992" ht="15.75" customHeight="1">
      <c r="F992" s="49"/>
    </row>
    <row r="993" ht="15.75" customHeight="1">
      <c r="F993" s="49"/>
    </row>
    <row r="994" ht="15.75" customHeight="1">
      <c r="F994" s="49"/>
    </row>
    <row r="995" ht="15.75" customHeight="1">
      <c r="F995" s="49"/>
    </row>
    <row r="996" ht="15.75" customHeight="1">
      <c r="F996" s="49"/>
    </row>
    <row r="997" ht="15.75" customHeight="1">
      <c r="F997" s="49"/>
    </row>
    <row r="998" ht="15.75" customHeight="1">
      <c r="F998" s="49"/>
    </row>
    <row r="999" ht="15.75" customHeight="1">
      <c r="F999" s="49"/>
    </row>
    <row r="1000" ht="15.75" customHeight="1">
      <c r="F1000" s="49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8.0"/>
    <col customWidth="1" min="3" max="3" width="20.0"/>
    <col customWidth="1" min="4" max="4" width="40.0"/>
    <col customWidth="1" min="5" max="5" width="30.0"/>
    <col customWidth="1" min="6" max="27" width="8.71"/>
  </cols>
  <sheetData>
    <row r="1" ht="18.0" customHeight="1">
      <c r="A1" s="6" t="s">
        <v>2149</v>
      </c>
      <c r="B1" s="7"/>
      <c r="C1" s="7"/>
      <c r="D1" s="8"/>
      <c r="E1" s="8"/>
    </row>
    <row r="2">
      <c r="A2" s="56" t="s">
        <v>14</v>
      </c>
      <c r="B2" s="9" t="s">
        <v>2150</v>
      </c>
      <c r="C2" s="9" t="s">
        <v>2151</v>
      </c>
      <c r="D2" s="10" t="s">
        <v>2063</v>
      </c>
      <c r="E2" s="10" t="s">
        <v>27</v>
      </c>
    </row>
    <row r="3">
      <c r="A3" s="57">
        <v>0.0</v>
      </c>
      <c r="B3" s="11" t="s">
        <v>141</v>
      </c>
      <c r="C3" s="11" t="s">
        <v>2152</v>
      </c>
      <c r="D3" s="11" t="s">
        <v>2153</v>
      </c>
      <c r="E3" s="11"/>
    </row>
    <row r="4">
      <c r="A4" s="58">
        <v>1.0</v>
      </c>
      <c r="B4" s="13" t="s">
        <v>125</v>
      </c>
      <c r="C4" s="13" t="s">
        <v>2154</v>
      </c>
      <c r="D4" s="13" t="s">
        <v>2155</v>
      </c>
      <c r="E4" s="13"/>
    </row>
    <row r="5">
      <c r="A5" s="57">
        <v>2.0</v>
      </c>
      <c r="B5" s="11" t="s">
        <v>159</v>
      </c>
      <c r="C5" s="11" t="s">
        <v>2156</v>
      </c>
      <c r="D5" s="11" t="s">
        <v>2157</v>
      </c>
      <c r="E5" s="11"/>
    </row>
    <row r="6">
      <c r="A6" s="58">
        <v>3.0</v>
      </c>
      <c r="B6" s="13" t="s">
        <v>160</v>
      </c>
      <c r="C6" s="13" t="s">
        <v>2158</v>
      </c>
      <c r="D6" s="13" t="s">
        <v>2159</v>
      </c>
      <c r="E6" s="13"/>
    </row>
    <row r="7">
      <c r="A7" s="57">
        <v>4.0</v>
      </c>
      <c r="B7" s="11" t="s">
        <v>129</v>
      </c>
      <c r="C7" s="11" t="s">
        <v>2160</v>
      </c>
      <c r="D7" s="11" t="s">
        <v>2161</v>
      </c>
      <c r="E7" s="11"/>
    </row>
    <row r="8">
      <c r="A8" s="58">
        <v>5.0</v>
      </c>
      <c r="B8" s="13" t="s">
        <v>133</v>
      </c>
      <c r="C8" s="13" t="s">
        <v>2162</v>
      </c>
      <c r="D8" s="13" t="s">
        <v>2163</v>
      </c>
      <c r="E8" s="13"/>
    </row>
    <row r="9">
      <c r="A9" s="57">
        <v>6.0</v>
      </c>
      <c r="B9" s="11" t="s">
        <v>145</v>
      </c>
      <c r="C9" s="11" t="s">
        <v>2164</v>
      </c>
      <c r="D9" s="11" t="s">
        <v>2165</v>
      </c>
      <c r="E9" s="11"/>
    </row>
    <row r="10">
      <c r="A10" s="58">
        <v>7.0</v>
      </c>
      <c r="B10" s="13" t="s">
        <v>137</v>
      </c>
      <c r="C10" s="13" t="s">
        <v>2166</v>
      </c>
      <c r="D10" s="13" t="s">
        <v>2167</v>
      </c>
      <c r="E10" s="13"/>
    </row>
    <row r="11">
      <c r="A11" s="57">
        <v>8.0</v>
      </c>
      <c r="B11" s="11" t="s">
        <v>126</v>
      </c>
      <c r="C11" s="11" t="s">
        <v>2168</v>
      </c>
      <c r="D11" s="11" t="s">
        <v>2169</v>
      </c>
      <c r="E11" s="11"/>
    </row>
    <row r="12">
      <c r="A12" s="58">
        <v>9.0</v>
      </c>
      <c r="B12" s="13" t="s">
        <v>161</v>
      </c>
      <c r="C12" s="13" t="s">
        <v>2170</v>
      </c>
      <c r="D12" s="13" t="s">
        <v>2171</v>
      </c>
      <c r="E12" s="13"/>
    </row>
    <row r="13">
      <c r="A13" s="57">
        <v>10.0</v>
      </c>
      <c r="B13" s="11" t="s">
        <v>142</v>
      </c>
      <c r="C13" s="11" t="s">
        <v>2172</v>
      </c>
      <c r="D13" s="11" t="s">
        <v>2173</v>
      </c>
      <c r="E13" s="11"/>
    </row>
    <row r="14">
      <c r="A14" s="58">
        <v>11.0</v>
      </c>
      <c r="B14" s="13" t="s">
        <v>134</v>
      </c>
      <c r="C14" s="13" t="s">
        <v>2174</v>
      </c>
      <c r="D14" s="13" t="s">
        <v>2175</v>
      </c>
      <c r="E14" s="13"/>
    </row>
    <row r="15">
      <c r="A15" s="57">
        <v>12.0</v>
      </c>
      <c r="B15" s="11" t="s">
        <v>162</v>
      </c>
      <c r="C15" s="11" t="s">
        <v>2176</v>
      </c>
      <c r="D15" s="11" t="s">
        <v>2177</v>
      </c>
      <c r="E15" s="11"/>
    </row>
    <row r="16">
      <c r="A16" s="58">
        <v>13.0</v>
      </c>
      <c r="B16" s="13" t="s">
        <v>163</v>
      </c>
      <c r="C16" s="13" t="s">
        <v>2178</v>
      </c>
      <c r="D16" s="13" t="s">
        <v>2179</v>
      </c>
      <c r="E16" s="13"/>
    </row>
    <row r="17">
      <c r="A17" s="57">
        <v>14.0</v>
      </c>
      <c r="B17" s="11" t="s">
        <v>164</v>
      </c>
      <c r="C17" s="11" t="s">
        <v>2180</v>
      </c>
      <c r="D17" s="11" t="s">
        <v>2181</v>
      </c>
      <c r="E17" s="11"/>
    </row>
    <row r="18">
      <c r="A18" s="58">
        <v>15.0</v>
      </c>
      <c r="B18" s="13" t="s">
        <v>165</v>
      </c>
      <c r="C18" s="13" t="s">
        <v>2182</v>
      </c>
      <c r="D18" s="13" t="s">
        <v>2183</v>
      </c>
      <c r="E18" s="13"/>
    </row>
    <row r="19">
      <c r="A19" s="57">
        <v>16.0</v>
      </c>
      <c r="B19" s="11" t="s">
        <v>166</v>
      </c>
      <c r="C19" s="11" t="s">
        <v>2184</v>
      </c>
      <c r="D19" s="11" t="s">
        <v>2185</v>
      </c>
      <c r="E19" s="11"/>
    </row>
    <row r="20">
      <c r="A20" s="58">
        <v>17.0</v>
      </c>
      <c r="B20" s="13" t="s">
        <v>167</v>
      </c>
      <c r="C20" s="13" t="s">
        <v>2186</v>
      </c>
      <c r="D20" s="13" t="s">
        <v>2187</v>
      </c>
      <c r="E20" s="13"/>
    </row>
    <row r="21" ht="15.75" customHeight="1">
      <c r="A21" s="59">
        <v>18.0</v>
      </c>
      <c r="B21" s="59" t="s">
        <v>2188</v>
      </c>
      <c r="C21" s="59" t="s">
        <v>2189</v>
      </c>
      <c r="D21" s="59" t="s">
        <v>2190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18.0"/>
    <col customWidth="1" min="4" max="4" width="30.0"/>
    <col customWidth="1" min="5" max="26" width="8.71"/>
  </cols>
  <sheetData>
    <row r="1" ht="18.0" customHeight="1">
      <c r="A1" s="6" t="s">
        <v>2191</v>
      </c>
      <c r="B1" s="7"/>
      <c r="C1" s="7"/>
      <c r="D1" s="8"/>
    </row>
    <row r="2">
      <c r="A2" s="9" t="s">
        <v>14</v>
      </c>
      <c r="B2" s="9" t="s">
        <v>2192</v>
      </c>
      <c r="C2" s="10" t="s">
        <v>2193</v>
      </c>
      <c r="D2" s="10" t="s">
        <v>27</v>
      </c>
    </row>
    <row r="3">
      <c r="A3" s="11">
        <v>0.0</v>
      </c>
      <c r="B3" s="11" t="s">
        <v>1534</v>
      </c>
      <c r="C3" s="11" t="s">
        <v>1538</v>
      </c>
      <c r="D3" s="11"/>
    </row>
    <row r="4">
      <c r="A4" s="13">
        <v>1.0</v>
      </c>
      <c r="B4" s="13" t="s">
        <v>1536</v>
      </c>
      <c r="C4" s="13" t="s">
        <v>1540</v>
      </c>
      <c r="D4" s="13"/>
    </row>
    <row r="5">
      <c r="A5" s="11">
        <v>2.0</v>
      </c>
      <c r="B5" s="11" t="s">
        <v>1540</v>
      </c>
      <c r="C5" s="11" t="s">
        <v>1534</v>
      </c>
      <c r="D5" s="11"/>
    </row>
    <row r="6">
      <c r="A6" s="13">
        <v>3.0</v>
      </c>
      <c r="B6" s="13" t="s">
        <v>1538</v>
      </c>
      <c r="C6" s="13" t="s">
        <v>1536</v>
      </c>
      <c r="D6" s="13"/>
    </row>
    <row r="7">
      <c r="A7" s="11">
        <v>4.0</v>
      </c>
      <c r="B7" s="11" t="s">
        <v>41</v>
      </c>
      <c r="C7" s="11" t="s">
        <v>1518</v>
      </c>
      <c r="D7" s="11"/>
    </row>
    <row r="8">
      <c r="A8" s="13">
        <v>5.0</v>
      </c>
      <c r="B8" s="13" t="s">
        <v>1518</v>
      </c>
      <c r="C8" s="13" t="s">
        <v>41</v>
      </c>
      <c r="D8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4" width="22.14"/>
  </cols>
  <sheetData>
    <row r="1">
      <c r="A1" s="60" t="s">
        <v>2194</v>
      </c>
      <c r="B1" s="61"/>
      <c r="C1" s="61"/>
      <c r="D1" s="61"/>
      <c r="E1" s="61"/>
      <c r="F1" s="61"/>
      <c r="G1" s="61"/>
      <c r="H1" s="61"/>
      <c r="I1" s="62"/>
    </row>
    <row r="2">
      <c r="A2" s="18" t="s">
        <v>14</v>
      </c>
      <c r="B2" s="19" t="s">
        <v>2195</v>
      </c>
      <c r="C2" s="20" t="s">
        <v>2196</v>
      </c>
      <c r="D2" s="20" t="s">
        <v>2197</v>
      </c>
      <c r="E2" s="19" t="s">
        <v>2198</v>
      </c>
      <c r="F2" s="19" t="s">
        <v>2199</v>
      </c>
      <c r="G2" s="20" t="s">
        <v>2200</v>
      </c>
      <c r="H2" s="20" t="s">
        <v>2201</v>
      </c>
      <c r="I2" s="19" t="s">
        <v>27</v>
      </c>
    </row>
    <row r="3">
      <c r="A3" s="21">
        <v>0.0</v>
      </c>
      <c r="B3" s="23" t="s">
        <v>34</v>
      </c>
      <c r="C3" s="23" t="s">
        <v>2202</v>
      </c>
      <c r="D3" s="23" t="s">
        <v>2203</v>
      </c>
      <c r="E3" s="23" t="s">
        <v>2204</v>
      </c>
      <c r="F3" s="23" t="s">
        <v>31</v>
      </c>
      <c r="G3" s="63" t="s">
        <v>2205</v>
      </c>
      <c r="H3" s="64" t="str">
        <f>IFERROR(__xludf.DUMMYFUNCTION("JOIN(""_"",split(B3,"" "",true),""License"")"),"Blade_License")</f>
        <v>Blade_License</v>
      </c>
      <c r="I3" s="25"/>
    </row>
    <row r="4">
      <c r="A4" s="26">
        <v>1.0</v>
      </c>
      <c r="B4" s="28" t="s">
        <v>51</v>
      </c>
      <c r="C4" s="23" t="s">
        <v>2202</v>
      </c>
      <c r="D4" s="23" t="s">
        <v>2203</v>
      </c>
      <c r="E4" s="28" t="s">
        <v>2204</v>
      </c>
      <c r="F4" s="28" t="s">
        <v>31</v>
      </c>
      <c r="G4" s="65" t="s">
        <v>2205</v>
      </c>
      <c r="H4" s="64" t="str">
        <f>IFERROR(__xludf.DUMMYFUNCTION("JOIN(""_"",split(B4,"" "",true),""License"")"),"Long_Blade_License")</f>
        <v>Long_Blade_License</v>
      </c>
      <c r="I4" s="25"/>
    </row>
    <row r="5">
      <c r="A5" s="21">
        <v>2.0</v>
      </c>
      <c r="B5" s="23" t="s">
        <v>75</v>
      </c>
      <c r="C5" s="23" t="s">
        <v>2206</v>
      </c>
      <c r="D5" s="23" t="s">
        <v>2207</v>
      </c>
      <c r="E5" s="23" t="s">
        <v>2204</v>
      </c>
      <c r="F5" s="23" t="s">
        <v>31</v>
      </c>
      <c r="G5" s="63" t="s">
        <v>2205</v>
      </c>
      <c r="H5" s="64" t="str">
        <f>IFERROR(__xludf.DUMMYFUNCTION("JOIN(""_"",split(B5,"" "",true),""License"")"),"Shield_License")</f>
        <v>Shield_License</v>
      </c>
      <c r="I5" s="25"/>
    </row>
    <row r="6">
      <c r="A6" s="26">
        <v>3.0</v>
      </c>
      <c r="B6" s="28" t="s">
        <v>77</v>
      </c>
      <c r="C6" s="23" t="s">
        <v>2203</v>
      </c>
      <c r="D6" s="23" t="s">
        <v>2202</v>
      </c>
      <c r="E6" s="28" t="s">
        <v>2208</v>
      </c>
      <c r="F6" s="28" t="s">
        <v>31</v>
      </c>
      <c r="G6" s="65" t="s">
        <v>2205</v>
      </c>
      <c r="H6" s="64" t="str">
        <f>IFERROR(__xludf.DUMMYFUNCTION("JOIN(""_"",split(B6,"" "",true),""License"")"),"Spear_License")</f>
        <v>Spear_License</v>
      </c>
      <c r="I6" s="25"/>
    </row>
    <row r="7">
      <c r="A7" s="21">
        <v>4.0</v>
      </c>
      <c r="B7" s="23" t="s">
        <v>2209</v>
      </c>
      <c r="C7" s="23" t="s">
        <v>2202</v>
      </c>
      <c r="D7" s="23" t="s">
        <v>2206</v>
      </c>
      <c r="E7" s="23" t="s">
        <v>2208</v>
      </c>
      <c r="F7" s="23" t="s">
        <v>31</v>
      </c>
      <c r="G7" s="63" t="s">
        <v>2205</v>
      </c>
      <c r="H7" s="64" t="str">
        <f>IFERROR(__xludf.DUMMYFUNCTION("JOIN(""_"",split(B7,"" "",true),""License"")"),"Heavy_Axe_License")</f>
        <v>Heavy_Axe_License</v>
      </c>
      <c r="I7" s="25"/>
    </row>
    <row r="8">
      <c r="A8" s="26">
        <v>5.0</v>
      </c>
      <c r="B8" s="28" t="s">
        <v>79</v>
      </c>
      <c r="C8" s="23" t="s">
        <v>2202</v>
      </c>
      <c r="D8" s="23" t="s">
        <v>2206</v>
      </c>
      <c r="E8" s="28" t="s">
        <v>2204</v>
      </c>
      <c r="F8" s="28" t="s">
        <v>31</v>
      </c>
      <c r="G8" s="65" t="s">
        <v>2205</v>
      </c>
      <c r="H8" s="64" t="str">
        <f>IFERROR(__xludf.DUMMYFUNCTION("JOIN(""_"",split(B8,"" "",true),""License"")"),"Heavy_Blade_License")</f>
        <v>Heavy_Blade_License</v>
      </c>
      <c r="I8" s="25"/>
    </row>
    <row r="9">
      <c r="A9" s="21">
        <v>6.0</v>
      </c>
      <c r="B9" s="23" t="s">
        <v>56</v>
      </c>
      <c r="C9" s="23" t="s">
        <v>2203</v>
      </c>
      <c r="D9" s="23" t="s">
        <v>2210</v>
      </c>
      <c r="E9" s="23" t="s">
        <v>2204</v>
      </c>
      <c r="F9" s="23" t="s">
        <v>31</v>
      </c>
      <c r="G9" s="63" t="s">
        <v>2205</v>
      </c>
      <c r="H9" s="64" t="str">
        <f>IFERROR(__xludf.DUMMYFUNCTION("JOIN(""_"",split(B9,"" "",true),""License"")"),"Cursed_Blade_License")</f>
        <v>Cursed_Blade_License</v>
      </c>
      <c r="I9" s="25"/>
    </row>
    <row r="10">
      <c r="A10" s="26">
        <v>7.0</v>
      </c>
      <c r="B10" s="28" t="s">
        <v>81</v>
      </c>
      <c r="C10" s="23" t="s">
        <v>2211</v>
      </c>
      <c r="D10" s="23" t="s">
        <v>2210</v>
      </c>
      <c r="E10" s="28" t="s">
        <v>2208</v>
      </c>
      <c r="F10" s="28" t="s">
        <v>31</v>
      </c>
      <c r="G10" s="65" t="s">
        <v>2205</v>
      </c>
      <c r="H10" s="64" t="str">
        <f>IFERROR(__xludf.DUMMYFUNCTION("JOIN(""_"",split(B10,"" "",true),""License"")"),"Spell_Blade_License")</f>
        <v>Spell_Blade_License</v>
      </c>
      <c r="I10" s="25"/>
    </row>
    <row r="11">
      <c r="A11" s="21">
        <v>8.0</v>
      </c>
      <c r="B11" s="23" t="s">
        <v>83</v>
      </c>
      <c r="C11" s="23" t="s">
        <v>2212</v>
      </c>
      <c r="D11" s="23" t="s">
        <v>2210</v>
      </c>
      <c r="E11" s="23" t="s">
        <v>2213</v>
      </c>
      <c r="F11" s="23" t="s">
        <v>31</v>
      </c>
      <c r="G11" s="63" t="s">
        <v>2205</v>
      </c>
      <c r="H11" s="64" t="str">
        <f>IFERROR(__xludf.DUMMYFUNCTION("JOIN(""_"",split(B11,"" "",true),""License"")"),"Jian_Blade_License")</f>
        <v>Jian_Blade_License</v>
      </c>
      <c r="I11" s="25"/>
    </row>
    <row r="12">
      <c r="A12" s="26">
        <v>9.0</v>
      </c>
      <c r="B12" s="28" t="s">
        <v>38</v>
      </c>
      <c r="C12" s="23" t="s">
        <v>2202</v>
      </c>
      <c r="D12" s="23" t="s">
        <v>2212</v>
      </c>
      <c r="E12" s="28" t="s">
        <v>2204</v>
      </c>
      <c r="F12" s="28" t="s">
        <v>36</v>
      </c>
      <c r="G12" s="65" t="s">
        <v>2205</v>
      </c>
      <c r="H12" s="64" t="str">
        <f>IFERROR(__xludf.DUMMYFUNCTION("JOIN(""_"",split(B12,"" "",true),""License"")"),"Twin_Blades_License")</f>
        <v>Twin_Blades_License</v>
      </c>
      <c r="I12" s="25"/>
    </row>
    <row r="13">
      <c r="A13" s="21">
        <v>10.0</v>
      </c>
      <c r="B13" s="23" t="s">
        <v>60</v>
      </c>
      <c r="C13" s="23" t="s">
        <v>2203</v>
      </c>
      <c r="D13" s="23" t="s">
        <v>2207</v>
      </c>
      <c r="E13" s="23" t="s">
        <v>2213</v>
      </c>
      <c r="F13" s="23" t="s">
        <v>36</v>
      </c>
      <c r="G13" s="63" t="s">
        <v>2205</v>
      </c>
      <c r="H13" s="64" t="str">
        <f>IFERROR(__xludf.DUMMYFUNCTION("JOIN(""_"",split(B13,"" "",true),""License"")"),"Bow_License")</f>
        <v>Bow_License</v>
      </c>
      <c r="I13" s="25"/>
    </row>
    <row r="14">
      <c r="A14" s="26">
        <v>11.0</v>
      </c>
      <c r="B14" s="28" t="s">
        <v>85</v>
      </c>
      <c r="C14" s="23" t="s">
        <v>2203</v>
      </c>
      <c r="D14" s="23" t="s">
        <v>2206</v>
      </c>
      <c r="E14" s="28" t="s">
        <v>2213</v>
      </c>
      <c r="F14" s="28" t="s">
        <v>36</v>
      </c>
      <c r="G14" s="65" t="s">
        <v>2205</v>
      </c>
      <c r="H14" s="64" t="str">
        <f>IFERROR(__xludf.DUMMYFUNCTION("JOIN(""_"",split(B14,"" "",true),""License"")"),"Heavy_Bow_License")</f>
        <v>Heavy_Bow_License</v>
      </c>
      <c r="I14" s="25"/>
    </row>
    <row r="15">
      <c r="A15" s="21">
        <v>12.0</v>
      </c>
      <c r="B15" s="23" t="s">
        <v>87</v>
      </c>
      <c r="C15" s="23" t="s">
        <v>2203</v>
      </c>
      <c r="D15" s="23" t="s">
        <v>2207</v>
      </c>
      <c r="E15" s="23" t="s">
        <v>2213</v>
      </c>
      <c r="F15" s="23" t="s">
        <v>36</v>
      </c>
      <c r="G15" s="63" t="s">
        <v>2205</v>
      </c>
      <c r="H15" s="64" t="str">
        <f>IFERROR(__xludf.DUMMYFUNCTION("JOIN(""_"",split(B15,"" "",true),""License"")"),"Rifle_License")</f>
        <v>Rifle_License</v>
      </c>
      <c r="I15" s="25"/>
    </row>
    <row r="16">
      <c r="A16" s="26">
        <v>13.0</v>
      </c>
      <c r="B16" s="28" t="s">
        <v>62</v>
      </c>
      <c r="C16" s="23" t="s">
        <v>2203</v>
      </c>
      <c r="D16" s="23" t="s">
        <v>2212</v>
      </c>
      <c r="E16" s="28" t="s">
        <v>2204</v>
      </c>
      <c r="F16" s="28" t="s">
        <v>36</v>
      </c>
      <c r="G16" s="65" t="s">
        <v>2205</v>
      </c>
      <c r="H16" s="64" t="str">
        <f>IFERROR(__xludf.DUMMYFUNCTION("JOIN(""_"",split(B16,"" "",true),""License"")"),"Dual_Guns_License")</f>
        <v>Dual_Guns_License</v>
      </c>
      <c r="I16" s="25"/>
    </row>
    <row r="17">
      <c r="A17" s="21">
        <v>14.0</v>
      </c>
      <c r="B17" s="23" t="s">
        <v>89</v>
      </c>
      <c r="C17" s="23" t="s">
        <v>2203</v>
      </c>
      <c r="D17" s="23" t="s">
        <v>2202</v>
      </c>
      <c r="E17" s="23" t="s">
        <v>2208</v>
      </c>
      <c r="F17" s="23" t="s">
        <v>36</v>
      </c>
      <c r="G17" s="63" t="s">
        <v>2205</v>
      </c>
      <c r="H17" s="64" t="str">
        <f>IFERROR(__xludf.DUMMYFUNCTION("JOIN(""_"",split(B17,"" "",true),""License"")"),"Bayonet_License")</f>
        <v>Bayonet_License</v>
      </c>
      <c r="I17" s="25"/>
    </row>
    <row r="18">
      <c r="A18" s="26">
        <v>15.0</v>
      </c>
      <c r="B18" s="28" t="s">
        <v>64</v>
      </c>
      <c r="C18" s="23" t="s">
        <v>2202</v>
      </c>
      <c r="D18" s="23" t="s">
        <v>2210</v>
      </c>
      <c r="E18" s="28" t="s">
        <v>2204</v>
      </c>
      <c r="F18" s="28" t="s">
        <v>36</v>
      </c>
      <c r="G18" s="65" t="s">
        <v>2205</v>
      </c>
      <c r="H18" s="64" t="str">
        <f>IFERROR(__xludf.DUMMYFUNCTION("JOIN(""_"",split(B18,"" "",true),""License"")"),"Claws_License")</f>
        <v>Claws_License</v>
      </c>
      <c r="I18" s="25"/>
    </row>
    <row r="19">
      <c r="A19" s="21">
        <v>16.0</v>
      </c>
      <c r="B19" s="23" t="s">
        <v>91</v>
      </c>
      <c r="C19" s="23" t="s">
        <v>2206</v>
      </c>
      <c r="D19" s="23" t="s">
        <v>2210</v>
      </c>
      <c r="E19" s="23" t="s">
        <v>2204</v>
      </c>
      <c r="F19" s="23" t="s">
        <v>36</v>
      </c>
      <c r="G19" s="63" t="s">
        <v>2205</v>
      </c>
      <c r="H19" s="64" t="str">
        <f>IFERROR(__xludf.DUMMYFUNCTION("JOIN(""_"",split(B19,"" "",true),""License"")"),"Gauntlets_License")</f>
        <v>Gauntlets_License</v>
      </c>
      <c r="I19" s="25"/>
    </row>
    <row r="20">
      <c r="A20" s="26">
        <v>17.0</v>
      </c>
      <c r="B20" s="28" t="s">
        <v>93</v>
      </c>
      <c r="C20" s="23" t="s">
        <v>2212</v>
      </c>
      <c r="D20" s="23" t="s">
        <v>2202</v>
      </c>
      <c r="E20" s="28" t="s">
        <v>2208</v>
      </c>
      <c r="F20" s="28" t="s">
        <v>36</v>
      </c>
      <c r="G20" s="65" t="s">
        <v>2205</v>
      </c>
      <c r="H20" s="64" t="str">
        <f>IFERROR(__xludf.DUMMYFUNCTION("JOIN(""_"",split(B20,"" "",true),""License"")"),"Scythe_License")</f>
        <v>Scythe_License</v>
      </c>
      <c r="I20" s="25"/>
    </row>
    <row r="21">
      <c r="A21" s="21">
        <v>18.0</v>
      </c>
      <c r="B21" s="23" t="s">
        <v>44</v>
      </c>
      <c r="C21" s="23" t="s">
        <v>2211</v>
      </c>
      <c r="D21" s="23" t="s">
        <v>2207</v>
      </c>
      <c r="E21" s="23" t="s">
        <v>2208</v>
      </c>
      <c r="F21" s="23" t="s">
        <v>41</v>
      </c>
      <c r="G21" s="63" t="s">
        <v>2205</v>
      </c>
      <c r="H21" s="64" t="str">
        <f>IFERROR(__xludf.DUMMYFUNCTION("JOIN(""_"",split(B21,"" "",true),""License"")"),"Focus_License")</f>
        <v>Focus_License</v>
      </c>
      <c r="I21" s="25"/>
    </row>
    <row r="22">
      <c r="A22" s="26">
        <v>19.0</v>
      </c>
      <c r="B22" s="28" t="s">
        <v>66</v>
      </c>
      <c r="C22" s="23" t="s">
        <v>2207</v>
      </c>
      <c r="D22" s="23" t="s">
        <v>2211</v>
      </c>
      <c r="E22" s="28" t="s">
        <v>2208</v>
      </c>
      <c r="F22" s="28" t="s">
        <v>41</v>
      </c>
      <c r="G22" s="65" t="s">
        <v>2205</v>
      </c>
      <c r="H22" s="64" t="str">
        <f>IFERROR(__xludf.DUMMYFUNCTION("JOIN(""_"",split(B22,"" "",true),""License"")"),"Staff_License")</f>
        <v>Staff_License</v>
      </c>
      <c r="I22" s="25"/>
    </row>
    <row r="23">
      <c r="A23" s="21">
        <v>20.0</v>
      </c>
      <c r="B23" s="23" t="s">
        <v>95</v>
      </c>
      <c r="C23" s="23" t="s">
        <v>2206</v>
      </c>
      <c r="D23" s="23" t="s">
        <v>2207</v>
      </c>
      <c r="E23" s="23" t="s">
        <v>2208</v>
      </c>
      <c r="F23" s="23" t="s">
        <v>41</v>
      </c>
      <c r="G23" s="63" t="s">
        <v>2205</v>
      </c>
      <c r="H23" s="64" t="str">
        <f>IFERROR(__xludf.DUMMYFUNCTION("JOIN(""_"",split(B23,"" "",true),""License"")"),"Heavy_Staff_License")</f>
        <v>Heavy_Staff_License</v>
      </c>
      <c r="I23" s="25"/>
    </row>
    <row r="24">
      <c r="A24" s="26">
        <v>21.0</v>
      </c>
      <c r="B24" s="28" t="s">
        <v>98</v>
      </c>
      <c r="C24" s="23" t="s">
        <v>2207</v>
      </c>
      <c r="D24" s="23" t="s">
        <v>2211</v>
      </c>
      <c r="E24" s="28" t="s">
        <v>2213</v>
      </c>
      <c r="F24" s="28" t="s">
        <v>41</v>
      </c>
      <c r="G24" s="65" t="s">
        <v>2205</v>
      </c>
      <c r="H24" s="64" t="str">
        <f>IFERROR(__xludf.DUMMYFUNCTION("JOIN(""_"",split(B24,"" "",true),""License"")"),"Crystal_Staff_License")</f>
        <v>Crystal_Staff_License</v>
      </c>
      <c r="I24" s="25"/>
    </row>
    <row r="25">
      <c r="A25" s="21">
        <v>22.0</v>
      </c>
      <c r="B25" s="23" t="s">
        <v>68</v>
      </c>
      <c r="C25" s="23" t="s">
        <v>2211</v>
      </c>
      <c r="D25" s="23" t="s">
        <v>2210</v>
      </c>
      <c r="E25" s="23" t="s">
        <v>2208</v>
      </c>
      <c r="F25" s="23" t="s">
        <v>41</v>
      </c>
      <c r="G25" s="63" t="s">
        <v>2205</v>
      </c>
      <c r="H25" s="64" t="str">
        <f>IFERROR(__xludf.DUMMYFUNCTION("JOIN(""_"",split(B25,"" "",true),""License"")"),"Runes_License")</f>
        <v>Runes_License</v>
      </c>
      <c r="I25" s="25"/>
    </row>
    <row r="26">
      <c r="A26" s="26">
        <v>23.0</v>
      </c>
      <c r="B26" s="28" t="s">
        <v>100</v>
      </c>
      <c r="C26" s="23" t="s">
        <v>2206</v>
      </c>
      <c r="D26" s="23" t="s">
        <v>2210</v>
      </c>
      <c r="E26" s="28" t="s">
        <v>2213</v>
      </c>
      <c r="F26" s="28" t="s">
        <v>41</v>
      </c>
      <c r="G26" s="65" t="s">
        <v>2205</v>
      </c>
      <c r="H26" s="64" t="str">
        <f>IFERROR(__xludf.DUMMYFUNCTION("JOIN(""_"",split(B26,"" "",true),""License"")"),"War_Fans_License")</f>
        <v>War_Fans_License</v>
      </c>
      <c r="I26" s="25"/>
    </row>
    <row r="27">
      <c r="A27" s="21">
        <v>24.0</v>
      </c>
      <c r="B27" s="23" t="s">
        <v>102</v>
      </c>
      <c r="C27" s="23" t="s">
        <v>2212</v>
      </c>
      <c r="D27" s="23" t="s">
        <v>2211</v>
      </c>
      <c r="E27" s="23" t="s">
        <v>2213</v>
      </c>
      <c r="F27" s="23" t="s">
        <v>41</v>
      </c>
      <c r="G27" s="63" t="s">
        <v>2205</v>
      </c>
      <c r="H27" s="64" t="str">
        <f>IFERROR(__xludf.DUMMYFUNCTION("JOIN(""_"",split(B27,"" "",true),""License"")"),"Necronomicon_License")</f>
        <v>Necronomicon_License</v>
      </c>
      <c r="I27" s="25"/>
    </row>
    <row r="28">
      <c r="A28" s="26">
        <v>25.0</v>
      </c>
      <c r="B28" s="28" t="s">
        <v>48</v>
      </c>
      <c r="C28" s="23" t="s">
        <v>2211</v>
      </c>
      <c r="D28" s="23" t="s">
        <v>2210</v>
      </c>
      <c r="E28" s="28" t="s">
        <v>2208</v>
      </c>
      <c r="F28" s="28" t="s">
        <v>41</v>
      </c>
      <c r="G28" s="65" t="s">
        <v>2205</v>
      </c>
      <c r="H28" s="64" t="str">
        <f>IFERROR(__xludf.DUMMYFUNCTION("JOIN(""_"",split(B28,"" "",true),""License"")"),"Wand_License")</f>
        <v>Wand_License</v>
      </c>
      <c r="I28" s="25"/>
    </row>
    <row r="29">
      <c r="A29" s="21">
        <v>26.0</v>
      </c>
      <c r="B29" s="23" t="s">
        <v>70</v>
      </c>
      <c r="C29" s="23" t="s">
        <v>2211</v>
      </c>
      <c r="D29" s="23" t="s">
        <v>2212</v>
      </c>
      <c r="E29" s="23" t="s">
        <v>2208</v>
      </c>
      <c r="F29" s="23" t="s">
        <v>41</v>
      </c>
      <c r="G29" s="63" t="s">
        <v>2205</v>
      </c>
      <c r="H29" s="64" t="str">
        <f>IFERROR(__xludf.DUMMYFUNCTION("JOIN(""_"",split(B29,"" "",true),""License"")"),"Tome_License")</f>
        <v>Tome_License</v>
      </c>
      <c r="I29" s="25"/>
    </row>
    <row r="30">
      <c r="A30" s="26">
        <v>27.0</v>
      </c>
      <c r="B30" s="28" t="s">
        <v>104</v>
      </c>
      <c r="C30" s="23" t="s">
        <v>2211</v>
      </c>
      <c r="D30" s="23" t="s">
        <v>2212</v>
      </c>
      <c r="E30" s="28" t="s">
        <v>2213</v>
      </c>
      <c r="F30" s="28" t="s">
        <v>41</v>
      </c>
      <c r="G30" s="65" t="s">
        <v>2205</v>
      </c>
      <c r="H30" s="64" t="str">
        <f>IFERROR(__xludf.DUMMYFUNCTION("JOIN(""_"",split(B30,"" "",true),""License"")"),"Grimoire_License")</f>
        <v>Grimoire_License</v>
      </c>
      <c r="I30" s="25"/>
    </row>
    <row r="31">
      <c r="A31" s="21">
        <v>28.0</v>
      </c>
      <c r="B31" s="23" t="s">
        <v>106</v>
      </c>
      <c r="C31" s="23" t="s">
        <v>2210</v>
      </c>
      <c r="D31" s="23" t="s">
        <v>2207</v>
      </c>
      <c r="E31" s="23" t="s">
        <v>2213</v>
      </c>
      <c r="F31" s="23" t="s">
        <v>41</v>
      </c>
      <c r="G31" s="63" t="s">
        <v>2205</v>
      </c>
      <c r="H31" s="64" t="str">
        <f>IFERROR(__xludf.DUMMYFUNCTION("JOIN(""_"",split(B31,"" "",true),""License"")"),"Holy_Relic_License")</f>
        <v>Holy_Relic_License</v>
      </c>
      <c r="I31" s="25"/>
    </row>
    <row r="32">
      <c r="A32" s="26">
        <v>29.0</v>
      </c>
      <c r="B32" s="28" t="s">
        <v>72</v>
      </c>
      <c r="C32" s="23" t="s">
        <v>2206</v>
      </c>
      <c r="D32" s="23" t="s">
        <v>2212</v>
      </c>
      <c r="E32" s="28" t="s">
        <v>2208</v>
      </c>
      <c r="F32" s="28" t="s">
        <v>41</v>
      </c>
      <c r="G32" s="65" t="s">
        <v>2205</v>
      </c>
      <c r="H32" s="64" t="str">
        <f>IFERROR(__xludf.DUMMYFUNCTION("JOIN(""_"",split(B32,"" "",true),""License"")"),"Bo_Staff_License")</f>
        <v>Bo_Staff_License</v>
      </c>
      <c r="I32" s="25"/>
    </row>
    <row r="33">
      <c r="A33" s="21">
        <v>30.0</v>
      </c>
      <c r="B33" s="23" t="s">
        <v>108</v>
      </c>
      <c r="C33" s="23" t="s">
        <v>2206</v>
      </c>
      <c r="D33" s="23" t="s">
        <v>2207</v>
      </c>
      <c r="E33" s="23" t="s">
        <v>2213</v>
      </c>
      <c r="F33" s="23" t="s">
        <v>41</v>
      </c>
      <c r="G33" s="63" t="s">
        <v>2205</v>
      </c>
      <c r="H33" s="64" t="str">
        <f>IFERROR(__xludf.DUMMYFUNCTION("JOIN(""_"",split(B33,"" "",true),""License"")"),"Whip_License")</f>
        <v>Whip_License</v>
      </c>
      <c r="I33" s="25"/>
    </row>
    <row r="34">
      <c r="A34" s="26">
        <v>31.0</v>
      </c>
      <c r="B34" s="28" t="s">
        <v>110</v>
      </c>
      <c r="C34" s="23" t="s">
        <v>2202</v>
      </c>
      <c r="D34" s="23" t="s">
        <v>2212</v>
      </c>
      <c r="E34" s="28" t="s">
        <v>2204</v>
      </c>
      <c r="F34" s="28" t="s">
        <v>41</v>
      </c>
      <c r="G34" s="65" t="s">
        <v>2205</v>
      </c>
      <c r="H34" s="64" t="str">
        <f>IFERROR(__xludf.DUMMYFUNCTION("JOIN(""_"",split(B34,"" "",true),""License"")"),"Bladed_Fans_License")</f>
        <v>Bladed_Fans_License</v>
      </c>
      <c r="I34" s="25"/>
    </row>
    <row r="35">
      <c r="A35" s="21"/>
      <c r="B35" s="22"/>
      <c r="C35" s="22"/>
      <c r="D35" s="22"/>
      <c r="E35" s="22"/>
      <c r="F35" s="22"/>
      <c r="G35" s="63"/>
      <c r="H35" s="64"/>
      <c r="I35" s="25"/>
    </row>
    <row r="36">
      <c r="A36" s="26"/>
      <c r="B36" s="27"/>
      <c r="C36" s="27"/>
      <c r="D36" s="27"/>
      <c r="E36" s="27"/>
      <c r="F36" s="27"/>
      <c r="G36" s="65"/>
      <c r="H36" s="64"/>
      <c r="I36" s="25"/>
    </row>
    <row r="37">
      <c r="A37" s="21"/>
      <c r="B37" s="23"/>
      <c r="C37" s="23"/>
      <c r="D37" s="23"/>
      <c r="E37" s="22"/>
      <c r="F37" s="22"/>
      <c r="G37" s="63"/>
      <c r="H37" s="64"/>
      <c r="I37" s="25"/>
    </row>
    <row r="38">
      <c r="A38" s="26"/>
      <c r="B38" s="28"/>
      <c r="C38" s="28"/>
      <c r="D38" s="28"/>
      <c r="E38" s="27"/>
      <c r="F38" s="27"/>
      <c r="G38" s="65"/>
      <c r="H38" s="64"/>
      <c r="I38" s="25"/>
    </row>
    <row r="39">
      <c r="A39" s="21"/>
      <c r="B39" s="23"/>
      <c r="C39" s="23"/>
      <c r="D39" s="23"/>
      <c r="E39" s="27"/>
      <c r="F39" s="22"/>
      <c r="G39" s="63"/>
      <c r="H39" s="64"/>
      <c r="I39" s="25"/>
    </row>
    <row r="40">
      <c r="A40" s="26"/>
      <c r="B40" s="27"/>
      <c r="C40" s="27"/>
      <c r="D40" s="27"/>
      <c r="E40" s="27"/>
      <c r="F40" s="27"/>
      <c r="G40" s="65"/>
      <c r="H40" s="64"/>
      <c r="I40" s="25"/>
    </row>
    <row r="41">
      <c r="A41" s="21"/>
      <c r="B41" s="22"/>
      <c r="C41" s="22"/>
      <c r="D41" s="22"/>
      <c r="E41" s="22"/>
      <c r="F41" s="22"/>
      <c r="G41" s="63"/>
      <c r="H41" s="64"/>
      <c r="I41" s="2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 t="s">
        <v>2214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2"/>
    </row>
    <row r="2">
      <c r="A2" s="18" t="s">
        <v>14</v>
      </c>
      <c r="B2" s="18" t="s">
        <v>15</v>
      </c>
      <c r="C2" s="19" t="s">
        <v>2195</v>
      </c>
      <c r="D2" s="20" t="s">
        <v>2200</v>
      </c>
      <c r="E2" s="66" t="s">
        <v>141</v>
      </c>
      <c r="F2" s="66" t="s">
        <v>125</v>
      </c>
      <c r="G2" s="66" t="s">
        <v>159</v>
      </c>
      <c r="H2" s="66" t="s">
        <v>160</v>
      </c>
      <c r="I2" s="66" t="s">
        <v>129</v>
      </c>
      <c r="J2" s="66" t="s">
        <v>133</v>
      </c>
      <c r="K2" s="66" t="s">
        <v>145</v>
      </c>
      <c r="L2" s="66" t="s">
        <v>137</v>
      </c>
      <c r="M2" s="66" t="s">
        <v>126</v>
      </c>
      <c r="N2" s="66" t="s">
        <v>161</v>
      </c>
      <c r="O2" s="66" t="s">
        <v>142</v>
      </c>
      <c r="P2" s="66" t="s">
        <v>134</v>
      </c>
      <c r="Q2" s="66" t="s">
        <v>162</v>
      </c>
      <c r="R2" s="66" t="s">
        <v>163</v>
      </c>
      <c r="S2" s="66" t="s">
        <v>164</v>
      </c>
      <c r="T2" s="66" t="s">
        <v>165</v>
      </c>
      <c r="U2" s="66" t="s">
        <v>166</v>
      </c>
      <c r="V2" s="66" t="s">
        <v>167</v>
      </c>
      <c r="W2" s="19" t="s">
        <v>27</v>
      </c>
      <c r="X2" s="19" t="s">
        <v>2215</v>
      </c>
    </row>
    <row r="3">
      <c r="A3" s="21">
        <v>0.0</v>
      </c>
      <c r="B3" s="67" t="s">
        <v>2216</v>
      </c>
      <c r="C3" s="67" t="s">
        <v>34</v>
      </c>
      <c r="D3" s="67" t="s">
        <v>2205</v>
      </c>
      <c r="E3" s="68"/>
      <c r="F3" s="68">
        <v>14.0</v>
      </c>
      <c r="G3" s="68">
        <v>7.0</v>
      </c>
      <c r="H3" s="69"/>
      <c r="I3" s="69">
        <v>4.0</v>
      </c>
      <c r="J3" s="69">
        <v>1.0</v>
      </c>
      <c r="K3" s="69">
        <v>3.0</v>
      </c>
      <c r="L3" s="69">
        <v>1.0</v>
      </c>
      <c r="M3" s="69"/>
      <c r="N3" s="69"/>
      <c r="O3" s="69"/>
      <c r="P3" s="69"/>
      <c r="Q3" s="69"/>
      <c r="R3" s="69"/>
      <c r="S3" s="69"/>
      <c r="T3" s="69"/>
      <c r="U3" s="69"/>
      <c r="V3" s="69"/>
      <c r="W3" s="70"/>
      <c r="X3" s="22" t="s">
        <v>2217</v>
      </c>
    </row>
    <row r="4">
      <c r="A4" s="26">
        <v>1.0</v>
      </c>
      <c r="B4" s="71" t="s">
        <v>2218</v>
      </c>
      <c r="C4" s="71" t="s">
        <v>51</v>
      </c>
      <c r="D4" s="71" t="s">
        <v>2205</v>
      </c>
      <c r="E4" s="72"/>
      <c r="F4" s="72">
        <v>4.0</v>
      </c>
      <c r="G4" s="72">
        <v>4.0</v>
      </c>
      <c r="H4" s="73"/>
      <c r="I4" s="73">
        <v>1.0</v>
      </c>
      <c r="J4" s="73">
        <v>1.0</v>
      </c>
      <c r="K4" s="73">
        <v>3.0</v>
      </c>
      <c r="L4" s="73">
        <v>1.0</v>
      </c>
      <c r="M4" s="73"/>
      <c r="N4" s="73"/>
      <c r="O4" s="73">
        <v>1.0</v>
      </c>
      <c r="P4" s="73"/>
      <c r="Q4" s="73"/>
      <c r="R4" s="73"/>
      <c r="S4" s="73"/>
      <c r="T4" s="73"/>
      <c r="U4" s="73"/>
      <c r="V4" s="73"/>
      <c r="W4" s="74"/>
      <c r="X4" s="27" t="s">
        <v>2217</v>
      </c>
    </row>
    <row r="5">
      <c r="A5" s="21">
        <v>2.0</v>
      </c>
      <c r="B5" s="67" t="s">
        <v>2219</v>
      </c>
      <c r="C5" s="67" t="s">
        <v>75</v>
      </c>
      <c r="D5" s="67" t="s">
        <v>2205</v>
      </c>
      <c r="E5" s="68"/>
      <c r="F5" s="68">
        <v>4.0</v>
      </c>
      <c r="G5" s="68">
        <v>6.0</v>
      </c>
      <c r="H5" s="69"/>
      <c r="I5" s="69">
        <v>3.0</v>
      </c>
      <c r="J5" s="69">
        <v>1.0</v>
      </c>
      <c r="K5" s="69">
        <v>3.0</v>
      </c>
      <c r="L5" s="69">
        <v>1.0</v>
      </c>
      <c r="M5" s="69"/>
      <c r="N5" s="69"/>
      <c r="O5" s="69">
        <v>1.0</v>
      </c>
      <c r="P5" s="69">
        <v>1.0</v>
      </c>
      <c r="Q5" s="69"/>
      <c r="R5" s="69"/>
      <c r="S5" s="69">
        <v>1.0</v>
      </c>
      <c r="T5" s="69"/>
      <c r="U5" s="69"/>
      <c r="V5" s="69"/>
      <c r="W5" s="70"/>
      <c r="X5" s="22" t="s">
        <v>2217</v>
      </c>
    </row>
    <row r="6">
      <c r="A6" s="26">
        <v>3.0</v>
      </c>
      <c r="B6" s="71" t="s">
        <v>2220</v>
      </c>
      <c r="C6" s="71" t="s">
        <v>77</v>
      </c>
      <c r="D6" s="71" t="s">
        <v>2205</v>
      </c>
      <c r="E6" s="72">
        <v>7.0</v>
      </c>
      <c r="F6" s="72">
        <v>6.0</v>
      </c>
      <c r="G6" s="72">
        <v>7.0</v>
      </c>
      <c r="H6" s="73"/>
      <c r="I6" s="73">
        <v>3.0</v>
      </c>
      <c r="J6" s="73">
        <v>3.0</v>
      </c>
      <c r="K6" s="73">
        <v>4.0</v>
      </c>
      <c r="L6" s="73">
        <v>3.0</v>
      </c>
      <c r="M6" s="73"/>
      <c r="N6" s="73">
        <v>1.0</v>
      </c>
      <c r="O6" s="73">
        <v>1.0</v>
      </c>
      <c r="P6" s="73">
        <v>1.0</v>
      </c>
      <c r="Q6" s="73"/>
      <c r="R6" s="73"/>
      <c r="S6" s="73">
        <v>1.0</v>
      </c>
      <c r="T6" s="73"/>
      <c r="U6" s="73">
        <v>1.0</v>
      </c>
      <c r="V6" s="73"/>
      <c r="W6" s="74"/>
      <c r="X6" s="27" t="s">
        <v>2217</v>
      </c>
    </row>
    <row r="7">
      <c r="A7" s="21">
        <v>4.0</v>
      </c>
      <c r="B7" s="67" t="s">
        <v>2221</v>
      </c>
      <c r="C7" s="67" t="s">
        <v>2209</v>
      </c>
      <c r="D7" s="67" t="s">
        <v>2205</v>
      </c>
      <c r="E7" s="68">
        <v>7.0</v>
      </c>
      <c r="F7" s="68">
        <v>7.0</v>
      </c>
      <c r="G7" s="68">
        <v>9.0</v>
      </c>
      <c r="H7" s="69"/>
      <c r="I7" s="69">
        <v>4.0</v>
      </c>
      <c r="J7" s="69">
        <v>3.0</v>
      </c>
      <c r="K7" s="69">
        <v>6.0</v>
      </c>
      <c r="L7" s="69">
        <v>3.0</v>
      </c>
      <c r="M7" s="69"/>
      <c r="N7" s="69">
        <v>1.0</v>
      </c>
      <c r="O7" s="69">
        <v>3.0</v>
      </c>
      <c r="P7" s="69">
        <v>3.0</v>
      </c>
      <c r="Q7" s="69"/>
      <c r="R7" s="69"/>
      <c r="S7" s="69">
        <v>1.0</v>
      </c>
      <c r="T7" s="69"/>
      <c r="U7" s="69">
        <v>1.0</v>
      </c>
      <c r="V7" s="69"/>
      <c r="W7" s="70"/>
      <c r="X7" s="22" t="s">
        <v>2217</v>
      </c>
    </row>
    <row r="8">
      <c r="A8" s="26">
        <v>5.0</v>
      </c>
      <c r="B8" s="71" t="s">
        <v>2222</v>
      </c>
      <c r="C8" s="71" t="s">
        <v>79</v>
      </c>
      <c r="D8" s="71" t="s">
        <v>2205</v>
      </c>
      <c r="E8" s="72"/>
      <c r="F8" s="72">
        <v>6.0</v>
      </c>
      <c r="G8" s="72">
        <v>6.0</v>
      </c>
      <c r="H8" s="73"/>
      <c r="I8" s="73">
        <v>3.0</v>
      </c>
      <c r="J8" s="73">
        <v>1.0</v>
      </c>
      <c r="K8" s="73">
        <v>1.0</v>
      </c>
      <c r="L8" s="73">
        <v>1.0</v>
      </c>
      <c r="M8" s="73"/>
      <c r="N8" s="73">
        <v>1.0</v>
      </c>
      <c r="O8" s="73"/>
      <c r="P8" s="73"/>
      <c r="Q8" s="73"/>
      <c r="R8" s="73"/>
      <c r="S8" s="73"/>
      <c r="T8" s="73"/>
      <c r="U8" s="73"/>
      <c r="V8" s="73"/>
      <c r="W8" s="74"/>
      <c r="X8" s="27" t="s">
        <v>2217</v>
      </c>
    </row>
    <row r="9">
      <c r="A9" s="21">
        <v>6.0</v>
      </c>
      <c r="B9" s="64" t="s">
        <v>2223</v>
      </c>
      <c r="C9" s="64" t="s">
        <v>56</v>
      </c>
      <c r="D9" s="64" t="s">
        <v>2205</v>
      </c>
      <c r="E9" s="68"/>
      <c r="F9" s="68">
        <v>7.0</v>
      </c>
      <c r="G9" s="68">
        <v>7.0</v>
      </c>
      <c r="H9" s="69"/>
      <c r="I9" s="69">
        <v>4.0</v>
      </c>
      <c r="J9" s="69">
        <v>1.0</v>
      </c>
      <c r="K9" s="69">
        <v>1.0</v>
      </c>
      <c r="L9" s="69">
        <v>1.0</v>
      </c>
      <c r="M9" s="69"/>
      <c r="N9" s="69">
        <v>1.0</v>
      </c>
      <c r="O9" s="69"/>
      <c r="P9" s="69">
        <v>1.0</v>
      </c>
      <c r="Q9" s="69"/>
      <c r="R9" s="69"/>
      <c r="S9" s="69"/>
      <c r="T9" s="69"/>
      <c r="U9" s="69"/>
      <c r="V9" s="69"/>
      <c r="W9" s="63"/>
      <c r="X9" s="22" t="s">
        <v>2217</v>
      </c>
    </row>
    <row r="10">
      <c r="A10" s="26">
        <v>7.0</v>
      </c>
      <c r="B10" s="48" t="s">
        <v>2224</v>
      </c>
      <c r="C10" s="48" t="s">
        <v>81</v>
      </c>
      <c r="D10" s="48" t="s">
        <v>2205</v>
      </c>
      <c r="E10" s="72">
        <v>7.0</v>
      </c>
      <c r="F10" s="72">
        <v>9.0</v>
      </c>
      <c r="G10" s="72">
        <v>9.0</v>
      </c>
      <c r="H10" s="73"/>
      <c r="I10" s="73">
        <v>4.0</v>
      </c>
      <c r="J10" s="73">
        <v>3.0</v>
      </c>
      <c r="K10" s="73">
        <v>2.0</v>
      </c>
      <c r="L10" s="73">
        <v>2.0</v>
      </c>
      <c r="M10" s="73"/>
      <c r="N10" s="73">
        <v>1.0</v>
      </c>
      <c r="O10" s="73"/>
      <c r="P10" s="73">
        <v>1.0</v>
      </c>
      <c r="Q10" s="73"/>
      <c r="R10" s="73"/>
      <c r="S10" s="73"/>
      <c r="T10" s="73"/>
      <c r="U10" s="73"/>
      <c r="V10" s="73"/>
      <c r="W10" s="65"/>
      <c r="X10" s="27" t="s">
        <v>2217</v>
      </c>
    </row>
    <row r="11">
      <c r="A11" s="21">
        <v>8.0</v>
      </c>
      <c r="B11" s="64" t="s">
        <v>2225</v>
      </c>
      <c r="C11" s="64" t="s">
        <v>83</v>
      </c>
      <c r="D11" s="64" t="s">
        <v>2205</v>
      </c>
      <c r="E11" s="68">
        <v>7.0</v>
      </c>
      <c r="F11" s="68">
        <v>10.0</v>
      </c>
      <c r="G11" s="68">
        <v>10.0</v>
      </c>
      <c r="H11" s="69"/>
      <c r="I11" s="69">
        <v>6.0</v>
      </c>
      <c r="J11" s="69">
        <v>3.0</v>
      </c>
      <c r="K11" s="69">
        <v>2.0</v>
      </c>
      <c r="L11" s="69">
        <v>2.0</v>
      </c>
      <c r="M11" s="69"/>
      <c r="N11" s="69">
        <v>1.0</v>
      </c>
      <c r="O11" s="69"/>
      <c r="P11" s="69">
        <v>1.0</v>
      </c>
      <c r="Q11" s="69"/>
      <c r="R11" s="69"/>
      <c r="S11" s="69"/>
      <c r="T11" s="69"/>
      <c r="U11" s="69"/>
      <c r="V11" s="69"/>
      <c r="W11" s="63"/>
      <c r="X11" s="22" t="s">
        <v>2217</v>
      </c>
    </row>
    <row r="12">
      <c r="A12" s="26">
        <v>9.0</v>
      </c>
      <c r="B12" s="48" t="s">
        <v>2226</v>
      </c>
      <c r="C12" s="48" t="s">
        <v>38</v>
      </c>
      <c r="D12" s="48" t="s">
        <v>2205</v>
      </c>
      <c r="E12" s="72"/>
      <c r="F12" s="72">
        <v>6.0</v>
      </c>
      <c r="G12" s="72">
        <v>4.0</v>
      </c>
      <c r="H12" s="73"/>
      <c r="I12" s="73">
        <v>4.0</v>
      </c>
      <c r="J12" s="73">
        <v>2.0</v>
      </c>
      <c r="K12" s="73">
        <v>2.0</v>
      </c>
      <c r="L12" s="73">
        <v>2.0</v>
      </c>
      <c r="M12" s="73"/>
      <c r="N12" s="73">
        <v>1.0</v>
      </c>
      <c r="O12" s="73">
        <v>1.0</v>
      </c>
      <c r="P12" s="73"/>
      <c r="Q12" s="73"/>
      <c r="R12" s="73"/>
      <c r="S12" s="73"/>
      <c r="T12" s="73"/>
      <c r="U12" s="73"/>
      <c r="V12" s="73"/>
      <c r="W12" s="65"/>
      <c r="X12" s="27" t="s">
        <v>2217</v>
      </c>
    </row>
    <row r="13">
      <c r="A13" s="21">
        <v>10.0</v>
      </c>
      <c r="B13" s="64" t="s">
        <v>2227</v>
      </c>
      <c r="C13" s="64" t="s">
        <v>60</v>
      </c>
      <c r="D13" s="64" t="s">
        <v>2205</v>
      </c>
      <c r="E13" s="68"/>
      <c r="F13" s="68">
        <v>7.0</v>
      </c>
      <c r="G13" s="68">
        <v>5.0</v>
      </c>
      <c r="H13" s="69"/>
      <c r="I13" s="69">
        <v>4.0</v>
      </c>
      <c r="J13" s="69">
        <v>2.0</v>
      </c>
      <c r="K13" s="69">
        <v>2.0</v>
      </c>
      <c r="L13" s="69">
        <v>2.0</v>
      </c>
      <c r="M13" s="69"/>
      <c r="N13" s="69">
        <v>1.0</v>
      </c>
      <c r="O13" s="69">
        <v>1.0</v>
      </c>
      <c r="P13" s="69"/>
      <c r="Q13" s="69"/>
      <c r="R13" s="69"/>
      <c r="S13" s="69"/>
      <c r="T13" s="69"/>
      <c r="U13" s="69"/>
      <c r="V13" s="69"/>
      <c r="W13" s="63"/>
      <c r="X13" s="22" t="s">
        <v>2217</v>
      </c>
    </row>
    <row r="14">
      <c r="A14" s="26">
        <v>11.0</v>
      </c>
      <c r="B14" s="48" t="s">
        <v>2228</v>
      </c>
      <c r="C14" s="48" t="s">
        <v>85</v>
      </c>
      <c r="D14" s="48" t="s">
        <v>2205</v>
      </c>
      <c r="E14" s="72">
        <v>7.0</v>
      </c>
      <c r="F14" s="72">
        <v>9.0</v>
      </c>
      <c r="G14" s="72">
        <v>6.0</v>
      </c>
      <c r="H14" s="73"/>
      <c r="I14" s="73">
        <v>6.0</v>
      </c>
      <c r="J14" s="73">
        <v>2.0</v>
      </c>
      <c r="K14" s="73">
        <v>3.0</v>
      </c>
      <c r="L14" s="73">
        <v>2.0</v>
      </c>
      <c r="M14" s="73"/>
      <c r="N14" s="73">
        <v>1.0</v>
      </c>
      <c r="O14" s="73">
        <v>1.0</v>
      </c>
      <c r="P14" s="73"/>
      <c r="Q14" s="73"/>
      <c r="R14" s="73"/>
      <c r="S14" s="73"/>
      <c r="T14" s="73"/>
      <c r="U14" s="73"/>
      <c r="V14" s="73"/>
      <c r="W14" s="65"/>
      <c r="X14" s="27" t="s">
        <v>2217</v>
      </c>
    </row>
    <row r="15">
      <c r="A15" s="21">
        <v>12.0</v>
      </c>
      <c r="B15" s="64" t="s">
        <v>2229</v>
      </c>
      <c r="C15" s="64" t="s">
        <v>87</v>
      </c>
      <c r="D15" s="64" t="s">
        <v>2205</v>
      </c>
      <c r="E15" s="68">
        <v>7.0</v>
      </c>
      <c r="F15" s="68">
        <v>10.0</v>
      </c>
      <c r="G15" s="68">
        <v>7.0</v>
      </c>
      <c r="H15" s="69"/>
      <c r="I15" s="69">
        <v>6.0</v>
      </c>
      <c r="J15" s="69">
        <v>2.0</v>
      </c>
      <c r="K15" s="69">
        <v>3.0</v>
      </c>
      <c r="L15" s="69">
        <v>2.0</v>
      </c>
      <c r="M15" s="69"/>
      <c r="N15" s="69">
        <v>1.0</v>
      </c>
      <c r="O15" s="69">
        <v>1.0</v>
      </c>
      <c r="P15" s="69"/>
      <c r="Q15" s="69"/>
      <c r="R15" s="69"/>
      <c r="S15" s="69"/>
      <c r="T15" s="69"/>
      <c r="U15" s="69"/>
      <c r="V15" s="69"/>
      <c r="W15" s="63"/>
      <c r="X15" s="22" t="s">
        <v>2217</v>
      </c>
    </row>
    <row r="16">
      <c r="A16" s="26">
        <v>13.0</v>
      </c>
      <c r="B16" s="48" t="s">
        <v>2230</v>
      </c>
      <c r="C16" s="48" t="s">
        <v>62</v>
      </c>
      <c r="D16" s="48" t="s">
        <v>2205</v>
      </c>
      <c r="E16" s="72">
        <v>7.0</v>
      </c>
      <c r="F16" s="72">
        <v>6.0</v>
      </c>
      <c r="G16" s="72">
        <v>5.0</v>
      </c>
      <c r="H16" s="73"/>
      <c r="I16" s="73">
        <v>4.0</v>
      </c>
      <c r="J16" s="73">
        <v>2.0</v>
      </c>
      <c r="K16" s="73">
        <v>3.0</v>
      </c>
      <c r="L16" s="73">
        <v>3.0</v>
      </c>
      <c r="M16" s="73"/>
      <c r="N16" s="73"/>
      <c r="O16" s="73"/>
      <c r="P16" s="73"/>
      <c r="Q16" s="73"/>
      <c r="R16" s="73"/>
      <c r="S16" s="73">
        <v>1.0</v>
      </c>
      <c r="T16" s="73"/>
      <c r="U16" s="73"/>
      <c r="V16" s="73"/>
      <c r="W16" s="65"/>
      <c r="X16" s="27" t="s">
        <v>2217</v>
      </c>
    </row>
    <row r="17">
      <c r="A17" s="21">
        <v>14.0</v>
      </c>
      <c r="B17" s="64" t="s">
        <v>2231</v>
      </c>
      <c r="C17" s="64" t="s">
        <v>89</v>
      </c>
      <c r="D17" s="64" t="s">
        <v>2205</v>
      </c>
      <c r="E17" s="68">
        <v>7.0</v>
      </c>
      <c r="F17" s="68">
        <v>6.0</v>
      </c>
      <c r="G17" s="68">
        <v>6.0</v>
      </c>
      <c r="H17" s="69"/>
      <c r="I17" s="69">
        <v>4.0</v>
      </c>
      <c r="J17" s="69">
        <v>2.0</v>
      </c>
      <c r="K17" s="69">
        <v>3.0</v>
      </c>
      <c r="L17" s="69">
        <v>3.0</v>
      </c>
      <c r="M17" s="69"/>
      <c r="N17" s="69"/>
      <c r="O17" s="69"/>
      <c r="P17" s="69"/>
      <c r="Q17" s="69"/>
      <c r="R17" s="69"/>
      <c r="S17" s="69">
        <v>1.0</v>
      </c>
      <c r="T17" s="69"/>
      <c r="U17" s="69"/>
      <c r="V17" s="69"/>
      <c r="W17" s="63"/>
      <c r="X17" s="22" t="s">
        <v>2217</v>
      </c>
    </row>
    <row r="18">
      <c r="A18" s="26">
        <v>15.0</v>
      </c>
      <c r="B18" s="48" t="s">
        <v>2232</v>
      </c>
      <c r="C18" s="48" t="s">
        <v>64</v>
      </c>
      <c r="D18" s="48" t="s">
        <v>2205</v>
      </c>
      <c r="E18" s="72">
        <v>11.0</v>
      </c>
      <c r="F18" s="72">
        <v>7.0</v>
      </c>
      <c r="G18" s="72">
        <v>7.0</v>
      </c>
      <c r="H18" s="73"/>
      <c r="I18" s="73">
        <v>6.0</v>
      </c>
      <c r="J18" s="73">
        <v>2.0</v>
      </c>
      <c r="K18" s="73">
        <v>4.0</v>
      </c>
      <c r="L18" s="73">
        <v>3.0</v>
      </c>
      <c r="M18" s="73"/>
      <c r="N18" s="73"/>
      <c r="O18" s="73">
        <v>1.0</v>
      </c>
      <c r="P18" s="73"/>
      <c r="Q18" s="73"/>
      <c r="R18" s="73"/>
      <c r="S18" s="73">
        <v>1.0</v>
      </c>
      <c r="T18" s="73"/>
      <c r="U18" s="73">
        <v>1.0</v>
      </c>
      <c r="V18" s="73"/>
      <c r="W18" s="65"/>
      <c r="X18" s="27" t="s">
        <v>2217</v>
      </c>
    </row>
    <row r="19">
      <c r="A19" s="21">
        <v>16.0</v>
      </c>
      <c r="B19" s="64" t="s">
        <v>2233</v>
      </c>
      <c r="C19" s="64" t="s">
        <v>91</v>
      </c>
      <c r="D19" s="64" t="s">
        <v>2205</v>
      </c>
      <c r="E19" s="68">
        <v>11.0</v>
      </c>
      <c r="F19" s="68">
        <v>7.0</v>
      </c>
      <c r="G19" s="68">
        <v>8.0</v>
      </c>
      <c r="H19" s="69"/>
      <c r="I19" s="69">
        <v>6.0</v>
      </c>
      <c r="J19" s="69">
        <v>2.0</v>
      </c>
      <c r="K19" s="69">
        <v>4.0</v>
      </c>
      <c r="L19" s="69">
        <v>3.0</v>
      </c>
      <c r="M19" s="69"/>
      <c r="N19" s="69"/>
      <c r="O19" s="69">
        <v>1.0</v>
      </c>
      <c r="P19" s="69"/>
      <c r="Q19" s="69"/>
      <c r="R19" s="69"/>
      <c r="S19" s="69">
        <v>1.0</v>
      </c>
      <c r="T19" s="69"/>
      <c r="U19" s="69">
        <v>1.0</v>
      </c>
      <c r="V19" s="69"/>
      <c r="W19" s="63"/>
      <c r="X19" s="22" t="s">
        <v>2217</v>
      </c>
    </row>
    <row r="20">
      <c r="A20" s="26">
        <v>17.0</v>
      </c>
      <c r="B20" s="48" t="s">
        <v>2234</v>
      </c>
      <c r="C20" s="48" t="s">
        <v>93</v>
      </c>
      <c r="D20" s="48" t="s">
        <v>2205</v>
      </c>
      <c r="E20" s="72">
        <v>22.0</v>
      </c>
      <c r="F20" s="72">
        <v>11.0</v>
      </c>
      <c r="G20" s="72">
        <v>10.0</v>
      </c>
      <c r="H20" s="73"/>
      <c r="I20" s="73">
        <v>6.0</v>
      </c>
      <c r="J20" s="73">
        <v>4.0</v>
      </c>
      <c r="K20" s="73">
        <v>5.0</v>
      </c>
      <c r="L20" s="73">
        <v>4.0</v>
      </c>
      <c r="M20" s="73"/>
      <c r="N20" s="73">
        <v>1.0</v>
      </c>
      <c r="O20" s="73">
        <v>1.0</v>
      </c>
      <c r="P20" s="73">
        <v>1.0</v>
      </c>
      <c r="Q20" s="73"/>
      <c r="R20" s="73"/>
      <c r="S20" s="73">
        <v>1.0</v>
      </c>
      <c r="T20" s="73"/>
      <c r="U20" s="73">
        <v>2.0</v>
      </c>
      <c r="V20" s="73"/>
      <c r="W20" s="65"/>
      <c r="X20" s="27" t="s">
        <v>2217</v>
      </c>
    </row>
    <row r="21">
      <c r="A21" s="21">
        <v>18.0</v>
      </c>
      <c r="B21" s="64" t="s">
        <v>2235</v>
      </c>
      <c r="C21" s="64" t="s">
        <v>44</v>
      </c>
      <c r="D21" s="64" t="s">
        <v>2205</v>
      </c>
      <c r="E21" s="68">
        <v>12.0</v>
      </c>
      <c r="F21" s="68">
        <v>9.0</v>
      </c>
      <c r="G21" s="68">
        <v>9.0</v>
      </c>
      <c r="H21" s="69">
        <v>2.0</v>
      </c>
      <c r="I21" s="69">
        <v>3.0</v>
      </c>
      <c r="J21" s="69">
        <v>1.0</v>
      </c>
      <c r="K21" s="69">
        <v>3.0</v>
      </c>
      <c r="L21" s="69">
        <v>2.0</v>
      </c>
      <c r="M21" s="69">
        <v>1.0</v>
      </c>
      <c r="N21" s="69">
        <v>1.0</v>
      </c>
      <c r="O21" s="69">
        <v>1.0</v>
      </c>
      <c r="P21" s="69">
        <v>1.0</v>
      </c>
      <c r="Q21" s="69"/>
      <c r="R21" s="69">
        <v>1.0</v>
      </c>
      <c r="S21" s="69">
        <v>1.0</v>
      </c>
      <c r="T21" s="69"/>
      <c r="U21" s="69"/>
      <c r="V21" s="69">
        <v>1.0</v>
      </c>
      <c r="W21" s="63"/>
      <c r="X21" s="22" t="s">
        <v>2217</v>
      </c>
    </row>
    <row r="22">
      <c r="A22" s="26">
        <v>19.0</v>
      </c>
      <c r="B22" s="48" t="s">
        <v>2236</v>
      </c>
      <c r="C22" s="48" t="s">
        <v>66</v>
      </c>
      <c r="D22" s="48" t="s">
        <v>2205</v>
      </c>
      <c r="E22" s="72">
        <v>6.0</v>
      </c>
      <c r="F22" s="72">
        <v>3.0</v>
      </c>
      <c r="G22" s="72">
        <v>5.0</v>
      </c>
      <c r="H22" s="73"/>
      <c r="I22" s="73">
        <v>2.0</v>
      </c>
      <c r="J22" s="73"/>
      <c r="K22" s="73">
        <v>3.0</v>
      </c>
      <c r="L22" s="73">
        <v>1.0</v>
      </c>
      <c r="M22" s="73"/>
      <c r="N22" s="73"/>
      <c r="O22" s="73">
        <v>1.0</v>
      </c>
      <c r="P22" s="73">
        <v>1.0</v>
      </c>
      <c r="Q22" s="73"/>
      <c r="R22" s="73">
        <v>1.0</v>
      </c>
      <c r="S22" s="73">
        <v>1.0</v>
      </c>
      <c r="T22" s="73"/>
      <c r="U22" s="73"/>
      <c r="V22" s="73"/>
      <c r="W22" s="65"/>
      <c r="X22" s="27" t="s">
        <v>2217</v>
      </c>
    </row>
    <row r="23">
      <c r="A23" s="21">
        <v>20.0</v>
      </c>
      <c r="B23" s="64" t="s">
        <v>2237</v>
      </c>
      <c r="C23" s="64" t="s">
        <v>95</v>
      </c>
      <c r="D23" s="64" t="s">
        <v>2205</v>
      </c>
      <c r="E23" s="68">
        <v>6.0</v>
      </c>
      <c r="F23" s="68">
        <v>3.0</v>
      </c>
      <c r="G23" s="68">
        <v>5.0</v>
      </c>
      <c r="H23" s="69"/>
      <c r="I23" s="69">
        <v>2.0</v>
      </c>
      <c r="J23" s="69"/>
      <c r="K23" s="69">
        <v>3.0</v>
      </c>
      <c r="L23" s="69">
        <v>1.0</v>
      </c>
      <c r="M23" s="69"/>
      <c r="N23" s="69"/>
      <c r="O23" s="69">
        <v>1.0</v>
      </c>
      <c r="P23" s="69">
        <v>1.0</v>
      </c>
      <c r="Q23" s="69"/>
      <c r="R23" s="69">
        <v>1.0</v>
      </c>
      <c r="S23" s="69">
        <v>1.0</v>
      </c>
      <c r="T23" s="69"/>
      <c r="U23" s="69"/>
      <c r="V23" s="69"/>
      <c r="W23" s="63"/>
      <c r="X23" s="22" t="s">
        <v>2217</v>
      </c>
    </row>
    <row r="24">
      <c r="A24" s="26">
        <v>21.0</v>
      </c>
      <c r="B24" s="48" t="s">
        <v>2238</v>
      </c>
      <c r="C24" s="48" t="s">
        <v>98</v>
      </c>
      <c r="D24" s="48" t="s">
        <v>2205</v>
      </c>
      <c r="E24" s="72">
        <v>12.0</v>
      </c>
      <c r="F24" s="72">
        <v>5.0</v>
      </c>
      <c r="G24" s="72">
        <v>6.0</v>
      </c>
      <c r="H24" s="73"/>
      <c r="I24" s="73">
        <v>3.0</v>
      </c>
      <c r="J24" s="73"/>
      <c r="K24" s="73">
        <v>3.0</v>
      </c>
      <c r="L24" s="73">
        <v>1.0</v>
      </c>
      <c r="M24" s="73"/>
      <c r="N24" s="73"/>
      <c r="O24" s="73">
        <v>2.0</v>
      </c>
      <c r="P24" s="73">
        <v>1.0</v>
      </c>
      <c r="Q24" s="73"/>
      <c r="R24" s="73">
        <v>1.0</v>
      </c>
      <c r="S24" s="73">
        <v>1.0</v>
      </c>
      <c r="T24" s="73"/>
      <c r="U24" s="73"/>
      <c r="V24" s="73">
        <v>1.0</v>
      </c>
      <c r="W24" s="65"/>
      <c r="X24" s="27" t="s">
        <v>2217</v>
      </c>
    </row>
    <row r="25">
      <c r="A25" s="21">
        <v>22.0</v>
      </c>
      <c r="B25" s="64" t="s">
        <v>2239</v>
      </c>
      <c r="C25" s="64" t="s">
        <v>68</v>
      </c>
      <c r="D25" s="64" t="s">
        <v>2205</v>
      </c>
      <c r="E25" s="68">
        <v>12.0</v>
      </c>
      <c r="F25" s="68">
        <v>5.0</v>
      </c>
      <c r="G25" s="68">
        <v>6.0</v>
      </c>
      <c r="H25" s="69"/>
      <c r="I25" s="69">
        <v>3.0</v>
      </c>
      <c r="J25" s="69"/>
      <c r="K25" s="69">
        <v>5.0</v>
      </c>
      <c r="L25" s="69">
        <v>1.0</v>
      </c>
      <c r="M25" s="69"/>
      <c r="N25" s="69"/>
      <c r="O25" s="69">
        <v>2.0</v>
      </c>
      <c r="P25" s="69">
        <v>1.0</v>
      </c>
      <c r="Q25" s="69"/>
      <c r="R25" s="69">
        <v>1.0</v>
      </c>
      <c r="S25" s="69">
        <v>1.0</v>
      </c>
      <c r="T25" s="69"/>
      <c r="U25" s="69"/>
      <c r="V25" s="69">
        <v>1.0</v>
      </c>
      <c r="W25" s="63"/>
      <c r="X25" s="22" t="s">
        <v>2217</v>
      </c>
    </row>
    <row r="26">
      <c r="A26" s="26">
        <v>23.0</v>
      </c>
      <c r="B26" s="48" t="s">
        <v>2240</v>
      </c>
      <c r="C26" s="48" t="s">
        <v>100</v>
      </c>
      <c r="D26" s="48" t="s">
        <v>2205</v>
      </c>
      <c r="E26" s="72">
        <v>12.0</v>
      </c>
      <c r="F26" s="72">
        <v>5.0</v>
      </c>
      <c r="G26" s="72">
        <v>3.0</v>
      </c>
      <c r="H26" s="73"/>
      <c r="I26" s="73">
        <v>3.0</v>
      </c>
      <c r="J26" s="73">
        <v>1.0</v>
      </c>
      <c r="K26" s="73">
        <v>2.0</v>
      </c>
      <c r="L26" s="73">
        <v>2.0</v>
      </c>
      <c r="M26" s="73"/>
      <c r="N26" s="73">
        <v>1.0</v>
      </c>
      <c r="O26" s="73">
        <v>1.0</v>
      </c>
      <c r="P26" s="73">
        <v>1.0</v>
      </c>
      <c r="Q26" s="73"/>
      <c r="R26" s="73"/>
      <c r="S26" s="73">
        <v>1.0</v>
      </c>
      <c r="T26" s="73"/>
      <c r="U26" s="73"/>
      <c r="V26" s="73">
        <v>1.0</v>
      </c>
      <c r="W26" s="65"/>
      <c r="X26" s="27" t="s">
        <v>2217</v>
      </c>
    </row>
    <row r="27">
      <c r="A27" s="21">
        <v>24.0</v>
      </c>
      <c r="B27" s="64" t="s">
        <v>2241</v>
      </c>
      <c r="C27" s="64" t="s">
        <v>102</v>
      </c>
      <c r="D27" s="64" t="s">
        <v>2205</v>
      </c>
      <c r="E27" s="68">
        <v>12.0</v>
      </c>
      <c r="F27" s="68">
        <v>5.0</v>
      </c>
      <c r="G27" s="68">
        <v>3.0</v>
      </c>
      <c r="H27" s="69"/>
      <c r="I27" s="69">
        <v>3.0</v>
      </c>
      <c r="J27" s="69">
        <v>1.0</v>
      </c>
      <c r="K27" s="69">
        <v>2.0</v>
      </c>
      <c r="L27" s="69">
        <v>2.0</v>
      </c>
      <c r="M27" s="69"/>
      <c r="N27" s="69">
        <v>1.0</v>
      </c>
      <c r="O27" s="69">
        <v>1.0</v>
      </c>
      <c r="P27" s="69">
        <v>1.0</v>
      </c>
      <c r="Q27" s="69"/>
      <c r="R27" s="69"/>
      <c r="S27" s="69">
        <v>1.0</v>
      </c>
      <c r="T27" s="69"/>
      <c r="U27" s="69"/>
      <c r="V27" s="69">
        <v>1.0</v>
      </c>
      <c r="W27" s="63"/>
      <c r="X27" s="22" t="s">
        <v>2217</v>
      </c>
    </row>
    <row r="28">
      <c r="A28" s="26">
        <v>25.0</v>
      </c>
      <c r="B28" s="48" t="s">
        <v>2242</v>
      </c>
      <c r="C28" s="48" t="s">
        <v>48</v>
      </c>
      <c r="D28" s="48" t="s">
        <v>2205</v>
      </c>
      <c r="E28" s="72">
        <v>18.0</v>
      </c>
      <c r="F28" s="72">
        <v>6.0</v>
      </c>
      <c r="G28" s="72">
        <v>4.0</v>
      </c>
      <c r="H28" s="73"/>
      <c r="I28" s="73">
        <v>4.0</v>
      </c>
      <c r="J28" s="73">
        <v>1.0</v>
      </c>
      <c r="K28" s="73">
        <v>2.0</v>
      </c>
      <c r="L28" s="73">
        <v>3.0</v>
      </c>
      <c r="M28" s="73"/>
      <c r="N28" s="73">
        <v>1.0</v>
      </c>
      <c r="O28" s="73">
        <v>1.0</v>
      </c>
      <c r="P28" s="73">
        <v>1.0</v>
      </c>
      <c r="Q28" s="73"/>
      <c r="R28" s="73"/>
      <c r="S28" s="73">
        <v>1.0</v>
      </c>
      <c r="T28" s="73"/>
      <c r="U28" s="73"/>
      <c r="V28" s="73">
        <v>1.0</v>
      </c>
      <c r="W28" s="65"/>
      <c r="X28" s="27" t="s">
        <v>2217</v>
      </c>
    </row>
    <row r="29">
      <c r="A29" s="21">
        <v>26.0</v>
      </c>
      <c r="B29" s="64" t="s">
        <v>2243</v>
      </c>
      <c r="C29" s="64" t="s">
        <v>70</v>
      </c>
      <c r="D29" s="64" t="s">
        <v>2205</v>
      </c>
      <c r="E29" s="68">
        <v>18.0</v>
      </c>
      <c r="F29" s="68">
        <v>6.0</v>
      </c>
      <c r="G29" s="68">
        <v>4.0</v>
      </c>
      <c r="H29" s="69"/>
      <c r="I29" s="69">
        <v>4.0</v>
      </c>
      <c r="J29" s="69">
        <v>1.0</v>
      </c>
      <c r="K29" s="69">
        <v>4.0</v>
      </c>
      <c r="L29" s="69">
        <v>3.0</v>
      </c>
      <c r="M29" s="69"/>
      <c r="N29" s="69">
        <v>1.0</v>
      </c>
      <c r="O29" s="69">
        <v>1.0</v>
      </c>
      <c r="P29" s="69">
        <v>1.0</v>
      </c>
      <c r="Q29" s="69"/>
      <c r="R29" s="69"/>
      <c r="S29" s="69">
        <v>1.0</v>
      </c>
      <c r="T29" s="69"/>
      <c r="U29" s="69"/>
      <c r="V29" s="69">
        <v>1.0</v>
      </c>
      <c r="W29" s="63"/>
      <c r="X29" s="22" t="s">
        <v>2217</v>
      </c>
    </row>
    <row r="30">
      <c r="A30" s="26">
        <v>27.0</v>
      </c>
      <c r="B30" s="48" t="s">
        <v>2244</v>
      </c>
      <c r="C30" s="48" t="s">
        <v>104</v>
      </c>
      <c r="D30" s="48" t="s">
        <v>2205</v>
      </c>
      <c r="E30" s="72">
        <v>6.0</v>
      </c>
      <c r="F30" s="72">
        <v>4.0</v>
      </c>
      <c r="G30" s="72">
        <v>4.0</v>
      </c>
      <c r="H30" s="73"/>
      <c r="I30" s="73">
        <v>2.0</v>
      </c>
      <c r="J30" s="73"/>
      <c r="K30" s="73">
        <v>2.0</v>
      </c>
      <c r="L30" s="73">
        <v>3.0</v>
      </c>
      <c r="M30" s="73"/>
      <c r="N30" s="73">
        <v>1.0</v>
      </c>
      <c r="O30" s="73">
        <v>1.0</v>
      </c>
      <c r="P30" s="73">
        <v>1.0</v>
      </c>
      <c r="Q30" s="73"/>
      <c r="R30" s="73">
        <v>1.0</v>
      </c>
      <c r="S30" s="73">
        <v>1.0</v>
      </c>
      <c r="T30" s="73"/>
      <c r="U30" s="73"/>
      <c r="V30" s="73">
        <v>1.0</v>
      </c>
      <c r="W30" s="65"/>
      <c r="X30" s="27" t="s">
        <v>2217</v>
      </c>
    </row>
    <row r="31">
      <c r="A31" s="21">
        <v>28.0</v>
      </c>
      <c r="B31" s="64" t="s">
        <v>2245</v>
      </c>
      <c r="C31" s="64" t="s">
        <v>106</v>
      </c>
      <c r="D31" s="64" t="s">
        <v>2205</v>
      </c>
      <c r="E31" s="68">
        <v>6.0</v>
      </c>
      <c r="F31" s="68">
        <v>4.0</v>
      </c>
      <c r="G31" s="68">
        <v>4.0</v>
      </c>
      <c r="H31" s="69"/>
      <c r="I31" s="69">
        <v>2.0</v>
      </c>
      <c r="J31" s="69"/>
      <c r="K31" s="69">
        <v>2.0</v>
      </c>
      <c r="L31" s="69">
        <v>3.0</v>
      </c>
      <c r="M31" s="69"/>
      <c r="N31" s="69">
        <v>1.0</v>
      </c>
      <c r="O31" s="69">
        <v>1.0</v>
      </c>
      <c r="P31" s="69">
        <v>1.0</v>
      </c>
      <c r="Q31" s="69"/>
      <c r="R31" s="69">
        <v>1.0</v>
      </c>
      <c r="S31" s="69">
        <v>1.0</v>
      </c>
      <c r="T31" s="69"/>
      <c r="U31" s="69"/>
      <c r="V31" s="69">
        <v>1.0</v>
      </c>
      <c r="W31" s="63"/>
      <c r="X31" s="22" t="s">
        <v>2217</v>
      </c>
    </row>
    <row r="32">
      <c r="A32" s="26">
        <v>29.0</v>
      </c>
      <c r="B32" s="48" t="s">
        <v>2246</v>
      </c>
      <c r="C32" s="48" t="s">
        <v>72</v>
      </c>
      <c r="D32" s="48" t="s">
        <v>2205</v>
      </c>
      <c r="E32" s="72">
        <v>12.0</v>
      </c>
      <c r="F32" s="72">
        <v>5.0</v>
      </c>
      <c r="G32" s="72">
        <v>5.0</v>
      </c>
      <c r="H32" s="73"/>
      <c r="I32" s="73">
        <v>3.0</v>
      </c>
      <c r="J32" s="73"/>
      <c r="K32" s="73">
        <v>2.0</v>
      </c>
      <c r="L32" s="73">
        <v>4.0</v>
      </c>
      <c r="M32" s="73"/>
      <c r="N32" s="73">
        <v>1.0</v>
      </c>
      <c r="O32" s="73">
        <v>1.0</v>
      </c>
      <c r="P32" s="73">
        <v>1.0</v>
      </c>
      <c r="Q32" s="73"/>
      <c r="R32" s="73">
        <v>1.0</v>
      </c>
      <c r="S32" s="73">
        <v>1.0</v>
      </c>
      <c r="T32" s="73"/>
      <c r="U32" s="73"/>
      <c r="V32" s="73">
        <v>1.0</v>
      </c>
      <c r="W32" s="65"/>
      <c r="X32" s="27" t="s">
        <v>2217</v>
      </c>
    </row>
    <row r="33">
      <c r="A33" s="21">
        <v>30.0</v>
      </c>
      <c r="B33" s="64" t="s">
        <v>2247</v>
      </c>
      <c r="C33" s="64" t="s">
        <v>108</v>
      </c>
      <c r="D33" s="64" t="s">
        <v>2205</v>
      </c>
      <c r="E33" s="68">
        <v>12.0</v>
      </c>
      <c r="F33" s="68">
        <v>5.0</v>
      </c>
      <c r="G33" s="68">
        <v>5.0</v>
      </c>
      <c r="H33" s="69"/>
      <c r="I33" s="69">
        <v>3.0</v>
      </c>
      <c r="J33" s="69"/>
      <c r="K33" s="69">
        <v>4.0</v>
      </c>
      <c r="L33" s="69">
        <v>4.0</v>
      </c>
      <c r="M33" s="69"/>
      <c r="N33" s="69">
        <v>1.0</v>
      </c>
      <c r="O33" s="69">
        <v>1.0</v>
      </c>
      <c r="P33" s="69">
        <v>1.0</v>
      </c>
      <c r="Q33" s="69"/>
      <c r="R33" s="69">
        <v>1.0</v>
      </c>
      <c r="S33" s="69">
        <v>1.0</v>
      </c>
      <c r="T33" s="69"/>
      <c r="U33" s="69"/>
      <c r="V33" s="69">
        <v>1.0</v>
      </c>
      <c r="W33" s="63"/>
      <c r="X33" s="22" t="s">
        <v>2217</v>
      </c>
    </row>
    <row r="34">
      <c r="A34" s="26">
        <v>31.0</v>
      </c>
      <c r="B34" s="48" t="s">
        <v>2248</v>
      </c>
      <c r="C34" s="48" t="s">
        <v>110</v>
      </c>
      <c r="D34" s="48" t="s">
        <v>2205</v>
      </c>
      <c r="E34" s="72">
        <v>6.0</v>
      </c>
      <c r="F34" s="72">
        <v>3.0</v>
      </c>
      <c r="G34" s="72">
        <v>4.0</v>
      </c>
      <c r="H34" s="73">
        <v>1.0</v>
      </c>
      <c r="I34" s="73">
        <v>2.0</v>
      </c>
      <c r="J34" s="73">
        <v>1.0</v>
      </c>
      <c r="K34" s="73">
        <v>2.0</v>
      </c>
      <c r="L34" s="73">
        <v>2.0</v>
      </c>
      <c r="M34" s="73"/>
      <c r="N34" s="73">
        <v>1.0</v>
      </c>
      <c r="O34" s="73">
        <v>1.0</v>
      </c>
      <c r="P34" s="73">
        <v>1.0</v>
      </c>
      <c r="Q34" s="73"/>
      <c r="R34" s="73">
        <v>1.0</v>
      </c>
      <c r="S34" s="73">
        <v>1.0</v>
      </c>
      <c r="T34" s="73"/>
      <c r="U34" s="73"/>
      <c r="V34" s="73">
        <v>1.0</v>
      </c>
      <c r="W34" s="65"/>
      <c r="X34" s="27" t="s">
        <v>2217</v>
      </c>
    </row>
    <row r="35">
      <c r="A35" s="21"/>
      <c r="B35" s="64"/>
      <c r="C35" s="64"/>
      <c r="D35" s="64"/>
      <c r="E35" s="64"/>
      <c r="F35" s="64"/>
      <c r="G35" s="64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22"/>
    </row>
    <row r="36">
      <c r="A36" s="26"/>
      <c r="B36" s="48"/>
      <c r="C36" s="48"/>
      <c r="D36" s="48"/>
      <c r="E36" s="48"/>
      <c r="F36" s="48"/>
      <c r="G36" s="48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27"/>
    </row>
    <row r="37">
      <c r="A37" s="21"/>
      <c r="B37" s="64"/>
      <c r="C37" s="64"/>
      <c r="D37" s="64"/>
      <c r="E37" s="64"/>
      <c r="F37" s="64"/>
      <c r="G37" s="64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22"/>
    </row>
    <row r="38">
      <c r="A38" s="26"/>
      <c r="B38" s="48"/>
      <c r="C38" s="48"/>
      <c r="D38" s="48"/>
      <c r="E38" s="48"/>
      <c r="F38" s="48"/>
      <c r="G38" s="48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27"/>
    </row>
    <row r="39">
      <c r="A39" s="21"/>
      <c r="B39" s="64"/>
      <c r="C39" s="64"/>
      <c r="D39" s="64"/>
      <c r="E39" s="64"/>
      <c r="F39" s="64"/>
      <c r="G39" s="64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22"/>
    </row>
    <row r="40">
      <c r="A40" s="26"/>
      <c r="B40" s="48"/>
      <c r="C40" s="48"/>
      <c r="D40" s="48"/>
      <c r="E40" s="48"/>
      <c r="F40" s="48"/>
      <c r="G40" s="48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27"/>
    </row>
    <row r="41">
      <c r="A41" s="21"/>
      <c r="B41" s="64"/>
      <c r="C41" s="64"/>
      <c r="D41" s="64"/>
      <c r="E41" s="64"/>
      <c r="F41" s="64"/>
      <c r="G41" s="64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22"/>
    </row>
    <row r="42">
      <c r="B42" s="49"/>
      <c r="C42" s="49"/>
      <c r="D42" s="49"/>
      <c r="E42" s="49"/>
      <c r="F42" s="49"/>
      <c r="G42" s="49"/>
    </row>
    <row r="43">
      <c r="B43" s="49"/>
      <c r="C43" s="49"/>
      <c r="D43" s="49"/>
      <c r="E43" s="49"/>
      <c r="F43" s="49"/>
      <c r="G43" s="49"/>
    </row>
    <row r="44">
      <c r="B44" s="49"/>
      <c r="C44" s="49"/>
      <c r="D44" s="49"/>
      <c r="E44" s="49"/>
      <c r="F44" s="49"/>
      <c r="G44" s="49"/>
    </row>
    <row r="45">
      <c r="B45" s="49"/>
      <c r="C45" s="49"/>
      <c r="D45" s="49"/>
      <c r="E45" s="49"/>
      <c r="F45" s="49"/>
      <c r="G45" s="49"/>
    </row>
    <row r="46">
      <c r="B46" s="49"/>
      <c r="C46" s="49"/>
      <c r="D46" s="49"/>
      <c r="E46" s="49"/>
      <c r="F46" s="49"/>
      <c r="G46" s="49"/>
    </row>
    <row r="47">
      <c r="B47" s="49"/>
      <c r="C47" s="49"/>
      <c r="D47" s="49"/>
      <c r="E47" s="49"/>
      <c r="F47" s="49"/>
      <c r="G47" s="49"/>
    </row>
    <row r="48">
      <c r="B48" s="49"/>
      <c r="C48" s="49"/>
      <c r="D48" s="49"/>
      <c r="E48" s="49"/>
      <c r="F48" s="49"/>
      <c r="G48" s="49"/>
    </row>
    <row r="49">
      <c r="B49" s="49"/>
      <c r="C49" s="49"/>
      <c r="D49" s="49"/>
      <c r="E49" s="49"/>
      <c r="F49" s="49"/>
      <c r="G49" s="49"/>
    </row>
    <row r="50">
      <c r="B50" s="49"/>
      <c r="C50" s="49"/>
      <c r="D50" s="49"/>
      <c r="E50" s="49"/>
      <c r="F50" s="49"/>
      <c r="G50" s="49"/>
    </row>
    <row r="51">
      <c r="B51" s="49"/>
      <c r="C51" s="49"/>
      <c r="D51" s="49"/>
      <c r="E51" s="49"/>
      <c r="F51" s="49"/>
      <c r="G51" s="49"/>
    </row>
    <row r="52">
      <c r="B52" s="49"/>
      <c r="C52" s="49"/>
      <c r="D52" s="49"/>
      <c r="E52" s="49"/>
      <c r="F52" s="49"/>
      <c r="G52" s="49"/>
    </row>
    <row r="53">
      <c r="B53" s="49"/>
      <c r="C53" s="49"/>
      <c r="D53" s="49"/>
      <c r="E53" s="49"/>
      <c r="F53" s="49"/>
      <c r="G53" s="49"/>
    </row>
    <row r="54">
      <c r="B54" s="49"/>
      <c r="C54" s="49"/>
      <c r="D54" s="49"/>
      <c r="E54" s="49"/>
      <c r="F54" s="49"/>
      <c r="G54" s="49"/>
    </row>
    <row r="55">
      <c r="B55" s="49"/>
      <c r="C55" s="49"/>
      <c r="D55" s="49"/>
      <c r="E55" s="49"/>
      <c r="F55" s="49"/>
      <c r="G55" s="49"/>
    </row>
    <row r="56">
      <c r="B56" s="49"/>
      <c r="C56" s="49"/>
      <c r="D56" s="49"/>
      <c r="E56" s="49"/>
      <c r="F56" s="49"/>
      <c r="G56" s="49"/>
    </row>
    <row r="57">
      <c r="B57" s="49"/>
      <c r="C57" s="49"/>
      <c r="D57" s="49"/>
      <c r="E57" s="49"/>
      <c r="F57" s="49"/>
      <c r="G57" s="49"/>
    </row>
    <row r="58">
      <c r="B58" s="49"/>
      <c r="C58" s="49"/>
      <c r="D58" s="49"/>
      <c r="E58" s="49"/>
      <c r="F58" s="49"/>
      <c r="G58" s="49"/>
    </row>
    <row r="59">
      <c r="B59" s="49"/>
      <c r="C59" s="49"/>
      <c r="D59" s="49"/>
      <c r="E59" s="49"/>
      <c r="F59" s="49"/>
      <c r="G59" s="49"/>
    </row>
    <row r="60">
      <c r="B60" s="49"/>
      <c r="C60" s="49"/>
      <c r="D60" s="49"/>
      <c r="E60" s="49"/>
      <c r="F60" s="49"/>
      <c r="G60" s="49"/>
    </row>
    <row r="61">
      <c r="B61" s="49"/>
      <c r="C61" s="49"/>
      <c r="D61" s="49"/>
      <c r="E61" s="49"/>
      <c r="F61" s="49"/>
      <c r="G61" s="49"/>
    </row>
    <row r="62">
      <c r="B62" s="49"/>
      <c r="C62" s="49"/>
      <c r="D62" s="49"/>
      <c r="E62" s="49"/>
      <c r="F62" s="49"/>
      <c r="G62" s="49"/>
    </row>
    <row r="63">
      <c r="B63" s="49"/>
      <c r="C63" s="49"/>
      <c r="D63" s="49"/>
      <c r="E63" s="49"/>
      <c r="F63" s="49"/>
      <c r="G63" s="49"/>
    </row>
    <row r="64">
      <c r="B64" s="49"/>
      <c r="C64" s="49"/>
      <c r="D64" s="49"/>
      <c r="E64" s="49"/>
      <c r="F64" s="49"/>
      <c r="G64" s="49"/>
    </row>
    <row r="65">
      <c r="B65" s="49"/>
      <c r="C65" s="49"/>
      <c r="D65" s="49"/>
      <c r="E65" s="49"/>
      <c r="F65" s="49"/>
      <c r="G65" s="49"/>
    </row>
    <row r="66">
      <c r="B66" s="49"/>
      <c r="C66" s="49"/>
      <c r="D66" s="49"/>
      <c r="E66" s="49"/>
      <c r="F66" s="49"/>
      <c r="G66" s="49"/>
    </row>
    <row r="67">
      <c r="B67" s="49"/>
      <c r="C67" s="49"/>
      <c r="D67" s="49"/>
      <c r="E67" s="49"/>
      <c r="F67" s="49"/>
      <c r="G67" s="49"/>
    </row>
    <row r="68">
      <c r="B68" s="49"/>
      <c r="C68" s="49"/>
      <c r="D68" s="49"/>
      <c r="E68" s="49"/>
      <c r="F68" s="49"/>
      <c r="G68" s="49"/>
    </row>
    <row r="69">
      <c r="B69" s="49"/>
      <c r="C69" s="49"/>
      <c r="D69" s="49"/>
      <c r="E69" s="49"/>
      <c r="F69" s="49"/>
      <c r="G69" s="49"/>
    </row>
    <row r="70">
      <c r="B70" s="49"/>
      <c r="C70" s="49"/>
      <c r="D70" s="49"/>
      <c r="E70" s="49"/>
      <c r="F70" s="49"/>
      <c r="G70" s="49"/>
    </row>
    <row r="71">
      <c r="B71" s="49"/>
      <c r="C71" s="49"/>
      <c r="D71" s="49"/>
      <c r="E71" s="49"/>
      <c r="F71" s="49"/>
      <c r="G71" s="49"/>
    </row>
    <row r="72">
      <c r="B72" s="49"/>
      <c r="C72" s="49"/>
      <c r="D72" s="49"/>
      <c r="E72" s="49"/>
      <c r="F72" s="49"/>
      <c r="G72" s="49"/>
    </row>
    <row r="73">
      <c r="B73" s="49"/>
      <c r="C73" s="49"/>
      <c r="D73" s="49"/>
      <c r="E73" s="49"/>
      <c r="F73" s="49"/>
      <c r="G73" s="49"/>
    </row>
    <row r="74">
      <c r="B74" s="49"/>
      <c r="C74" s="49"/>
      <c r="D74" s="49"/>
      <c r="E74" s="49"/>
      <c r="F74" s="49"/>
      <c r="G74" s="49"/>
    </row>
    <row r="75">
      <c r="B75" s="49"/>
      <c r="C75" s="49"/>
      <c r="D75" s="49"/>
      <c r="E75" s="49"/>
      <c r="F75" s="49"/>
      <c r="G75" s="49"/>
    </row>
    <row r="76">
      <c r="B76" s="49"/>
      <c r="C76" s="49"/>
      <c r="D76" s="49"/>
      <c r="E76" s="49"/>
      <c r="F76" s="49"/>
      <c r="G76" s="49"/>
    </row>
    <row r="77">
      <c r="B77" s="49"/>
      <c r="C77" s="49"/>
      <c r="D77" s="49"/>
      <c r="E77" s="49"/>
      <c r="F77" s="49"/>
      <c r="G77" s="49"/>
    </row>
    <row r="78">
      <c r="B78" s="49"/>
      <c r="C78" s="49"/>
      <c r="D78" s="49"/>
      <c r="E78" s="49"/>
      <c r="F78" s="49"/>
      <c r="G78" s="49"/>
    </row>
    <row r="79">
      <c r="B79" s="49"/>
      <c r="C79" s="49"/>
      <c r="D79" s="49"/>
      <c r="E79" s="49"/>
      <c r="F79" s="49"/>
      <c r="G79" s="49"/>
    </row>
    <row r="80">
      <c r="B80" s="49"/>
      <c r="C80" s="49"/>
      <c r="D80" s="49"/>
      <c r="E80" s="49"/>
      <c r="F80" s="49"/>
      <c r="G80" s="49"/>
    </row>
    <row r="81">
      <c r="B81" s="49"/>
      <c r="C81" s="49"/>
      <c r="D81" s="49"/>
      <c r="E81" s="49"/>
      <c r="F81" s="49"/>
      <c r="G81" s="49"/>
    </row>
    <row r="82">
      <c r="B82" s="49"/>
      <c r="C82" s="49"/>
      <c r="D82" s="49"/>
      <c r="E82" s="49"/>
      <c r="F82" s="49"/>
      <c r="G82" s="49"/>
    </row>
    <row r="83">
      <c r="B83" s="49"/>
      <c r="C83" s="49"/>
      <c r="D83" s="49"/>
      <c r="E83" s="49"/>
      <c r="F83" s="49"/>
      <c r="G83" s="49"/>
    </row>
    <row r="84">
      <c r="B84" s="49"/>
      <c r="C84" s="49"/>
      <c r="D84" s="49"/>
      <c r="E84" s="49"/>
      <c r="F84" s="49"/>
      <c r="G84" s="49"/>
    </row>
    <row r="85">
      <c r="B85" s="49"/>
      <c r="C85" s="49"/>
      <c r="D85" s="49"/>
      <c r="E85" s="49"/>
      <c r="F85" s="49"/>
      <c r="G85" s="49"/>
    </row>
    <row r="86">
      <c r="B86" s="49"/>
      <c r="C86" s="49"/>
      <c r="D86" s="49"/>
      <c r="E86" s="49"/>
      <c r="F86" s="49"/>
      <c r="G86" s="49"/>
    </row>
    <row r="87">
      <c r="B87" s="49"/>
      <c r="C87" s="49"/>
      <c r="D87" s="49"/>
      <c r="E87" s="49"/>
      <c r="F87" s="49"/>
      <c r="G87" s="49"/>
    </row>
    <row r="88">
      <c r="B88" s="49"/>
      <c r="C88" s="49"/>
      <c r="D88" s="49"/>
      <c r="E88" s="49"/>
      <c r="F88" s="49"/>
      <c r="G88" s="49"/>
    </row>
    <row r="89">
      <c r="B89" s="49"/>
      <c r="C89" s="49"/>
      <c r="D89" s="49"/>
      <c r="E89" s="49"/>
      <c r="F89" s="49"/>
      <c r="G89" s="49"/>
    </row>
    <row r="90">
      <c r="B90" s="49"/>
      <c r="C90" s="49"/>
      <c r="D90" s="49"/>
      <c r="E90" s="49"/>
      <c r="F90" s="49"/>
      <c r="G90" s="49"/>
    </row>
    <row r="91">
      <c r="B91" s="49"/>
      <c r="C91" s="49"/>
      <c r="D91" s="49"/>
      <c r="E91" s="49"/>
      <c r="F91" s="49"/>
      <c r="G91" s="49"/>
    </row>
    <row r="92">
      <c r="B92" s="49"/>
      <c r="C92" s="49"/>
      <c r="D92" s="49"/>
      <c r="E92" s="49"/>
      <c r="F92" s="49"/>
      <c r="G92" s="49"/>
    </row>
    <row r="93">
      <c r="B93" s="49"/>
      <c r="C93" s="49"/>
      <c r="D93" s="49"/>
      <c r="E93" s="49"/>
      <c r="F93" s="49"/>
      <c r="G93" s="49"/>
    </row>
    <row r="94">
      <c r="B94" s="49"/>
      <c r="C94" s="49"/>
      <c r="D94" s="49"/>
      <c r="E94" s="49"/>
      <c r="F94" s="49"/>
      <c r="G94" s="49"/>
    </row>
    <row r="95">
      <c r="B95" s="49"/>
      <c r="C95" s="49"/>
      <c r="D95" s="49"/>
      <c r="E95" s="49"/>
      <c r="F95" s="49"/>
      <c r="G95" s="49"/>
    </row>
    <row r="96">
      <c r="B96" s="49"/>
      <c r="C96" s="49"/>
      <c r="D96" s="49"/>
      <c r="E96" s="49"/>
      <c r="F96" s="49"/>
      <c r="G96" s="49"/>
    </row>
    <row r="97">
      <c r="B97" s="49"/>
      <c r="C97" s="49"/>
      <c r="D97" s="49"/>
      <c r="E97" s="49"/>
      <c r="F97" s="49"/>
      <c r="G97" s="49"/>
    </row>
    <row r="98">
      <c r="B98" s="49"/>
      <c r="C98" s="49"/>
      <c r="D98" s="49"/>
      <c r="E98" s="49"/>
      <c r="F98" s="49"/>
      <c r="G98" s="49"/>
    </row>
    <row r="99">
      <c r="B99" s="49"/>
      <c r="C99" s="49"/>
      <c r="D99" s="49"/>
      <c r="E99" s="49"/>
      <c r="F99" s="49"/>
      <c r="G99" s="49"/>
    </row>
    <row r="100">
      <c r="B100" s="49"/>
      <c r="C100" s="49"/>
      <c r="D100" s="49"/>
      <c r="E100" s="49"/>
      <c r="F100" s="49"/>
      <c r="G100" s="49"/>
    </row>
    <row r="101">
      <c r="B101" s="49"/>
      <c r="C101" s="49"/>
      <c r="D101" s="49"/>
      <c r="E101" s="49"/>
      <c r="F101" s="49"/>
      <c r="G101" s="49"/>
    </row>
    <row r="102">
      <c r="B102" s="49"/>
      <c r="C102" s="49"/>
      <c r="D102" s="49"/>
      <c r="E102" s="49"/>
      <c r="F102" s="49"/>
      <c r="G102" s="49"/>
    </row>
    <row r="103">
      <c r="B103" s="49"/>
      <c r="C103" s="49"/>
      <c r="D103" s="49"/>
      <c r="E103" s="49"/>
      <c r="F103" s="49"/>
      <c r="G103" s="49"/>
    </row>
    <row r="104">
      <c r="B104" s="49"/>
      <c r="C104" s="49"/>
      <c r="D104" s="49"/>
      <c r="E104" s="49"/>
      <c r="F104" s="49"/>
      <c r="G104" s="49"/>
    </row>
    <row r="105">
      <c r="B105" s="49"/>
      <c r="C105" s="49"/>
      <c r="D105" s="49"/>
      <c r="E105" s="49"/>
      <c r="F105" s="49"/>
      <c r="G105" s="49"/>
    </row>
    <row r="106">
      <c r="B106" s="49"/>
      <c r="C106" s="49"/>
      <c r="D106" s="49"/>
      <c r="E106" s="49"/>
      <c r="F106" s="49"/>
      <c r="G106" s="49"/>
    </row>
    <row r="107">
      <c r="B107" s="49"/>
      <c r="C107" s="49"/>
      <c r="D107" s="49"/>
      <c r="E107" s="49"/>
      <c r="F107" s="49"/>
      <c r="G107" s="49"/>
    </row>
    <row r="108">
      <c r="B108" s="49"/>
      <c r="C108" s="49"/>
      <c r="D108" s="49"/>
      <c r="E108" s="49"/>
      <c r="F108" s="49"/>
      <c r="G108" s="49"/>
    </row>
    <row r="109">
      <c r="B109" s="49"/>
      <c r="C109" s="49"/>
      <c r="D109" s="49"/>
      <c r="E109" s="49"/>
      <c r="F109" s="49"/>
      <c r="G109" s="49"/>
    </row>
    <row r="110">
      <c r="B110" s="49"/>
      <c r="C110" s="49"/>
      <c r="D110" s="49"/>
      <c r="E110" s="49"/>
      <c r="F110" s="49"/>
      <c r="G110" s="49"/>
    </row>
    <row r="111">
      <c r="B111" s="49"/>
      <c r="C111" s="49"/>
      <c r="D111" s="49"/>
      <c r="E111" s="49"/>
      <c r="F111" s="49"/>
      <c r="G111" s="49"/>
    </row>
    <row r="112">
      <c r="B112" s="49"/>
      <c r="C112" s="49"/>
      <c r="D112" s="49"/>
      <c r="E112" s="49"/>
      <c r="F112" s="49"/>
      <c r="G112" s="49"/>
    </row>
    <row r="113">
      <c r="B113" s="49"/>
      <c r="C113" s="49"/>
      <c r="D113" s="49"/>
      <c r="E113" s="49"/>
      <c r="F113" s="49"/>
      <c r="G113" s="49"/>
    </row>
    <row r="114">
      <c r="B114" s="49"/>
      <c r="C114" s="49"/>
      <c r="D114" s="49"/>
      <c r="E114" s="49"/>
      <c r="F114" s="49"/>
      <c r="G114" s="49"/>
    </row>
    <row r="115">
      <c r="B115" s="49"/>
      <c r="C115" s="49"/>
      <c r="D115" s="49"/>
      <c r="E115" s="49"/>
      <c r="F115" s="49"/>
      <c r="G115" s="49"/>
    </row>
    <row r="116">
      <c r="B116" s="49"/>
      <c r="C116" s="49"/>
      <c r="D116" s="49"/>
      <c r="E116" s="49"/>
      <c r="F116" s="49"/>
      <c r="G116" s="49"/>
    </row>
    <row r="117">
      <c r="B117" s="49"/>
      <c r="C117" s="49"/>
      <c r="D117" s="49"/>
      <c r="E117" s="49"/>
      <c r="F117" s="49"/>
      <c r="G117" s="49"/>
    </row>
    <row r="118">
      <c r="B118" s="49"/>
      <c r="C118" s="49"/>
      <c r="D118" s="49"/>
      <c r="E118" s="49"/>
      <c r="F118" s="49"/>
      <c r="G118" s="49"/>
    </row>
    <row r="119">
      <c r="B119" s="49"/>
      <c r="C119" s="49"/>
      <c r="D119" s="49"/>
      <c r="E119" s="49"/>
      <c r="F119" s="49"/>
      <c r="G119" s="49"/>
    </row>
    <row r="120">
      <c r="B120" s="49"/>
      <c r="C120" s="49"/>
      <c r="D120" s="49"/>
      <c r="E120" s="49"/>
      <c r="F120" s="49"/>
      <c r="G120" s="49"/>
    </row>
    <row r="121">
      <c r="B121" s="49"/>
      <c r="C121" s="49"/>
      <c r="D121" s="49"/>
      <c r="E121" s="49"/>
      <c r="F121" s="49"/>
      <c r="G121" s="49"/>
    </row>
    <row r="122">
      <c r="B122" s="49"/>
      <c r="C122" s="49"/>
      <c r="D122" s="49"/>
      <c r="E122" s="49"/>
      <c r="F122" s="49"/>
      <c r="G122" s="49"/>
    </row>
    <row r="123">
      <c r="B123" s="49"/>
      <c r="C123" s="49"/>
      <c r="D123" s="49"/>
      <c r="E123" s="49"/>
      <c r="F123" s="49"/>
      <c r="G123" s="49"/>
    </row>
    <row r="124">
      <c r="B124" s="49"/>
      <c r="C124" s="49"/>
      <c r="D124" s="49"/>
      <c r="E124" s="49"/>
      <c r="F124" s="49"/>
      <c r="G124" s="49"/>
    </row>
    <row r="125">
      <c r="B125" s="49"/>
      <c r="C125" s="49"/>
      <c r="D125" s="49"/>
      <c r="E125" s="49"/>
      <c r="F125" s="49"/>
      <c r="G125" s="49"/>
    </row>
    <row r="126">
      <c r="B126" s="49"/>
      <c r="C126" s="49"/>
      <c r="D126" s="49"/>
      <c r="E126" s="49"/>
      <c r="F126" s="49"/>
      <c r="G126" s="49"/>
    </row>
    <row r="127">
      <c r="B127" s="49"/>
      <c r="C127" s="49"/>
      <c r="D127" s="49"/>
      <c r="E127" s="49"/>
      <c r="F127" s="49"/>
      <c r="G127" s="49"/>
    </row>
    <row r="128">
      <c r="B128" s="49"/>
      <c r="C128" s="49"/>
      <c r="D128" s="49"/>
      <c r="E128" s="49"/>
      <c r="F128" s="49"/>
      <c r="G128" s="49"/>
    </row>
    <row r="129">
      <c r="B129" s="49"/>
      <c r="C129" s="49"/>
      <c r="D129" s="49"/>
      <c r="E129" s="49"/>
      <c r="F129" s="49"/>
      <c r="G129" s="49"/>
    </row>
    <row r="130">
      <c r="B130" s="49"/>
      <c r="C130" s="49"/>
      <c r="D130" s="49"/>
      <c r="E130" s="49"/>
      <c r="F130" s="49"/>
      <c r="G130" s="49"/>
    </row>
    <row r="131">
      <c r="B131" s="49"/>
      <c r="C131" s="49"/>
      <c r="D131" s="49"/>
      <c r="E131" s="49"/>
      <c r="F131" s="49"/>
      <c r="G131" s="49"/>
    </row>
    <row r="132">
      <c r="B132" s="49"/>
      <c r="C132" s="49"/>
      <c r="D132" s="49"/>
      <c r="E132" s="49"/>
      <c r="F132" s="49"/>
      <c r="G132" s="49"/>
    </row>
    <row r="133">
      <c r="B133" s="49"/>
      <c r="C133" s="49"/>
      <c r="D133" s="49"/>
      <c r="E133" s="49"/>
      <c r="F133" s="49"/>
      <c r="G133" s="49"/>
    </row>
    <row r="134">
      <c r="B134" s="49"/>
      <c r="C134" s="49"/>
      <c r="D134" s="49"/>
      <c r="E134" s="49"/>
      <c r="F134" s="49"/>
      <c r="G134" s="49"/>
    </row>
    <row r="135">
      <c r="B135" s="49"/>
      <c r="C135" s="49"/>
      <c r="D135" s="49"/>
      <c r="E135" s="49"/>
      <c r="F135" s="49"/>
      <c r="G135" s="49"/>
    </row>
    <row r="136">
      <c r="B136" s="49"/>
      <c r="C136" s="49"/>
      <c r="D136" s="49"/>
      <c r="E136" s="49"/>
      <c r="F136" s="49"/>
      <c r="G136" s="49"/>
    </row>
    <row r="137">
      <c r="B137" s="49"/>
      <c r="C137" s="49"/>
      <c r="D137" s="49"/>
      <c r="E137" s="49"/>
      <c r="F137" s="49"/>
      <c r="G137" s="49"/>
    </row>
    <row r="138">
      <c r="B138" s="49"/>
      <c r="C138" s="49"/>
      <c r="D138" s="49"/>
      <c r="E138" s="49"/>
      <c r="F138" s="49"/>
      <c r="G138" s="49"/>
    </row>
    <row r="139">
      <c r="B139" s="49"/>
      <c r="C139" s="49"/>
      <c r="D139" s="49"/>
      <c r="E139" s="49"/>
      <c r="F139" s="49"/>
      <c r="G139" s="49"/>
    </row>
    <row r="140">
      <c r="B140" s="49"/>
      <c r="C140" s="49"/>
      <c r="D140" s="49"/>
      <c r="E140" s="49"/>
      <c r="F140" s="49"/>
      <c r="G140" s="49"/>
    </row>
    <row r="141">
      <c r="B141" s="49"/>
      <c r="C141" s="49"/>
      <c r="D141" s="49"/>
      <c r="E141" s="49"/>
      <c r="F141" s="49"/>
      <c r="G141" s="49"/>
    </row>
    <row r="142">
      <c r="B142" s="49"/>
      <c r="C142" s="49"/>
      <c r="D142" s="49"/>
      <c r="E142" s="49"/>
      <c r="F142" s="49"/>
      <c r="G142" s="49"/>
    </row>
    <row r="143">
      <c r="B143" s="49"/>
      <c r="C143" s="49"/>
      <c r="D143" s="49"/>
      <c r="E143" s="49"/>
      <c r="F143" s="49"/>
      <c r="G143" s="49"/>
    </row>
    <row r="144">
      <c r="B144" s="49"/>
      <c r="C144" s="49"/>
      <c r="D144" s="49"/>
      <c r="E144" s="49"/>
      <c r="F144" s="49"/>
      <c r="G144" s="49"/>
    </row>
    <row r="145">
      <c r="B145" s="49"/>
      <c r="C145" s="49"/>
      <c r="D145" s="49"/>
      <c r="E145" s="49"/>
      <c r="F145" s="49"/>
      <c r="G145" s="49"/>
    </row>
    <row r="146">
      <c r="B146" s="49"/>
      <c r="C146" s="49"/>
      <c r="D146" s="49"/>
      <c r="E146" s="49"/>
      <c r="F146" s="49"/>
      <c r="G146" s="49"/>
    </row>
    <row r="147">
      <c r="B147" s="49"/>
      <c r="C147" s="49"/>
      <c r="D147" s="49"/>
      <c r="E147" s="49"/>
      <c r="F147" s="49"/>
      <c r="G147" s="49"/>
    </row>
    <row r="148">
      <c r="B148" s="49"/>
      <c r="C148" s="49"/>
      <c r="D148" s="49"/>
      <c r="E148" s="49"/>
      <c r="F148" s="49"/>
      <c r="G148" s="49"/>
    </row>
    <row r="149">
      <c r="B149" s="49"/>
      <c r="C149" s="49"/>
      <c r="D149" s="49"/>
      <c r="E149" s="49"/>
      <c r="F149" s="49"/>
      <c r="G149" s="49"/>
    </row>
    <row r="150">
      <c r="B150" s="49"/>
      <c r="C150" s="49"/>
      <c r="D150" s="49"/>
      <c r="E150" s="49"/>
      <c r="F150" s="49"/>
      <c r="G150" s="49"/>
    </row>
    <row r="151">
      <c r="B151" s="49"/>
      <c r="C151" s="49"/>
      <c r="D151" s="49"/>
      <c r="E151" s="49"/>
      <c r="F151" s="49"/>
      <c r="G151" s="49"/>
    </row>
    <row r="152">
      <c r="B152" s="49"/>
      <c r="C152" s="49"/>
      <c r="D152" s="49"/>
      <c r="E152" s="49"/>
      <c r="F152" s="49"/>
      <c r="G152" s="49"/>
    </row>
    <row r="153">
      <c r="B153" s="49"/>
      <c r="C153" s="49"/>
      <c r="D153" s="49"/>
      <c r="E153" s="49"/>
      <c r="F153" s="49"/>
      <c r="G153" s="49"/>
    </row>
    <row r="154">
      <c r="B154" s="49"/>
      <c r="C154" s="49"/>
      <c r="D154" s="49"/>
      <c r="E154" s="49"/>
      <c r="F154" s="49"/>
      <c r="G154" s="49"/>
    </row>
    <row r="155">
      <c r="B155" s="49"/>
      <c r="C155" s="49"/>
      <c r="D155" s="49"/>
      <c r="E155" s="49"/>
      <c r="F155" s="49"/>
      <c r="G155" s="49"/>
    </row>
    <row r="156">
      <c r="B156" s="49"/>
      <c r="C156" s="49"/>
      <c r="D156" s="49"/>
      <c r="E156" s="49"/>
      <c r="F156" s="49"/>
      <c r="G156" s="49"/>
    </row>
    <row r="157">
      <c r="B157" s="49"/>
      <c r="C157" s="49"/>
      <c r="D157" s="49"/>
      <c r="E157" s="49"/>
      <c r="F157" s="49"/>
      <c r="G157" s="49"/>
    </row>
    <row r="158">
      <c r="B158" s="49"/>
      <c r="C158" s="49"/>
      <c r="D158" s="49"/>
      <c r="E158" s="49"/>
      <c r="F158" s="49"/>
      <c r="G158" s="49"/>
    </row>
    <row r="159">
      <c r="B159" s="49"/>
      <c r="C159" s="49"/>
      <c r="D159" s="49"/>
      <c r="E159" s="49"/>
      <c r="F159" s="49"/>
      <c r="G159" s="49"/>
    </row>
    <row r="160">
      <c r="B160" s="49"/>
      <c r="C160" s="49"/>
      <c r="D160" s="49"/>
      <c r="E160" s="49"/>
      <c r="F160" s="49"/>
      <c r="G160" s="49"/>
    </row>
    <row r="161">
      <c r="B161" s="49"/>
      <c r="C161" s="49"/>
      <c r="D161" s="49"/>
      <c r="E161" s="49"/>
      <c r="F161" s="49"/>
      <c r="G161" s="49"/>
    </row>
    <row r="162">
      <c r="B162" s="49"/>
      <c r="C162" s="49"/>
      <c r="D162" s="49"/>
      <c r="E162" s="49"/>
      <c r="F162" s="49"/>
      <c r="G162" s="49"/>
    </row>
    <row r="163">
      <c r="B163" s="49"/>
      <c r="C163" s="49"/>
      <c r="D163" s="49"/>
      <c r="E163" s="49"/>
      <c r="F163" s="49"/>
      <c r="G163" s="49"/>
    </row>
    <row r="164">
      <c r="B164" s="49"/>
      <c r="C164" s="49"/>
      <c r="D164" s="49"/>
      <c r="E164" s="49"/>
      <c r="F164" s="49"/>
      <c r="G164" s="49"/>
    </row>
    <row r="165">
      <c r="B165" s="49"/>
      <c r="C165" s="49"/>
      <c r="D165" s="49"/>
      <c r="E165" s="49"/>
      <c r="F165" s="49"/>
      <c r="G165" s="49"/>
    </row>
    <row r="166">
      <c r="B166" s="49"/>
      <c r="C166" s="49"/>
      <c r="D166" s="49"/>
      <c r="E166" s="49"/>
      <c r="F166" s="49"/>
      <c r="G166" s="49"/>
    </row>
    <row r="167">
      <c r="B167" s="49"/>
      <c r="C167" s="49"/>
      <c r="D167" s="49"/>
      <c r="E167" s="49"/>
      <c r="F167" s="49"/>
      <c r="G167" s="49"/>
    </row>
    <row r="168">
      <c r="B168" s="49"/>
      <c r="C168" s="49"/>
      <c r="D168" s="49"/>
      <c r="E168" s="49"/>
      <c r="F168" s="49"/>
      <c r="G168" s="49"/>
    </row>
    <row r="169">
      <c r="B169" s="49"/>
      <c r="C169" s="49"/>
      <c r="D169" s="49"/>
      <c r="E169" s="49"/>
      <c r="F169" s="49"/>
      <c r="G169" s="49"/>
    </row>
    <row r="170">
      <c r="B170" s="49"/>
      <c r="C170" s="49"/>
      <c r="D170" s="49"/>
      <c r="E170" s="49"/>
      <c r="F170" s="49"/>
      <c r="G170" s="49"/>
    </row>
    <row r="171">
      <c r="B171" s="49"/>
      <c r="C171" s="49"/>
      <c r="D171" s="49"/>
      <c r="E171" s="49"/>
      <c r="F171" s="49"/>
      <c r="G171" s="49"/>
    </row>
    <row r="172">
      <c r="B172" s="49"/>
      <c r="C172" s="49"/>
      <c r="D172" s="49"/>
      <c r="E172" s="49"/>
      <c r="F172" s="49"/>
      <c r="G172" s="49"/>
    </row>
    <row r="173">
      <c r="B173" s="49"/>
      <c r="C173" s="49"/>
      <c r="D173" s="49"/>
      <c r="E173" s="49"/>
      <c r="F173" s="49"/>
      <c r="G173" s="49"/>
    </row>
    <row r="174">
      <c r="B174" s="49"/>
      <c r="C174" s="49"/>
      <c r="D174" s="49"/>
      <c r="E174" s="49"/>
      <c r="F174" s="49"/>
      <c r="G174" s="49"/>
    </row>
    <row r="175">
      <c r="B175" s="49"/>
      <c r="C175" s="49"/>
      <c r="D175" s="49"/>
      <c r="E175" s="49"/>
      <c r="F175" s="49"/>
      <c r="G175" s="49"/>
    </row>
    <row r="176">
      <c r="B176" s="49"/>
      <c r="C176" s="49"/>
      <c r="D176" s="49"/>
      <c r="E176" s="49"/>
      <c r="F176" s="49"/>
      <c r="G176" s="49"/>
    </row>
    <row r="177">
      <c r="B177" s="49"/>
      <c r="C177" s="49"/>
      <c r="D177" s="49"/>
      <c r="E177" s="49"/>
      <c r="F177" s="49"/>
      <c r="G177" s="49"/>
    </row>
    <row r="178">
      <c r="B178" s="49"/>
      <c r="C178" s="49"/>
      <c r="D178" s="49"/>
      <c r="E178" s="49"/>
      <c r="F178" s="49"/>
      <c r="G178" s="49"/>
    </row>
    <row r="179">
      <c r="B179" s="49"/>
      <c r="C179" s="49"/>
      <c r="D179" s="49"/>
      <c r="E179" s="49"/>
      <c r="F179" s="49"/>
      <c r="G179" s="49"/>
    </row>
    <row r="180">
      <c r="B180" s="49"/>
      <c r="C180" s="49"/>
      <c r="D180" s="49"/>
      <c r="E180" s="49"/>
      <c r="F180" s="49"/>
      <c r="G180" s="49"/>
    </row>
    <row r="181">
      <c r="B181" s="49"/>
      <c r="C181" s="49"/>
      <c r="D181" s="49"/>
      <c r="E181" s="49"/>
      <c r="F181" s="49"/>
      <c r="G181" s="49"/>
    </row>
    <row r="182">
      <c r="B182" s="49"/>
      <c r="C182" s="49"/>
      <c r="D182" s="49"/>
      <c r="E182" s="49"/>
      <c r="F182" s="49"/>
      <c r="G182" s="49"/>
    </row>
    <row r="183">
      <c r="B183" s="49"/>
      <c r="C183" s="49"/>
      <c r="D183" s="49"/>
      <c r="E183" s="49"/>
      <c r="F183" s="49"/>
      <c r="G183" s="49"/>
    </row>
    <row r="184">
      <c r="B184" s="49"/>
      <c r="C184" s="49"/>
      <c r="D184" s="49"/>
      <c r="E184" s="49"/>
      <c r="F184" s="49"/>
      <c r="G184" s="49"/>
    </row>
    <row r="185">
      <c r="B185" s="49"/>
      <c r="C185" s="49"/>
      <c r="D185" s="49"/>
      <c r="E185" s="49"/>
      <c r="F185" s="49"/>
      <c r="G185" s="49"/>
    </row>
    <row r="186">
      <c r="B186" s="49"/>
      <c r="C186" s="49"/>
      <c r="D186" s="49"/>
      <c r="E186" s="49"/>
      <c r="F186" s="49"/>
      <c r="G186" s="49"/>
    </row>
    <row r="187">
      <c r="B187" s="49"/>
      <c r="C187" s="49"/>
      <c r="D187" s="49"/>
      <c r="E187" s="49"/>
      <c r="F187" s="49"/>
      <c r="G187" s="49"/>
    </row>
    <row r="188">
      <c r="B188" s="49"/>
      <c r="C188" s="49"/>
      <c r="D188" s="49"/>
      <c r="E188" s="49"/>
      <c r="F188" s="49"/>
      <c r="G188" s="49"/>
    </row>
    <row r="189">
      <c r="B189" s="49"/>
      <c r="C189" s="49"/>
      <c r="D189" s="49"/>
      <c r="E189" s="49"/>
      <c r="F189" s="49"/>
      <c r="G189" s="49"/>
    </row>
    <row r="190">
      <c r="B190" s="49"/>
      <c r="C190" s="49"/>
      <c r="D190" s="49"/>
      <c r="E190" s="49"/>
      <c r="F190" s="49"/>
      <c r="G190" s="49"/>
    </row>
    <row r="191">
      <c r="B191" s="49"/>
      <c r="C191" s="49"/>
      <c r="D191" s="49"/>
      <c r="E191" s="49"/>
      <c r="F191" s="49"/>
      <c r="G191" s="49"/>
    </row>
    <row r="192">
      <c r="B192" s="49"/>
      <c r="C192" s="49"/>
      <c r="D192" s="49"/>
      <c r="E192" s="49"/>
      <c r="F192" s="49"/>
      <c r="G192" s="49"/>
    </row>
    <row r="193">
      <c r="B193" s="49"/>
      <c r="C193" s="49"/>
      <c r="D193" s="49"/>
      <c r="E193" s="49"/>
      <c r="F193" s="49"/>
      <c r="G193" s="49"/>
    </row>
    <row r="194">
      <c r="B194" s="49"/>
      <c r="C194" s="49"/>
      <c r="D194" s="49"/>
      <c r="E194" s="49"/>
      <c r="F194" s="49"/>
      <c r="G194" s="49"/>
    </row>
    <row r="195">
      <c r="B195" s="49"/>
      <c r="C195" s="49"/>
      <c r="D195" s="49"/>
      <c r="E195" s="49"/>
      <c r="F195" s="49"/>
      <c r="G195" s="49"/>
    </row>
    <row r="196">
      <c r="B196" s="49"/>
      <c r="C196" s="49"/>
      <c r="D196" s="49"/>
      <c r="E196" s="49"/>
      <c r="F196" s="49"/>
      <c r="G196" s="49"/>
    </row>
    <row r="197">
      <c r="B197" s="49"/>
      <c r="C197" s="49"/>
      <c r="D197" s="49"/>
      <c r="E197" s="49"/>
      <c r="F197" s="49"/>
      <c r="G197" s="49"/>
    </row>
    <row r="198">
      <c r="B198" s="49"/>
      <c r="C198" s="49"/>
      <c r="D198" s="49"/>
      <c r="E198" s="49"/>
      <c r="F198" s="49"/>
      <c r="G198" s="49"/>
    </row>
    <row r="199">
      <c r="B199" s="49"/>
      <c r="C199" s="49"/>
      <c r="D199" s="49"/>
      <c r="E199" s="49"/>
      <c r="F199" s="49"/>
      <c r="G199" s="49"/>
    </row>
    <row r="200">
      <c r="B200" s="49"/>
      <c r="C200" s="49"/>
      <c r="D200" s="49"/>
      <c r="E200" s="49"/>
      <c r="F200" s="49"/>
      <c r="G200" s="49"/>
    </row>
    <row r="201">
      <c r="B201" s="49"/>
      <c r="C201" s="49"/>
      <c r="D201" s="49"/>
      <c r="E201" s="49"/>
      <c r="F201" s="49"/>
      <c r="G201" s="49"/>
    </row>
    <row r="202">
      <c r="B202" s="49"/>
      <c r="C202" s="49"/>
      <c r="D202" s="49"/>
      <c r="E202" s="49"/>
      <c r="F202" s="49"/>
      <c r="G202" s="49"/>
    </row>
    <row r="203">
      <c r="B203" s="49"/>
      <c r="C203" s="49"/>
      <c r="D203" s="49"/>
      <c r="E203" s="49"/>
      <c r="F203" s="49"/>
      <c r="G203" s="49"/>
    </row>
    <row r="204">
      <c r="B204" s="49"/>
      <c r="C204" s="49"/>
      <c r="D204" s="49"/>
      <c r="E204" s="49"/>
      <c r="F204" s="49"/>
      <c r="G204" s="49"/>
    </row>
    <row r="205">
      <c r="B205" s="49"/>
      <c r="C205" s="49"/>
      <c r="D205" s="49"/>
      <c r="E205" s="49"/>
      <c r="F205" s="49"/>
      <c r="G205" s="49"/>
    </row>
    <row r="206">
      <c r="B206" s="49"/>
      <c r="C206" s="49"/>
      <c r="D206" s="49"/>
      <c r="E206" s="49"/>
      <c r="F206" s="49"/>
      <c r="G206" s="49"/>
    </row>
    <row r="207">
      <c r="B207" s="49"/>
      <c r="C207" s="49"/>
      <c r="D207" s="49"/>
      <c r="E207" s="49"/>
      <c r="F207" s="49"/>
      <c r="G207" s="49"/>
    </row>
    <row r="208">
      <c r="B208" s="49"/>
      <c r="C208" s="49"/>
      <c r="D208" s="49"/>
      <c r="E208" s="49"/>
      <c r="F208" s="49"/>
      <c r="G208" s="49"/>
    </row>
    <row r="209">
      <c r="B209" s="49"/>
      <c r="C209" s="49"/>
      <c r="D209" s="49"/>
      <c r="E209" s="49"/>
      <c r="F209" s="49"/>
      <c r="G209" s="49"/>
    </row>
    <row r="210">
      <c r="B210" s="49"/>
      <c r="C210" s="49"/>
      <c r="D210" s="49"/>
      <c r="E210" s="49"/>
      <c r="F210" s="49"/>
      <c r="G210" s="49"/>
    </row>
    <row r="211">
      <c r="B211" s="49"/>
      <c r="C211" s="49"/>
      <c r="D211" s="49"/>
      <c r="E211" s="49"/>
      <c r="F211" s="49"/>
      <c r="G211" s="49"/>
    </row>
    <row r="212">
      <c r="B212" s="49"/>
      <c r="C212" s="49"/>
      <c r="D212" s="49"/>
      <c r="E212" s="49"/>
      <c r="F212" s="49"/>
      <c r="G212" s="49"/>
    </row>
    <row r="213">
      <c r="B213" s="49"/>
      <c r="C213" s="49"/>
      <c r="D213" s="49"/>
      <c r="E213" s="49"/>
      <c r="F213" s="49"/>
      <c r="G213" s="49"/>
    </row>
    <row r="214">
      <c r="B214" s="49"/>
      <c r="C214" s="49"/>
      <c r="D214" s="49"/>
      <c r="E214" s="49"/>
      <c r="F214" s="49"/>
      <c r="G214" s="49"/>
    </row>
    <row r="215">
      <c r="B215" s="49"/>
      <c r="C215" s="49"/>
      <c r="D215" s="49"/>
      <c r="E215" s="49"/>
      <c r="F215" s="49"/>
      <c r="G215" s="49"/>
    </row>
    <row r="216">
      <c r="B216" s="49"/>
      <c r="C216" s="49"/>
      <c r="D216" s="49"/>
      <c r="E216" s="49"/>
      <c r="F216" s="49"/>
      <c r="G216" s="49"/>
    </row>
    <row r="217">
      <c r="B217" s="49"/>
      <c r="C217" s="49"/>
      <c r="D217" s="49"/>
      <c r="E217" s="49"/>
      <c r="F217" s="49"/>
      <c r="G217" s="49"/>
    </row>
    <row r="218">
      <c r="B218" s="49"/>
      <c r="C218" s="49"/>
      <c r="D218" s="49"/>
      <c r="E218" s="49"/>
      <c r="F218" s="49"/>
      <c r="G218" s="49"/>
    </row>
    <row r="219">
      <c r="B219" s="49"/>
      <c r="C219" s="49"/>
      <c r="D219" s="49"/>
      <c r="E219" s="49"/>
      <c r="F219" s="49"/>
      <c r="G219" s="49"/>
    </row>
    <row r="220">
      <c r="B220" s="49"/>
      <c r="C220" s="49"/>
      <c r="D220" s="49"/>
      <c r="E220" s="49"/>
      <c r="F220" s="49"/>
      <c r="G220" s="49"/>
    </row>
    <row r="221">
      <c r="B221" s="49"/>
      <c r="C221" s="49"/>
      <c r="D221" s="49"/>
      <c r="E221" s="49"/>
      <c r="F221" s="49"/>
      <c r="G221" s="49"/>
    </row>
    <row r="222">
      <c r="B222" s="49"/>
      <c r="C222" s="49"/>
      <c r="D222" s="49"/>
      <c r="E222" s="49"/>
      <c r="F222" s="49"/>
      <c r="G222" s="49"/>
    </row>
    <row r="223">
      <c r="B223" s="49"/>
      <c r="C223" s="49"/>
      <c r="D223" s="49"/>
      <c r="E223" s="49"/>
      <c r="F223" s="49"/>
      <c r="G223" s="49"/>
    </row>
    <row r="224">
      <c r="B224" s="49"/>
      <c r="C224" s="49"/>
      <c r="D224" s="49"/>
      <c r="E224" s="49"/>
      <c r="F224" s="49"/>
      <c r="G224" s="49"/>
    </row>
    <row r="225">
      <c r="B225" s="49"/>
      <c r="C225" s="49"/>
      <c r="D225" s="49"/>
      <c r="E225" s="49"/>
      <c r="F225" s="49"/>
      <c r="G225" s="49"/>
    </row>
    <row r="226">
      <c r="B226" s="49"/>
      <c r="C226" s="49"/>
      <c r="D226" s="49"/>
      <c r="E226" s="49"/>
      <c r="F226" s="49"/>
      <c r="G226" s="49"/>
    </row>
    <row r="227">
      <c r="B227" s="49"/>
      <c r="C227" s="49"/>
      <c r="D227" s="49"/>
      <c r="E227" s="49"/>
      <c r="F227" s="49"/>
      <c r="G227" s="49"/>
    </row>
    <row r="228">
      <c r="B228" s="49"/>
      <c r="C228" s="49"/>
      <c r="D228" s="49"/>
      <c r="E228" s="49"/>
      <c r="F228" s="49"/>
      <c r="G228" s="49"/>
    </row>
    <row r="229">
      <c r="B229" s="49"/>
      <c r="C229" s="49"/>
      <c r="D229" s="49"/>
      <c r="E229" s="49"/>
      <c r="F229" s="49"/>
      <c r="G229" s="49"/>
    </row>
    <row r="230">
      <c r="B230" s="49"/>
      <c r="C230" s="49"/>
      <c r="D230" s="49"/>
      <c r="E230" s="49"/>
      <c r="F230" s="49"/>
      <c r="G230" s="49"/>
    </row>
    <row r="231">
      <c r="B231" s="49"/>
      <c r="C231" s="49"/>
      <c r="D231" s="49"/>
      <c r="E231" s="49"/>
      <c r="F231" s="49"/>
      <c r="G231" s="49"/>
    </row>
    <row r="232">
      <c r="B232" s="49"/>
      <c r="C232" s="49"/>
      <c r="D232" s="49"/>
      <c r="E232" s="49"/>
      <c r="F232" s="49"/>
      <c r="G232" s="49"/>
    </row>
    <row r="233">
      <c r="B233" s="49"/>
      <c r="C233" s="49"/>
      <c r="D233" s="49"/>
      <c r="E233" s="49"/>
      <c r="F233" s="49"/>
      <c r="G233" s="49"/>
    </row>
    <row r="234">
      <c r="B234" s="49"/>
      <c r="C234" s="49"/>
      <c r="D234" s="49"/>
      <c r="E234" s="49"/>
      <c r="F234" s="49"/>
      <c r="G234" s="49"/>
    </row>
    <row r="235">
      <c r="B235" s="49"/>
      <c r="C235" s="49"/>
      <c r="D235" s="49"/>
      <c r="E235" s="49"/>
      <c r="F235" s="49"/>
      <c r="G235" s="49"/>
    </row>
    <row r="236">
      <c r="B236" s="49"/>
      <c r="C236" s="49"/>
      <c r="D236" s="49"/>
      <c r="E236" s="49"/>
      <c r="F236" s="49"/>
      <c r="G236" s="49"/>
    </row>
    <row r="237">
      <c r="B237" s="49"/>
      <c r="C237" s="49"/>
      <c r="D237" s="49"/>
      <c r="E237" s="49"/>
      <c r="F237" s="49"/>
      <c r="G237" s="49"/>
    </row>
    <row r="238">
      <c r="B238" s="49"/>
      <c r="C238" s="49"/>
      <c r="D238" s="49"/>
      <c r="E238" s="49"/>
      <c r="F238" s="49"/>
      <c r="G238" s="49"/>
    </row>
    <row r="239">
      <c r="B239" s="49"/>
      <c r="C239" s="49"/>
      <c r="D239" s="49"/>
      <c r="E239" s="49"/>
      <c r="F239" s="49"/>
      <c r="G239" s="49"/>
    </row>
    <row r="240">
      <c r="B240" s="49"/>
      <c r="C240" s="49"/>
      <c r="D240" s="49"/>
      <c r="E240" s="49"/>
      <c r="F240" s="49"/>
      <c r="G240" s="49"/>
    </row>
    <row r="241">
      <c r="B241" s="49"/>
      <c r="C241" s="49"/>
      <c r="D241" s="49"/>
      <c r="E241" s="49"/>
      <c r="F241" s="49"/>
      <c r="G241" s="49"/>
    </row>
    <row r="242">
      <c r="B242" s="49"/>
      <c r="C242" s="49"/>
      <c r="D242" s="49"/>
      <c r="E242" s="49"/>
      <c r="F242" s="49"/>
      <c r="G242" s="49"/>
    </row>
    <row r="243">
      <c r="B243" s="49"/>
      <c r="C243" s="49"/>
      <c r="D243" s="49"/>
      <c r="E243" s="49"/>
      <c r="F243" s="49"/>
      <c r="G243" s="49"/>
    </row>
    <row r="244">
      <c r="B244" s="49"/>
      <c r="C244" s="49"/>
      <c r="D244" s="49"/>
      <c r="E244" s="49"/>
      <c r="F244" s="49"/>
      <c r="G244" s="49"/>
    </row>
    <row r="245">
      <c r="B245" s="49"/>
      <c r="C245" s="49"/>
      <c r="D245" s="49"/>
      <c r="E245" s="49"/>
      <c r="F245" s="49"/>
      <c r="G245" s="49"/>
    </row>
    <row r="246">
      <c r="B246" s="49"/>
      <c r="C246" s="49"/>
      <c r="D246" s="49"/>
      <c r="E246" s="49"/>
      <c r="F246" s="49"/>
      <c r="G246" s="49"/>
    </row>
    <row r="247">
      <c r="B247" s="49"/>
      <c r="C247" s="49"/>
      <c r="D247" s="49"/>
      <c r="E247" s="49"/>
      <c r="F247" s="49"/>
      <c r="G247" s="49"/>
    </row>
    <row r="248">
      <c r="B248" s="49"/>
      <c r="C248" s="49"/>
      <c r="D248" s="49"/>
      <c r="E248" s="49"/>
      <c r="F248" s="49"/>
      <c r="G248" s="49"/>
    </row>
    <row r="249">
      <c r="B249" s="49"/>
      <c r="C249" s="49"/>
      <c r="D249" s="49"/>
      <c r="E249" s="49"/>
      <c r="F249" s="49"/>
      <c r="G249" s="49"/>
    </row>
    <row r="250">
      <c r="B250" s="49"/>
      <c r="C250" s="49"/>
      <c r="D250" s="49"/>
      <c r="E250" s="49"/>
      <c r="F250" s="49"/>
      <c r="G250" s="49"/>
    </row>
    <row r="251">
      <c r="B251" s="49"/>
      <c r="C251" s="49"/>
      <c r="D251" s="49"/>
      <c r="E251" s="49"/>
      <c r="F251" s="49"/>
      <c r="G251" s="49"/>
    </row>
    <row r="252">
      <c r="B252" s="49"/>
      <c r="C252" s="49"/>
      <c r="D252" s="49"/>
      <c r="E252" s="49"/>
      <c r="F252" s="49"/>
      <c r="G252" s="49"/>
    </row>
    <row r="253">
      <c r="B253" s="49"/>
      <c r="C253" s="49"/>
      <c r="D253" s="49"/>
      <c r="E253" s="49"/>
      <c r="F253" s="49"/>
      <c r="G253" s="49"/>
    </row>
    <row r="254">
      <c r="B254" s="49"/>
      <c r="C254" s="49"/>
      <c r="D254" s="49"/>
      <c r="E254" s="49"/>
      <c r="F254" s="49"/>
      <c r="G254" s="49"/>
    </row>
    <row r="255">
      <c r="B255" s="49"/>
      <c r="C255" s="49"/>
      <c r="D255" s="49"/>
      <c r="E255" s="49"/>
      <c r="F255" s="49"/>
      <c r="G255" s="49"/>
    </row>
    <row r="256">
      <c r="B256" s="49"/>
      <c r="C256" s="49"/>
      <c r="D256" s="49"/>
      <c r="E256" s="49"/>
      <c r="F256" s="49"/>
      <c r="G256" s="49"/>
    </row>
    <row r="257">
      <c r="B257" s="49"/>
      <c r="C257" s="49"/>
      <c r="D257" s="49"/>
      <c r="E257" s="49"/>
      <c r="F257" s="49"/>
      <c r="G257" s="49"/>
    </row>
    <row r="258">
      <c r="B258" s="49"/>
      <c r="C258" s="49"/>
      <c r="D258" s="49"/>
      <c r="E258" s="49"/>
      <c r="F258" s="49"/>
      <c r="G258" s="49"/>
    </row>
    <row r="259">
      <c r="B259" s="49"/>
      <c r="C259" s="49"/>
      <c r="D259" s="49"/>
      <c r="E259" s="49"/>
      <c r="F259" s="49"/>
      <c r="G259" s="49"/>
    </row>
    <row r="260">
      <c r="B260" s="49"/>
      <c r="C260" s="49"/>
      <c r="D260" s="49"/>
      <c r="E260" s="49"/>
      <c r="F260" s="49"/>
      <c r="G260" s="49"/>
    </row>
    <row r="261">
      <c r="B261" s="49"/>
      <c r="C261" s="49"/>
      <c r="D261" s="49"/>
      <c r="E261" s="49"/>
      <c r="F261" s="49"/>
      <c r="G261" s="49"/>
    </row>
    <row r="262">
      <c r="B262" s="49"/>
      <c r="C262" s="49"/>
      <c r="D262" s="49"/>
      <c r="E262" s="49"/>
      <c r="F262" s="49"/>
      <c r="G262" s="49"/>
    </row>
    <row r="263">
      <c r="B263" s="49"/>
      <c r="C263" s="49"/>
      <c r="D263" s="49"/>
      <c r="E263" s="49"/>
      <c r="F263" s="49"/>
      <c r="G263" s="49"/>
    </row>
    <row r="264">
      <c r="B264" s="49"/>
      <c r="C264" s="49"/>
      <c r="D264" s="49"/>
      <c r="E264" s="49"/>
      <c r="F264" s="49"/>
      <c r="G264" s="49"/>
    </row>
    <row r="265">
      <c r="B265" s="49"/>
      <c r="C265" s="49"/>
      <c r="D265" s="49"/>
      <c r="E265" s="49"/>
      <c r="F265" s="49"/>
      <c r="G265" s="49"/>
    </row>
    <row r="266">
      <c r="B266" s="49"/>
      <c r="C266" s="49"/>
      <c r="D266" s="49"/>
      <c r="E266" s="49"/>
      <c r="F266" s="49"/>
      <c r="G266" s="49"/>
    </row>
    <row r="267">
      <c r="B267" s="49"/>
      <c r="C267" s="49"/>
      <c r="D267" s="49"/>
      <c r="E267" s="49"/>
      <c r="F267" s="49"/>
      <c r="G267" s="49"/>
    </row>
    <row r="268">
      <c r="B268" s="49"/>
      <c r="C268" s="49"/>
      <c r="D268" s="49"/>
      <c r="E268" s="49"/>
      <c r="F268" s="49"/>
      <c r="G268" s="49"/>
    </row>
    <row r="269">
      <c r="B269" s="49"/>
      <c r="C269" s="49"/>
      <c r="D269" s="49"/>
      <c r="E269" s="49"/>
      <c r="F269" s="49"/>
      <c r="G269" s="49"/>
    </row>
    <row r="270">
      <c r="B270" s="49"/>
      <c r="C270" s="49"/>
      <c r="D270" s="49"/>
      <c r="E270" s="49"/>
      <c r="F270" s="49"/>
      <c r="G270" s="49"/>
    </row>
    <row r="271">
      <c r="B271" s="49"/>
      <c r="C271" s="49"/>
      <c r="D271" s="49"/>
      <c r="E271" s="49"/>
      <c r="F271" s="49"/>
      <c r="G271" s="49"/>
    </row>
    <row r="272">
      <c r="B272" s="49"/>
      <c r="C272" s="49"/>
      <c r="D272" s="49"/>
      <c r="E272" s="49"/>
      <c r="F272" s="49"/>
      <c r="G272" s="49"/>
    </row>
    <row r="273">
      <c r="B273" s="49"/>
      <c r="C273" s="49"/>
      <c r="D273" s="49"/>
      <c r="E273" s="49"/>
      <c r="F273" s="49"/>
      <c r="G273" s="49"/>
    </row>
    <row r="274">
      <c r="B274" s="49"/>
      <c r="C274" s="49"/>
      <c r="D274" s="49"/>
      <c r="E274" s="49"/>
      <c r="F274" s="49"/>
      <c r="G274" s="49"/>
    </row>
    <row r="275">
      <c r="B275" s="49"/>
      <c r="C275" s="49"/>
      <c r="D275" s="49"/>
      <c r="E275" s="49"/>
      <c r="F275" s="49"/>
      <c r="G275" s="49"/>
    </row>
    <row r="276">
      <c r="B276" s="49"/>
      <c r="C276" s="49"/>
      <c r="D276" s="49"/>
      <c r="E276" s="49"/>
      <c r="F276" s="49"/>
      <c r="G276" s="49"/>
    </row>
    <row r="277">
      <c r="B277" s="49"/>
      <c r="C277" s="49"/>
      <c r="D277" s="49"/>
      <c r="E277" s="49"/>
      <c r="F277" s="49"/>
      <c r="G277" s="49"/>
    </row>
    <row r="278">
      <c r="B278" s="49"/>
      <c r="C278" s="49"/>
      <c r="D278" s="49"/>
      <c r="E278" s="49"/>
      <c r="F278" s="49"/>
      <c r="G278" s="49"/>
    </row>
    <row r="279">
      <c r="B279" s="49"/>
      <c r="C279" s="49"/>
      <c r="D279" s="49"/>
      <c r="E279" s="49"/>
      <c r="F279" s="49"/>
      <c r="G279" s="49"/>
    </row>
    <row r="280">
      <c r="B280" s="49"/>
      <c r="C280" s="49"/>
      <c r="D280" s="49"/>
      <c r="E280" s="49"/>
      <c r="F280" s="49"/>
      <c r="G280" s="49"/>
    </row>
    <row r="281">
      <c r="B281" s="49"/>
      <c r="C281" s="49"/>
      <c r="D281" s="49"/>
      <c r="E281" s="49"/>
      <c r="F281" s="49"/>
      <c r="G281" s="49"/>
    </row>
    <row r="282">
      <c r="B282" s="49"/>
      <c r="C282" s="49"/>
      <c r="D282" s="49"/>
      <c r="E282" s="49"/>
      <c r="F282" s="49"/>
      <c r="G282" s="49"/>
    </row>
    <row r="283">
      <c r="B283" s="49"/>
      <c r="C283" s="49"/>
      <c r="D283" s="49"/>
      <c r="E283" s="49"/>
      <c r="F283" s="49"/>
      <c r="G283" s="49"/>
    </row>
    <row r="284">
      <c r="B284" s="49"/>
      <c r="C284" s="49"/>
      <c r="D284" s="49"/>
      <c r="E284" s="49"/>
      <c r="F284" s="49"/>
      <c r="G284" s="49"/>
    </row>
    <row r="285">
      <c r="B285" s="49"/>
      <c r="C285" s="49"/>
      <c r="D285" s="49"/>
      <c r="E285" s="49"/>
      <c r="F285" s="49"/>
      <c r="G285" s="49"/>
    </row>
    <row r="286">
      <c r="B286" s="49"/>
      <c r="C286" s="49"/>
      <c r="D286" s="49"/>
      <c r="E286" s="49"/>
      <c r="F286" s="49"/>
      <c r="G286" s="49"/>
    </row>
    <row r="287">
      <c r="B287" s="49"/>
      <c r="C287" s="49"/>
      <c r="D287" s="49"/>
      <c r="E287" s="49"/>
      <c r="F287" s="49"/>
      <c r="G287" s="49"/>
    </row>
    <row r="288">
      <c r="B288" s="49"/>
      <c r="C288" s="49"/>
      <c r="D288" s="49"/>
      <c r="E288" s="49"/>
      <c r="F288" s="49"/>
      <c r="G288" s="49"/>
    </row>
    <row r="289">
      <c r="B289" s="49"/>
      <c r="C289" s="49"/>
      <c r="D289" s="49"/>
      <c r="E289" s="49"/>
      <c r="F289" s="49"/>
      <c r="G289" s="49"/>
    </row>
    <row r="290">
      <c r="B290" s="49"/>
      <c r="C290" s="49"/>
      <c r="D290" s="49"/>
      <c r="E290" s="49"/>
      <c r="F290" s="49"/>
      <c r="G290" s="49"/>
    </row>
    <row r="291">
      <c r="B291" s="49"/>
      <c r="C291" s="49"/>
      <c r="D291" s="49"/>
      <c r="E291" s="49"/>
      <c r="F291" s="49"/>
      <c r="G291" s="49"/>
    </row>
    <row r="292">
      <c r="B292" s="49"/>
      <c r="C292" s="49"/>
      <c r="D292" s="49"/>
      <c r="E292" s="49"/>
      <c r="F292" s="49"/>
      <c r="G292" s="49"/>
    </row>
    <row r="293">
      <c r="B293" s="49"/>
      <c r="C293" s="49"/>
      <c r="D293" s="49"/>
      <c r="E293" s="49"/>
      <c r="F293" s="49"/>
      <c r="G293" s="49"/>
    </row>
    <row r="294">
      <c r="B294" s="49"/>
      <c r="C294" s="49"/>
      <c r="D294" s="49"/>
      <c r="E294" s="49"/>
      <c r="F294" s="49"/>
      <c r="G294" s="49"/>
    </row>
    <row r="295">
      <c r="B295" s="49"/>
      <c r="C295" s="49"/>
      <c r="D295" s="49"/>
      <c r="E295" s="49"/>
      <c r="F295" s="49"/>
      <c r="G295" s="49"/>
    </row>
    <row r="296">
      <c r="B296" s="49"/>
      <c r="C296" s="49"/>
      <c r="D296" s="49"/>
      <c r="E296" s="49"/>
      <c r="F296" s="49"/>
      <c r="G296" s="49"/>
    </row>
    <row r="297">
      <c r="B297" s="49"/>
      <c r="C297" s="49"/>
      <c r="D297" s="49"/>
      <c r="E297" s="49"/>
      <c r="F297" s="49"/>
      <c r="G297" s="49"/>
    </row>
    <row r="298">
      <c r="B298" s="49"/>
      <c r="C298" s="49"/>
      <c r="D298" s="49"/>
      <c r="E298" s="49"/>
      <c r="F298" s="49"/>
      <c r="G298" s="49"/>
    </row>
    <row r="299">
      <c r="B299" s="49"/>
      <c r="C299" s="49"/>
      <c r="D299" s="49"/>
      <c r="E299" s="49"/>
      <c r="F299" s="49"/>
      <c r="G299" s="49"/>
    </row>
    <row r="300">
      <c r="B300" s="49"/>
      <c r="C300" s="49"/>
      <c r="D300" s="49"/>
      <c r="E300" s="49"/>
      <c r="F300" s="49"/>
      <c r="G300" s="49"/>
    </row>
    <row r="301">
      <c r="B301" s="49"/>
      <c r="C301" s="49"/>
      <c r="D301" s="49"/>
      <c r="E301" s="49"/>
      <c r="F301" s="49"/>
      <c r="G301" s="49"/>
    </row>
    <row r="302">
      <c r="B302" s="49"/>
      <c r="C302" s="49"/>
      <c r="D302" s="49"/>
      <c r="E302" s="49"/>
      <c r="F302" s="49"/>
      <c r="G302" s="49"/>
    </row>
    <row r="303">
      <c r="B303" s="49"/>
      <c r="C303" s="49"/>
      <c r="D303" s="49"/>
      <c r="E303" s="49"/>
      <c r="F303" s="49"/>
      <c r="G303" s="49"/>
    </row>
    <row r="304">
      <c r="B304" s="49"/>
      <c r="C304" s="49"/>
      <c r="D304" s="49"/>
      <c r="E304" s="49"/>
      <c r="F304" s="49"/>
      <c r="G304" s="49"/>
    </row>
    <row r="305">
      <c r="B305" s="49"/>
      <c r="C305" s="49"/>
      <c r="D305" s="49"/>
      <c r="E305" s="49"/>
      <c r="F305" s="49"/>
      <c r="G305" s="49"/>
    </row>
    <row r="306">
      <c r="B306" s="49"/>
      <c r="C306" s="49"/>
      <c r="D306" s="49"/>
      <c r="E306" s="49"/>
      <c r="F306" s="49"/>
      <c r="G306" s="49"/>
    </row>
    <row r="307">
      <c r="B307" s="49"/>
      <c r="C307" s="49"/>
      <c r="D307" s="49"/>
      <c r="E307" s="49"/>
      <c r="F307" s="49"/>
      <c r="G307" s="49"/>
    </row>
    <row r="308">
      <c r="B308" s="49"/>
      <c r="C308" s="49"/>
      <c r="D308" s="49"/>
      <c r="E308" s="49"/>
      <c r="F308" s="49"/>
      <c r="G308" s="49"/>
    </row>
    <row r="309">
      <c r="B309" s="49"/>
      <c r="C309" s="49"/>
      <c r="D309" s="49"/>
      <c r="E309" s="49"/>
      <c r="F309" s="49"/>
      <c r="G309" s="49"/>
    </row>
    <row r="310">
      <c r="B310" s="49"/>
      <c r="C310" s="49"/>
      <c r="D310" s="49"/>
      <c r="E310" s="49"/>
      <c r="F310" s="49"/>
      <c r="G310" s="49"/>
    </row>
    <row r="311">
      <c r="B311" s="49"/>
      <c r="C311" s="49"/>
      <c r="D311" s="49"/>
      <c r="E311" s="49"/>
      <c r="F311" s="49"/>
      <c r="G311" s="49"/>
    </row>
    <row r="312">
      <c r="B312" s="49"/>
      <c r="C312" s="49"/>
      <c r="D312" s="49"/>
      <c r="E312" s="49"/>
      <c r="F312" s="49"/>
      <c r="G312" s="49"/>
    </row>
    <row r="313">
      <c r="B313" s="49"/>
      <c r="C313" s="49"/>
      <c r="D313" s="49"/>
      <c r="E313" s="49"/>
      <c r="F313" s="49"/>
      <c r="G313" s="49"/>
    </row>
    <row r="314">
      <c r="B314" s="49"/>
      <c r="C314" s="49"/>
      <c r="D314" s="49"/>
      <c r="E314" s="49"/>
      <c r="F314" s="49"/>
      <c r="G314" s="49"/>
    </row>
    <row r="315">
      <c r="B315" s="49"/>
      <c r="C315" s="49"/>
      <c r="D315" s="49"/>
      <c r="E315" s="49"/>
      <c r="F315" s="49"/>
      <c r="G315" s="49"/>
    </row>
    <row r="316">
      <c r="B316" s="49"/>
      <c r="C316" s="49"/>
      <c r="D316" s="49"/>
      <c r="E316" s="49"/>
      <c r="F316" s="49"/>
      <c r="G316" s="49"/>
    </row>
    <row r="317">
      <c r="B317" s="49"/>
      <c r="C317" s="49"/>
      <c r="D317" s="49"/>
      <c r="E317" s="49"/>
      <c r="F317" s="49"/>
      <c r="G317" s="49"/>
    </row>
    <row r="318">
      <c r="B318" s="49"/>
      <c r="C318" s="49"/>
      <c r="D318" s="49"/>
      <c r="E318" s="49"/>
      <c r="F318" s="49"/>
      <c r="G318" s="49"/>
    </row>
    <row r="319">
      <c r="B319" s="49"/>
      <c r="C319" s="49"/>
      <c r="D319" s="49"/>
      <c r="E319" s="49"/>
      <c r="F319" s="49"/>
      <c r="G319" s="49"/>
    </row>
    <row r="320">
      <c r="B320" s="49"/>
      <c r="C320" s="49"/>
      <c r="D320" s="49"/>
      <c r="E320" s="49"/>
      <c r="F320" s="49"/>
      <c r="G320" s="49"/>
    </row>
    <row r="321">
      <c r="B321" s="49"/>
      <c r="C321" s="49"/>
      <c r="D321" s="49"/>
      <c r="E321" s="49"/>
      <c r="F321" s="49"/>
      <c r="G321" s="49"/>
    </row>
    <row r="322">
      <c r="B322" s="49"/>
      <c r="C322" s="49"/>
      <c r="D322" s="49"/>
      <c r="E322" s="49"/>
      <c r="F322" s="49"/>
      <c r="G322" s="49"/>
    </row>
    <row r="323">
      <c r="B323" s="49"/>
      <c r="C323" s="49"/>
      <c r="D323" s="49"/>
      <c r="E323" s="49"/>
      <c r="F323" s="49"/>
      <c r="G323" s="49"/>
    </row>
    <row r="324">
      <c r="B324" s="49"/>
      <c r="C324" s="49"/>
      <c r="D324" s="49"/>
      <c r="E324" s="49"/>
      <c r="F324" s="49"/>
      <c r="G324" s="49"/>
    </row>
    <row r="325">
      <c r="B325" s="49"/>
      <c r="C325" s="49"/>
      <c r="D325" s="49"/>
      <c r="E325" s="49"/>
      <c r="F325" s="49"/>
      <c r="G325" s="49"/>
    </row>
    <row r="326">
      <c r="B326" s="49"/>
      <c r="C326" s="49"/>
      <c r="D326" s="49"/>
      <c r="E326" s="49"/>
      <c r="F326" s="49"/>
      <c r="G326" s="49"/>
    </row>
    <row r="327">
      <c r="B327" s="49"/>
      <c r="C327" s="49"/>
      <c r="D327" s="49"/>
      <c r="E327" s="49"/>
      <c r="F327" s="49"/>
      <c r="G327" s="49"/>
    </row>
    <row r="328">
      <c r="B328" s="49"/>
      <c r="C328" s="49"/>
      <c r="D328" s="49"/>
      <c r="E328" s="49"/>
      <c r="F328" s="49"/>
      <c r="G328" s="49"/>
    </row>
    <row r="329">
      <c r="B329" s="49"/>
      <c r="C329" s="49"/>
      <c r="D329" s="49"/>
      <c r="E329" s="49"/>
      <c r="F329" s="49"/>
      <c r="G329" s="49"/>
    </row>
    <row r="330">
      <c r="B330" s="49"/>
      <c r="C330" s="49"/>
      <c r="D330" s="49"/>
      <c r="E330" s="49"/>
      <c r="F330" s="49"/>
      <c r="G330" s="49"/>
    </row>
    <row r="331">
      <c r="B331" s="49"/>
      <c r="C331" s="49"/>
      <c r="D331" s="49"/>
      <c r="E331" s="49"/>
      <c r="F331" s="49"/>
      <c r="G331" s="49"/>
    </row>
    <row r="332">
      <c r="B332" s="49"/>
      <c r="C332" s="49"/>
      <c r="D332" s="49"/>
      <c r="E332" s="49"/>
      <c r="F332" s="49"/>
      <c r="G332" s="49"/>
    </row>
    <row r="333">
      <c r="B333" s="49"/>
      <c r="C333" s="49"/>
      <c r="D333" s="49"/>
      <c r="E333" s="49"/>
      <c r="F333" s="49"/>
      <c r="G333" s="49"/>
    </row>
    <row r="334">
      <c r="B334" s="49"/>
      <c r="C334" s="49"/>
      <c r="D334" s="49"/>
      <c r="E334" s="49"/>
      <c r="F334" s="49"/>
      <c r="G334" s="49"/>
    </row>
    <row r="335">
      <c r="B335" s="49"/>
      <c r="C335" s="49"/>
      <c r="D335" s="49"/>
      <c r="E335" s="49"/>
      <c r="F335" s="49"/>
      <c r="G335" s="49"/>
    </row>
    <row r="336">
      <c r="B336" s="49"/>
      <c r="C336" s="49"/>
      <c r="D336" s="49"/>
      <c r="E336" s="49"/>
      <c r="F336" s="49"/>
      <c r="G336" s="49"/>
    </row>
    <row r="337">
      <c r="B337" s="49"/>
      <c r="C337" s="49"/>
      <c r="D337" s="49"/>
      <c r="E337" s="49"/>
      <c r="F337" s="49"/>
      <c r="G337" s="49"/>
    </row>
    <row r="338">
      <c r="B338" s="49"/>
      <c r="C338" s="49"/>
      <c r="D338" s="49"/>
      <c r="E338" s="49"/>
      <c r="F338" s="49"/>
      <c r="G338" s="49"/>
    </row>
    <row r="339">
      <c r="B339" s="49"/>
      <c r="C339" s="49"/>
      <c r="D339" s="49"/>
      <c r="E339" s="49"/>
      <c r="F339" s="49"/>
      <c r="G339" s="49"/>
    </row>
    <row r="340">
      <c r="B340" s="49"/>
      <c r="C340" s="49"/>
      <c r="D340" s="49"/>
      <c r="E340" s="49"/>
      <c r="F340" s="49"/>
      <c r="G340" s="49"/>
    </row>
    <row r="341">
      <c r="B341" s="49"/>
      <c r="C341" s="49"/>
      <c r="D341" s="49"/>
      <c r="E341" s="49"/>
      <c r="F341" s="49"/>
      <c r="G341" s="49"/>
    </row>
    <row r="342">
      <c r="B342" s="49"/>
      <c r="C342" s="49"/>
      <c r="D342" s="49"/>
      <c r="E342" s="49"/>
      <c r="F342" s="49"/>
      <c r="G342" s="49"/>
    </row>
    <row r="343">
      <c r="B343" s="49"/>
      <c r="C343" s="49"/>
      <c r="D343" s="49"/>
      <c r="E343" s="49"/>
      <c r="F343" s="49"/>
      <c r="G343" s="49"/>
    </row>
    <row r="344">
      <c r="B344" s="49"/>
      <c r="C344" s="49"/>
      <c r="D344" s="49"/>
      <c r="E344" s="49"/>
      <c r="F344" s="49"/>
      <c r="G344" s="49"/>
    </row>
    <row r="345">
      <c r="B345" s="49"/>
      <c r="C345" s="49"/>
      <c r="D345" s="49"/>
      <c r="E345" s="49"/>
      <c r="F345" s="49"/>
      <c r="G345" s="49"/>
    </row>
    <row r="346">
      <c r="B346" s="49"/>
      <c r="C346" s="49"/>
      <c r="D346" s="49"/>
      <c r="E346" s="49"/>
      <c r="F346" s="49"/>
      <c r="G346" s="49"/>
    </row>
    <row r="347">
      <c r="B347" s="49"/>
      <c r="C347" s="49"/>
      <c r="D347" s="49"/>
      <c r="E347" s="49"/>
      <c r="F347" s="49"/>
      <c r="G347" s="49"/>
    </row>
    <row r="348">
      <c r="B348" s="49"/>
      <c r="C348" s="49"/>
      <c r="D348" s="49"/>
      <c r="E348" s="49"/>
      <c r="F348" s="49"/>
      <c r="G348" s="49"/>
    </row>
    <row r="349">
      <c r="B349" s="49"/>
      <c r="C349" s="49"/>
      <c r="D349" s="49"/>
      <c r="E349" s="49"/>
      <c r="F349" s="49"/>
      <c r="G349" s="49"/>
    </row>
    <row r="350">
      <c r="B350" s="49"/>
      <c r="C350" s="49"/>
      <c r="D350" s="49"/>
      <c r="E350" s="49"/>
      <c r="F350" s="49"/>
      <c r="G350" s="49"/>
    </row>
    <row r="351">
      <c r="B351" s="49"/>
      <c r="C351" s="49"/>
      <c r="D351" s="49"/>
      <c r="E351" s="49"/>
      <c r="F351" s="49"/>
      <c r="G351" s="49"/>
    </row>
    <row r="352">
      <c r="B352" s="49"/>
      <c r="C352" s="49"/>
      <c r="D352" s="49"/>
      <c r="E352" s="49"/>
      <c r="F352" s="49"/>
      <c r="G352" s="49"/>
    </row>
    <row r="353">
      <c r="B353" s="49"/>
      <c r="C353" s="49"/>
      <c r="D353" s="49"/>
      <c r="E353" s="49"/>
      <c r="F353" s="49"/>
      <c r="G353" s="49"/>
    </row>
    <row r="354">
      <c r="B354" s="49"/>
      <c r="C354" s="49"/>
      <c r="D354" s="49"/>
      <c r="E354" s="49"/>
      <c r="F354" s="49"/>
      <c r="G354" s="49"/>
    </row>
    <row r="355">
      <c r="B355" s="49"/>
      <c r="C355" s="49"/>
      <c r="D355" s="49"/>
      <c r="E355" s="49"/>
      <c r="F355" s="49"/>
      <c r="G355" s="49"/>
    </row>
    <row r="356">
      <c r="B356" s="49"/>
      <c r="C356" s="49"/>
      <c r="D356" s="49"/>
      <c r="E356" s="49"/>
      <c r="F356" s="49"/>
      <c r="G356" s="49"/>
    </row>
    <row r="357">
      <c r="B357" s="49"/>
      <c r="C357" s="49"/>
      <c r="D357" s="49"/>
      <c r="E357" s="49"/>
      <c r="F357" s="49"/>
      <c r="G357" s="49"/>
    </row>
    <row r="358">
      <c r="B358" s="49"/>
      <c r="C358" s="49"/>
      <c r="D358" s="49"/>
      <c r="E358" s="49"/>
      <c r="F358" s="49"/>
      <c r="G358" s="49"/>
    </row>
    <row r="359">
      <c r="B359" s="49"/>
      <c r="C359" s="49"/>
      <c r="D359" s="49"/>
      <c r="E359" s="49"/>
      <c r="F359" s="49"/>
      <c r="G359" s="49"/>
    </row>
    <row r="360">
      <c r="B360" s="49"/>
      <c r="C360" s="49"/>
      <c r="D360" s="49"/>
      <c r="E360" s="49"/>
      <c r="F360" s="49"/>
      <c r="G360" s="49"/>
    </row>
    <row r="361">
      <c r="B361" s="49"/>
      <c r="C361" s="49"/>
      <c r="D361" s="49"/>
      <c r="E361" s="49"/>
      <c r="F361" s="49"/>
      <c r="G361" s="49"/>
    </row>
    <row r="362">
      <c r="B362" s="49"/>
      <c r="C362" s="49"/>
      <c r="D362" s="49"/>
      <c r="E362" s="49"/>
      <c r="F362" s="49"/>
      <c r="G362" s="49"/>
    </row>
    <row r="363">
      <c r="B363" s="49"/>
      <c r="C363" s="49"/>
      <c r="D363" s="49"/>
      <c r="E363" s="49"/>
      <c r="F363" s="49"/>
      <c r="G363" s="49"/>
    </row>
    <row r="364">
      <c r="B364" s="49"/>
      <c r="C364" s="49"/>
      <c r="D364" s="49"/>
      <c r="E364" s="49"/>
      <c r="F364" s="49"/>
      <c r="G364" s="49"/>
    </row>
    <row r="365">
      <c r="B365" s="49"/>
      <c r="C365" s="49"/>
      <c r="D365" s="49"/>
      <c r="E365" s="49"/>
      <c r="F365" s="49"/>
      <c r="G365" s="49"/>
    </row>
    <row r="366">
      <c r="B366" s="49"/>
      <c r="C366" s="49"/>
      <c r="D366" s="49"/>
      <c r="E366" s="49"/>
      <c r="F366" s="49"/>
      <c r="G366" s="49"/>
    </row>
    <row r="367">
      <c r="B367" s="49"/>
      <c r="C367" s="49"/>
      <c r="D367" s="49"/>
      <c r="E367" s="49"/>
      <c r="F367" s="49"/>
      <c r="G367" s="49"/>
    </row>
    <row r="368">
      <c r="B368" s="49"/>
      <c r="C368" s="49"/>
      <c r="D368" s="49"/>
      <c r="E368" s="49"/>
      <c r="F368" s="49"/>
      <c r="G368" s="49"/>
    </row>
    <row r="369">
      <c r="B369" s="49"/>
      <c r="C369" s="49"/>
      <c r="D369" s="49"/>
      <c r="E369" s="49"/>
      <c r="F369" s="49"/>
      <c r="G369" s="49"/>
    </row>
    <row r="370">
      <c r="B370" s="49"/>
      <c r="C370" s="49"/>
      <c r="D370" s="49"/>
      <c r="E370" s="49"/>
      <c r="F370" s="49"/>
      <c r="G370" s="49"/>
    </row>
    <row r="371">
      <c r="B371" s="49"/>
      <c r="C371" s="49"/>
      <c r="D371" s="49"/>
      <c r="E371" s="49"/>
      <c r="F371" s="49"/>
      <c r="G371" s="49"/>
    </row>
    <row r="372">
      <c r="B372" s="49"/>
      <c r="C372" s="49"/>
      <c r="D372" s="49"/>
      <c r="E372" s="49"/>
      <c r="F372" s="49"/>
      <c r="G372" s="49"/>
    </row>
    <row r="373">
      <c r="B373" s="49"/>
      <c r="C373" s="49"/>
      <c r="D373" s="49"/>
      <c r="E373" s="49"/>
      <c r="F373" s="49"/>
      <c r="G373" s="49"/>
    </row>
    <row r="374">
      <c r="B374" s="49"/>
      <c r="C374" s="49"/>
      <c r="D374" s="49"/>
      <c r="E374" s="49"/>
      <c r="F374" s="49"/>
      <c r="G374" s="49"/>
    </row>
    <row r="375">
      <c r="B375" s="49"/>
      <c r="C375" s="49"/>
      <c r="D375" s="49"/>
      <c r="E375" s="49"/>
      <c r="F375" s="49"/>
      <c r="G375" s="49"/>
    </row>
    <row r="376">
      <c r="B376" s="49"/>
      <c r="C376" s="49"/>
      <c r="D376" s="49"/>
      <c r="E376" s="49"/>
      <c r="F376" s="49"/>
      <c r="G376" s="49"/>
    </row>
    <row r="377">
      <c r="B377" s="49"/>
      <c r="C377" s="49"/>
      <c r="D377" s="49"/>
      <c r="E377" s="49"/>
      <c r="F377" s="49"/>
      <c r="G377" s="49"/>
    </row>
    <row r="378">
      <c r="B378" s="49"/>
      <c r="C378" s="49"/>
      <c r="D378" s="49"/>
      <c r="E378" s="49"/>
      <c r="F378" s="49"/>
      <c r="G378" s="49"/>
    </row>
    <row r="379">
      <c r="B379" s="49"/>
      <c r="C379" s="49"/>
      <c r="D379" s="49"/>
      <c r="E379" s="49"/>
      <c r="F379" s="49"/>
      <c r="G379" s="49"/>
    </row>
    <row r="380">
      <c r="B380" s="49"/>
      <c r="C380" s="49"/>
      <c r="D380" s="49"/>
      <c r="E380" s="49"/>
      <c r="F380" s="49"/>
      <c r="G380" s="49"/>
    </row>
    <row r="381">
      <c r="B381" s="49"/>
      <c r="C381" s="49"/>
      <c r="D381" s="49"/>
      <c r="E381" s="49"/>
      <c r="F381" s="49"/>
      <c r="G381" s="49"/>
    </row>
    <row r="382">
      <c r="B382" s="49"/>
      <c r="C382" s="49"/>
      <c r="D382" s="49"/>
      <c r="E382" s="49"/>
      <c r="F382" s="49"/>
      <c r="G382" s="49"/>
    </row>
    <row r="383">
      <c r="B383" s="49"/>
      <c r="C383" s="49"/>
      <c r="D383" s="49"/>
      <c r="E383" s="49"/>
      <c r="F383" s="49"/>
      <c r="G383" s="49"/>
    </row>
    <row r="384">
      <c r="B384" s="49"/>
      <c r="C384" s="49"/>
      <c r="D384" s="49"/>
      <c r="E384" s="49"/>
      <c r="F384" s="49"/>
      <c r="G384" s="49"/>
    </row>
    <row r="385">
      <c r="B385" s="49"/>
      <c r="C385" s="49"/>
      <c r="D385" s="49"/>
      <c r="E385" s="49"/>
      <c r="F385" s="49"/>
      <c r="G385" s="49"/>
    </row>
    <row r="386">
      <c r="B386" s="49"/>
      <c r="C386" s="49"/>
      <c r="D386" s="49"/>
      <c r="E386" s="49"/>
      <c r="F386" s="49"/>
      <c r="G386" s="49"/>
    </row>
    <row r="387">
      <c r="B387" s="49"/>
      <c r="C387" s="49"/>
      <c r="D387" s="49"/>
      <c r="E387" s="49"/>
      <c r="F387" s="49"/>
      <c r="G387" s="49"/>
    </row>
    <row r="388">
      <c r="B388" s="49"/>
      <c r="C388" s="49"/>
      <c r="D388" s="49"/>
      <c r="E388" s="49"/>
      <c r="F388" s="49"/>
      <c r="G388" s="49"/>
    </row>
    <row r="389">
      <c r="B389" s="49"/>
      <c r="C389" s="49"/>
      <c r="D389" s="49"/>
      <c r="E389" s="49"/>
      <c r="F389" s="49"/>
      <c r="G389" s="49"/>
    </row>
    <row r="390">
      <c r="B390" s="49"/>
      <c r="C390" s="49"/>
      <c r="D390" s="49"/>
      <c r="E390" s="49"/>
      <c r="F390" s="49"/>
      <c r="G390" s="49"/>
    </row>
    <row r="391">
      <c r="B391" s="49"/>
      <c r="C391" s="49"/>
      <c r="D391" s="49"/>
      <c r="E391" s="49"/>
      <c r="F391" s="49"/>
      <c r="G391" s="49"/>
    </row>
    <row r="392">
      <c r="B392" s="49"/>
      <c r="C392" s="49"/>
      <c r="D392" s="49"/>
      <c r="E392" s="49"/>
      <c r="F392" s="49"/>
      <c r="G392" s="49"/>
    </row>
    <row r="393">
      <c r="B393" s="49"/>
      <c r="C393" s="49"/>
      <c r="D393" s="49"/>
      <c r="E393" s="49"/>
      <c r="F393" s="49"/>
      <c r="G393" s="49"/>
    </row>
    <row r="394">
      <c r="B394" s="49"/>
      <c r="C394" s="49"/>
      <c r="D394" s="49"/>
      <c r="E394" s="49"/>
      <c r="F394" s="49"/>
      <c r="G394" s="49"/>
    </row>
    <row r="395">
      <c r="B395" s="49"/>
      <c r="C395" s="49"/>
      <c r="D395" s="49"/>
      <c r="E395" s="49"/>
      <c r="F395" s="49"/>
      <c r="G395" s="49"/>
    </row>
    <row r="396">
      <c r="B396" s="49"/>
      <c r="C396" s="49"/>
      <c r="D396" s="49"/>
      <c r="E396" s="49"/>
      <c r="F396" s="49"/>
      <c r="G396" s="49"/>
    </row>
    <row r="397">
      <c r="B397" s="49"/>
      <c r="C397" s="49"/>
      <c r="D397" s="49"/>
      <c r="E397" s="49"/>
      <c r="F397" s="49"/>
      <c r="G397" s="49"/>
    </row>
    <row r="398">
      <c r="B398" s="49"/>
      <c r="C398" s="49"/>
      <c r="D398" s="49"/>
      <c r="E398" s="49"/>
      <c r="F398" s="49"/>
      <c r="G398" s="49"/>
    </row>
    <row r="399">
      <c r="B399" s="49"/>
      <c r="C399" s="49"/>
      <c r="D399" s="49"/>
      <c r="E399" s="49"/>
      <c r="F399" s="49"/>
      <c r="G399" s="49"/>
    </row>
    <row r="400">
      <c r="B400" s="49"/>
      <c r="C400" s="49"/>
      <c r="D400" s="49"/>
      <c r="E400" s="49"/>
      <c r="F400" s="49"/>
      <c r="G400" s="49"/>
    </row>
    <row r="401">
      <c r="B401" s="49"/>
      <c r="C401" s="49"/>
      <c r="D401" s="49"/>
      <c r="E401" s="49"/>
      <c r="F401" s="49"/>
      <c r="G401" s="49"/>
    </row>
    <row r="402">
      <c r="B402" s="49"/>
      <c r="C402" s="49"/>
      <c r="D402" s="49"/>
      <c r="E402" s="49"/>
      <c r="F402" s="49"/>
      <c r="G402" s="49"/>
    </row>
    <row r="403">
      <c r="B403" s="49"/>
      <c r="C403" s="49"/>
      <c r="D403" s="49"/>
      <c r="E403" s="49"/>
      <c r="F403" s="49"/>
      <c r="G403" s="49"/>
    </row>
    <row r="404">
      <c r="B404" s="49"/>
      <c r="C404" s="49"/>
      <c r="D404" s="49"/>
      <c r="E404" s="49"/>
      <c r="F404" s="49"/>
      <c r="G404" s="49"/>
    </row>
    <row r="405">
      <c r="B405" s="49"/>
      <c r="C405" s="49"/>
      <c r="D405" s="49"/>
      <c r="E405" s="49"/>
      <c r="F405" s="49"/>
      <c r="G405" s="49"/>
    </row>
    <row r="406">
      <c r="B406" s="49"/>
      <c r="C406" s="49"/>
      <c r="D406" s="49"/>
      <c r="E406" s="49"/>
      <c r="F406" s="49"/>
      <c r="G406" s="49"/>
    </row>
    <row r="407">
      <c r="B407" s="49"/>
      <c r="C407" s="49"/>
      <c r="D407" s="49"/>
      <c r="E407" s="49"/>
      <c r="F407" s="49"/>
      <c r="G407" s="49"/>
    </row>
    <row r="408">
      <c r="B408" s="49"/>
      <c r="C408" s="49"/>
      <c r="D408" s="49"/>
      <c r="E408" s="49"/>
      <c r="F408" s="49"/>
      <c r="G408" s="49"/>
    </row>
    <row r="409">
      <c r="B409" s="49"/>
      <c r="C409" s="49"/>
      <c r="D409" s="49"/>
      <c r="E409" s="49"/>
      <c r="F409" s="49"/>
      <c r="G409" s="49"/>
    </row>
    <row r="410">
      <c r="B410" s="49"/>
      <c r="C410" s="49"/>
      <c r="D410" s="49"/>
      <c r="E410" s="49"/>
      <c r="F410" s="49"/>
      <c r="G410" s="49"/>
    </row>
    <row r="411">
      <c r="B411" s="49"/>
      <c r="C411" s="49"/>
      <c r="D411" s="49"/>
      <c r="E411" s="49"/>
      <c r="F411" s="49"/>
      <c r="G411" s="49"/>
    </row>
    <row r="412">
      <c r="B412" s="49"/>
      <c r="C412" s="49"/>
      <c r="D412" s="49"/>
      <c r="E412" s="49"/>
      <c r="F412" s="49"/>
      <c r="G412" s="49"/>
    </row>
    <row r="413">
      <c r="B413" s="49"/>
      <c r="C413" s="49"/>
      <c r="D413" s="49"/>
      <c r="E413" s="49"/>
      <c r="F413" s="49"/>
      <c r="G413" s="49"/>
    </row>
    <row r="414">
      <c r="B414" s="49"/>
      <c r="C414" s="49"/>
      <c r="D414" s="49"/>
      <c r="E414" s="49"/>
      <c r="F414" s="49"/>
      <c r="G414" s="49"/>
    </row>
    <row r="415">
      <c r="B415" s="49"/>
      <c r="C415" s="49"/>
      <c r="D415" s="49"/>
      <c r="E415" s="49"/>
      <c r="F415" s="49"/>
      <c r="G415" s="49"/>
    </row>
    <row r="416">
      <c r="B416" s="49"/>
      <c r="C416" s="49"/>
      <c r="D416" s="49"/>
      <c r="E416" s="49"/>
      <c r="F416" s="49"/>
      <c r="G416" s="49"/>
    </row>
    <row r="417">
      <c r="B417" s="49"/>
      <c r="C417" s="49"/>
      <c r="D417" s="49"/>
      <c r="E417" s="49"/>
      <c r="F417" s="49"/>
      <c r="G417" s="49"/>
    </row>
    <row r="418">
      <c r="B418" s="49"/>
      <c r="C418" s="49"/>
      <c r="D418" s="49"/>
      <c r="E418" s="49"/>
      <c r="F418" s="49"/>
      <c r="G418" s="49"/>
    </row>
    <row r="419">
      <c r="B419" s="49"/>
      <c r="C419" s="49"/>
      <c r="D419" s="49"/>
      <c r="E419" s="49"/>
      <c r="F419" s="49"/>
      <c r="G419" s="49"/>
    </row>
    <row r="420">
      <c r="B420" s="49"/>
      <c r="C420" s="49"/>
      <c r="D420" s="49"/>
      <c r="E420" s="49"/>
      <c r="F420" s="49"/>
      <c r="G420" s="49"/>
    </row>
    <row r="421">
      <c r="B421" s="49"/>
      <c r="C421" s="49"/>
      <c r="D421" s="49"/>
      <c r="E421" s="49"/>
      <c r="F421" s="49"/>
      <c r="G421" s="49"/>
    </row>
    <row r="422">
      <c r="B422" s="49"/>
      <c r="C422" s="49"/>
      <c r="D422" s="49"/>
      <c r="E422" s="49"/>
      <c r="F422" s="49"/>
      <c r="G422" s="49"/>
    </row>
    <row r="423">
      <c r="B423" s="49"/>
      <c r="C423" s="49"/>
      <c r="D423" s="49"/>
      <c r="E423" s="49"/>
      <c r="F423" s="49"/>
      <c r="G423" s="49"/>
    </row>
    <row r="424">
      <c r="B424" s="49"/>
      <c r="C424" s="49"/>
      <c r="D424" s="49"/>
      <c r="E424" s="49"/>
      <c r="F424" s="49"/>
      <c r="G424" s="49"/>
    </row>
    <row r="425">
      <c r="B425" s="49"/>
      <c r="C425" s="49"/>
      <c r="D425" s="49"/>
      <c r="E425" s="49"/>
      <c r="F425" s="49"/>
      <c r="G425" s="49"/>
    </row>
    <row r="426">
      <c r="B426" s="49"/>
      <c r="C426" s="49"/>
      <c r="D426" s="49"/>
      <c r="E426" s="49"/>
      <c r="F426" s="49"/>
      <c r="G426" s="49"/>
    </row>
    <row r="427">
      <c r="B427" s="49"/>
      <c r="C427" s="49"/>
      <c r="D427" s="49"/>
      <c r="E427" s="49"/>
      <c r="F427" s="49"/>
      <c r="G427" s="49"/>
    </row>
    <row r="428">
      <c r="B428" s="49"/>
      <c r="C428" s="49"/>
      <c r="D428" s="49"/>
      <c r="E428" s="49"/>
      <c r="F428" s="49"/>
      <c r="G428" s="49"/>
    </row>
    <row r="429">
      <c r="B429" s="49"/>
      <c r="C429" s="49"/>
      <c r="D429" s="49"/>
      <c r="E429" s="49"/>
      <c r="F429" s="49"/>
      <c r="G429" s="49"/>
    </row>
    <row r="430">
      <c r="B430" s="49"/>
      <c r="C430" s="49"/>
      <c r="D430" s="49"/>
      <c r="E430" s="49"/>
      <c r="F430" s="49"/>
      <c r="G430" s="49"/>
    </row>
    <row r="431">
      <c r="B431" s="49"/>
      <c r="C431" s="49"/>
      <c r="D431" s="49"/>
      <c r="E431" s="49"/>
      <c r="F431" s="49"/>
      <c r="G431" s="49"/>
    </row>
    <row r="432">
      <c r="B432" s="49"/>
      <c r="C432" s="49"/>
      <c r="D432" s="49"/>
      <c r="E432" s="49"/>
      <c r="F432" s="49"/>
      <c r="G432" s="49"/>
    </row>
    <row r="433">
      <c r="B433" s="49"/>
      <c r="C433" s="49"/>
      <c r="D433" s="49"/>
      <c r="E433" s="49"/>
      <c r="F433" s="49"/>
      <c r="G433" s="49"/>
    </row>
    <row r="434">
      <c r="B434" s="49"/>
      <c r="C434" s="49"/>
      <c r="D434" s="49"/>
      <c r="E434" s="49"/>
      <c r="F434" s="49"/>
      <c r="G434" s="49"/>
    </row>
    <row r="435">
      <c r="B435" s="49"/>
      <c r="C435" s="49"/>
      <c r="D435" s="49"/>
      <c r="E435" s="49"/>
      <c r="F435" s="49"/>
      <c r="G435" s="49"/>
    </row>
    <row r="436">
      <c r="B436" s="49"/>
      <c r="C436" s="49"/>
      <c r="D436" s="49"/>
      <c r="E436" s="49"/>
      <c r="F436" s="49"/>
      <c r="G436" s="49"/>
    </row>
    <row r="437">
      <c r="B437" s="49"/>
      <c r="C437" s="49"/>
      <c r="D437" s="49"/>
      <c r="E437" s="49"/>
      <c r="F437" s="49"/>
      <c r="G437" s="49"/>
    </row>
    <row r="438">
      <c r="B438" s="49"/>
      <c r="C438" s="49"/>
      <c r="D438" s="49"/>
      <c r="E438" s="49"/>
      <c r="F438" s="49"/>
      <c r="G438" s="49"/>
    </row>
    <row r="439">
      <c r="B439" s="49"/>
      <c r="C439" s="49"/>
      <c r="D439" s="49"/>
      <c r="E439" s="49"/>
      <c r="F439" s="49"/>
      <c r="G439" s="49"/>
    </row>
    <row r="440">
      <c r="B440" s="49"/>
      <c r="C440" s="49"/>
      <c r="D440" s="49"/>
      <c r="E440" s="49"/>
      <c r="F440" s="49"/>
      <c r="G440" s="49"/>
    </row>
    <row r="441">
      <c r="B441" s="49"/>
      <c r="C441" s="49"/>
      <c r="D441" s="49"/>
      <c r="E441" s="49"/>
      <c r="F441" s="49"/>
      <c r="G441" s="49"/>
    </row>
    <row r="442">
      <c r="B442" s="49"/>
      <c r="C442" s="49"/>
      <c r="D442" s="49"/>
      <c r="E442" s="49"/>
      <c r="F442" s="49"/>
      <c r="G442" s="49"/>
    </row>
    <row r="443">
      <c r="B443" s="49"/>
      <c r="C443" s="49"/>
      <c r="D443" s="49"/>
      <c r="E443" s="49"/>
      <c r="F443" s="49"/>
      <c r="G443" s="49"/>
    </row>
    <row r="444">
      <c r="B444" s="49"/>
      <c r="C444" s="49"/>
      <c r="D444" s="49"/>
      <c r="E444" s="49"/>
      <c r="F444" s="49"/>
      <c r="G444" s="49"/>
    </row>
    <row r="445">
      <c r="B445" s="49"/>
      <c r="C445" s="49"/>
      <c r="D445" s="49"/>
      <c r="E445" s="49"/>
      <c r="F445" s="49"/>
      <c r="G445" s="49"/>
    </row>
    <row r="446">
      <c r="B446" s="49"/>
      <c r="C446" s="49"/>
      <c r="D446" s="49"/>
      <c r="E446" s="49"/>
      <c r="F446" s="49"/>
      <c r="G446" s="49"/>
    </row>
    <row r="447">
      <c r="B447" s="49"/>
      <c r="C447" s="49"/>
      <c r="D447" s="49"/>
      <c r="E447" s="49"/>
      <c r="F447" s="49"/>
      <c r="G447" s="49"/>
    </row>
    <row r="448">
      <c r="B448" s="49"/>
      <c r="C448" s="49"/>
      <c r="D448" s="49"/>
      <c r="E448" s="49"/>
      <c r="F448" s="49"/>
      <c r="G448" s="49"/>
    </row>
    <row r="449">
      <c r="B449" s="49"/>
      <c r="C449" s="49"/>
      <c r="D449" s="49"/>
      <c r="E449" s="49"/>
      <c r="F449" s="49"/>
      <c r="G449" s="49"/>
    </row>
    <row r="450">
      <c r="B450" s="49"/>
      <c r="C450" s="49"/>
      <c r="D450" s="49"/>
      <c r="E450" s="49"/>
      <c r="F450" s="49"/>
      <c r="G450" s="49"/>
    </row>
    <row r="451">
      <c r="B451" s="49"/>
      <c r="C451" s="49"/>
      <c r="D451" s="49"/>
      <c r="E451" s="49"/>
      <c r="F451" s="49"/>
      <c r="G451" s="49"/>
    </row>
    <row r="452">
      <c r="B452" s="49"/>
      <c r="C452" s="49"/>
      <c r="D452" s="49"/>
      <c r="E452" s="49"/>
      <c r="F452" s="49"/>
      <c r="G452" s="49"/>
    </row>
    <row r="453">
      <c r="B453" s="49"/>
      <c r="C453" s="49"/>
      <c r="D453" s="49"/>
      <c r="E453" s="49"/>
      <c r="F453" s="49"/>
      <c r="G453" s="49"/>
    </row>
    <row r="454">
      <c r="B454" s="49"/>
      <c r="C454" s="49"/>
      <c r="D454" s="49"/>
      <c r="E454" s="49"/>
      <c r="F454" s="49"/>
      <c r="G454" s="49"/>
    </row>
    <row r="455">
      <c r="B455" s="49"/>
      <c r="C455" s="49"/>
      <c r="D455" s="49"/>
      <c r="E455" s="49"/>
      <c r="F455" s="49"/>
      <c r="G455" s="49"/>
    </row>
    <row r="456">
      <c r="B456" s="49"/>
      <c r="C456" s="49"/>
      <c r="D456" s="49"/>
      <c r="E456" s="49"/>
      <c r="F456" s="49"/>
      <c r="G456" s="49"/>
    </row>
    <row r="457">
      <c r="B457" s="49"/>
      <c r="C457" s="49"/>
      <c r="D457" s="49"/>
      <c r="E457" s="49"/>
      <c r="F457" s="49"/>
      <c r="G457" s="49"/>
    </row>
    <row r="458">
      <c r="B458" s="49"/>
      <c r="C458" s="49"/>
      <c r="D458" s="49"/>
      <c r="E458" s="49"/>
      <c r="F458" s="49"/>
      <c r="G458" s="49"/>
    </row>
    <row r="459">
      <c r="B459" s="49"/>
      <c r="C459" s="49"/>
      <c r="D459" s="49"/>
      <c r="E459" s="49"/>
      <c r="F459" s="49"/>
      <c r="G459" s="49"/>
    </row>
    <row r="460">
      <c r="B460" s="49"/>
      <c r="C460" s="49"/>
      <c r="D460" s="49"/>
      <c r="E460" s="49"/>
      <c r="F460" s="49"/>
      <c r="G460" s="49"/>
    </row>
    <row r="461">
      <c r="B461" s="49"/>
      <c r="C461" s="49"/>
      <c r="D461" s="49"/>
      <c r="E461" s="49"/>
      <c r="F461" s="49"/>
      <c r="G461" s="49"/>
    </row>
    <row r="462">
      <c r="B462" s="49"/>
      <c r="C462" s="49"/>
      <c r="D462" s="49"/>
      <c r="E462" s="49"/>
      <c r="F462" s="49"/>
      <c r="G462" s="49"/>
    </row>
    <row r="463">
      <c r="B463" s="49"/>
      <c r="C463" s="49"/>
      <c r="D463" s="49"/>
      <c r="E463" s="49"/>
      <c r="F463" s="49"/>
      <c r="G463" s="49"/>
    </row>
    <row r="464">
      <c r="B464" s="49"/>
      <c r="C464" s="49"/>
      <c r="D464" s="49"/>
      <c r="E464" s="49"/>
      <c r="F464" s="49"/>
      <c r="G464" s="49"/>
    </row>
    <row r="465">
      <c r="B465" s="49"/>
      <c r="C465" s="49"/>
      <c r="D465" s="49"/>
      <c r="E465" s="49"/>
      <c r="F465" s="49"/>
      <c r="G465" s="49"/>
    </row>
    <row r="466">
      <c r="B466" s="49"/>
      <c r="C466" s="49"/>
      <c r="D466" s="49"/>
      <c r="E466" s="49"/>
      <c r="F466" s="49"/>
      <c r="G466" s="49"/>
    </row>
    <row r="467">
      <c r="B467" s="49"/>
      <c r="C467" s="49"/>
      <c r="D467" s="49"/>
      <c r="E467" s="49"/>
      <c r="F467" s="49"/>
      <c r="G467" s="49"/>
    </row>
    <row r="468">
      <c r="B468" s="49"/>
      <c r="C468" s="49"/>
      <c r="D468" s="49"/>
      <c r="E468" s="49"/>
      <c r="F468" s="49"/>
      <c r="G468" s="49"/>
    </row>
    <row r="469">
      <c r="B469" s="49"/>
      <c r="C469" s="49"/>
      <c r="D469" s="49"/>
      <c r="E469" s="49"/>
      <c r="F469" s="49"/>
      <c r="G469" s="49"/>
    </row>
    <row r="470">
      <c r="B470" s="49"/>
      <c r="C470" s="49"/>
      <c r="D470" s="49"/>
      <c r="E470" s="49"/>
      <c r="F470" s="49"/>
      <c r="G470" s="49"/>
    </row>
    <row r="471">
      <c r="B471" s="49"/>
      <c r="C471" s="49"/>
      <c r="D471" s="49"/>
      <c r="E471" s="49"/>
      <c r="F471" s="49"/>
      <c r="G471" s="49"/>
    </row>
    <row r="472">
      <c r="B472" s="49"/>
      <c r="C472" s="49"/>
      <c r="D472" s="49"/>
      <c r="E472" s="49"/>
      <c r="F472" s="49"/>
      <c r="G472" s="49"/>
    </row>
    <row r="473">
      <c r="B473" s="49"/>
      <c r="C473" s="49"/>
      <c r="D473" s="49"/>
      <c r="E473" s="49"/>
      <c r="F473" s="49"/>
      <c r="G473" s="49"/>
    </row>
    <row r="474">
      <c r="B474" s="49"/>
      <c r="C474" s="49"/>
      <c r="D474" s="49"/>
      <c r="E474" s="49"/>
      <c r="F474" s="49"/>
      <c r="G474" s="49"/>
    </row>
    <row r="475">
      <c r="B475" s="49"/>
      <c r="C475" s="49"/>
      <c r="D475" s="49"/>
      <c r="E475" s="49"/>
      <c r="F475" s="49"/>
      <c r="G475" s="49"/>
    </row>
    <row r="476">
      <c r="B476" s="49"/>
      <c r="C476" s="49"/>
      <c r="D476" s="49"/>
      <c r="E476" s="49"/>
      <c r="F476" s="49"/>
      <c r="G476" s="49"/>
    </row>
    <row r="477">
      <c r="B477" s="49"/>
      <c r="C477" s="49"/>
      <c r="D477" s="49"/>
      <c r="E477" s="49"/>
      <c r="F477" s="49"/>
      <c r="G477" s="49"/>
    </row>
    <row r="478">
      <c r="B478" s="49"/>
      <c r="C478" s="49"/>
      <c r="D478" s="49"/>
      <c r="E478" s="49"/>
      <c r="F478" s="49"/>
      <c r="G478" s="49"/>
    </row>
    <row r="479">
      <c r="B479" s="49"/>
      <c r="C479" s="49"/>
      <c r="D479" s="49"/>
      <c r="E479" s="49"/>
      <c r="F479" s="49"/>
      <c r="G479" s="49"/>
    </row>
    <row r="480">
      <c r="B480" s="49"/>
      <c r="C480" s="49"/>
      <c r="D480" s="49"/>
      <c r="E480" s="49"/>
      <c r="F480" s="49"/>
      <c r="G480" s="49"/>
    </row>
    <row r="481">
      <c r="B481" s="49"/>
      <c r="C481" s="49"/>
      <c r="D481" s="49"/>
      <c r="E481" s="49"/>
      <c r="F481" s="49"/>
      <c r="G481" s="49"/>
    </row>
    <row r="482">
      <c r="B482" s="49"/>
      <c r="C482" s="49"/>
      <c r="D482" s="49"/>
      <c r="E482" s="49"/>
      <c r="F482" s="49"/>
      <c r="G482" s="49"/>
    </row>
    <row r="483">
      <c r="B483" s="49"/>
      <c r="C483" s="49"/>
      <c r="D483" s="49"/>
      <c r="E483" s="49"/>
      <c r="F483" s="49"/>
      <c r="G483" s="49"/>
    </row>
    <row r="484">
      <c r="B484" s="49"/>
      <c r="C484" s="49"/>
      <c r="D484" s="49"/>
      <c r="E484" s="49"/>
      <c r="F484" s="49"/>
      <c r="G484" s="49"/>
    </row>
    <row r="485">
      <c r="B485" s="49"/>
      <c r="C485" s="49"/>
      <c r="D485" s="49"/>
      <c r="E485" s="49"/>
      <c r="F485" s="49"/>
      <c r="G485" s="49"/>
    </row>
    <row r="486">
      <c r="B486" s="49"/>
      <c r="C486" s="49"/>
      <c r="D486" s="49"/>
      <c r="E486" s="49"/>
      <c r="F486" s="49"/>
      <c r="G486" s="49"/>
    </row>
    <row r="487">
      <c r="B487" s="49"/>
      <c r="C487" s="49"/>
      <c r="D487" s="49"/>
      <c r="E487" s="49"/>
      <c r="F487" s="49"/>
      <c r="G487" s="49"/>
    </row>
    <row r="488">
      <c r="B488" s="49"/>
      <c r="C488" s="49"/>
      <c r="D488" s="49"/>
      <c r="E488" s="49"/>
      <c r="F488" s="49"/>
      <c r="G488" s="49"/>
    </row>
    <row r="489">
      <c r="B489" s="49"/>
      <c r="C489" s="49"/>
      <c r="D489" s="49"/>
      <c r="E489" s="49"/>
      <c r="F489" s="49"/>
      <c r="G489" s="49"/>
    </row>
    <row r="490">
      <c r="B490" s="49"/>
      <c r="C490" s="49"/>
      <c r="D490" s="49"/>
      <c r="E490" s="49"/>
      <c r="F490" s="49"/>
      <c r="G490" s="49"/>
    </row>
    <row r="491">
      <c r="B491" s="49"/>
      <c r="C491" s="49"/>
      <c r="D491" s="49"/>
      <c r="E491" s="49"/>
      <c r="F491" s="49"/>
      <c r="G491" s="49"/>
    </row>
    <row r="492">
      <c r="B492" s="49"/>
      <c r="C492" s="49"/>
      <c r="D492" s="49"/>
      <c r="E492" s="49"/>
      <c r="F492" s="49"/>
      <c r="G492" s="49"/>
    </row>
    <row r="493">
      <c r="B493" s="49"/>
      <c r="C493" s="49"/>
      <c r="D493" s="49"/>
      <c r="E493" s="49"/>
      <c r="F493" s="49"/>
      <c r="G493" s="49"/>
    </row>
    <row r="494">
      <c r="B494" s="49"/>
      <c r="C494" s="49"/>
      <c r="D494" s="49"/>
      <c r="E494" s="49"/>
      <c r="F494" s="49"/>
      <c r="G494" s="49"/>
    </row>
    <row r="495">
      <c r="B495" s="49"/>
      <c r="C495" s="49"/>
      <c r="D495" s="49"/>
      <c r="E495" s="49"/>
      <c r="F495" s="49"/>
      <c r="G495" s="49"/>
    </row>
    <row r="496">
      <c r="B496" s="49"/>
      <c r="C496" s="49"/>
      <c r="D496" s="49"/>
      <c r="E496" s="49"/>
      <c r="F496" s="49"/>
      <c r="G496" s="49"/>
    </row>
    <row r="497">
      <c r="B497" s="49"/>
      <c r="C497" s="49"/>
      <c r="D497" s="49"/>
      <c r="E497" s="49"/>
      <c r="F497" s="49"/>
      <c r="G497" s="49"/>
    </row>
    <row r="498">
      <c r="B498" s="49"/>
      <c r="C498" s="49"/>
      <c r="D498" s="49"/>
      <c r="E498" s="49"/>
      <c r="F498" s="49"/>
      <c r="G498" s="49"/>
    </row>
    <row r="499">
      <c r="B499" s="49"/>
      <c r="C499" s="49"/>
      <c r="D499" s="49"/>
      <c r="E499" s="49"/>
      <c r="F499" s="49"/>
      <c r="G499" s="49"/>
    </row>
    <row r="500">
      <c r="B500" s="49"/>
      <c r="C500" s="49"/>
      <c r="D500" s="49"/>
      <c r="E500" s="49"/>
      <c r="F500" s="49"/>
      <c r="G500" s="49"/>
    </row>
    <row r="501">
      <c r="B501" s="49"/>
      <c r="C501" s="49"/>
      <c r="D501" s="49"/>
      <c r="E501" s="49"/>
      <c r="F501" s="49"/>
      <c r="G501" s="49"/>
    </row>
    <row r="502">
      <c r="B502" s="49"/>
      <c r="C502" s="49"/>
      <c r="D502" s="49"/>
      <c r="E502" s="49"/>
      <c r="F502" s="49"/>
      <c r="G502" s="49"/>
    </row>
    <row r="503">
      <c r="B503" s="49"/>
      <c r="C503" s="49"/>
      <c r="D503" s="49"/>
      <c r="E503" s="49"/>
      <c r="F503" s="49"/>
      <c r="G503" s="49"/>
    </row>
    <row r="504">
      <c r="B504" s="49"/>
      <c r="C504" s="49"/>
      <c r="D504" s="49"/>
      <c r="E504" s="49"/>
      <c r="F504" s="49"/>
      <c r="G504" s="49"/>
    </row>
    <row r="505">
      <c r="B505" s="49"/>
      <c r="C505" s="49"/>
      <c r="D505" s="49"/>
      <c r="E505" s="49"/>
      <c r="F505" s="49"/>
      <c r="G505" s="49"/>
    </row>
    <row r="506">
      <c r="B506" s="49"/>
      <c r="C506" s="49"/>
      <c r="D506" s="49"/>
      <c r="E506" s="49"/>
      <c r="F506" s="49"/>
      <c r="G506" s="49"/>
    </row>
    <row r="507">
      <c r="B507" s="49"/>
      <c r="C507" s="49"/>
      <c r="D507" s="49"/>
      <c r="E507" s="49"/>
      <c r="F507" s="49"/>
      <c r="G507" s="49"/>
    </row>
    <row r="508">
      <c r="B508" s="49"/>
      <c r="C508" s="49"/>
      <c r="D508" s="49"/>
      <c r="E508" s="49"/>
      <c r="F508" s="49"/>
      <c r="G508" s="49"/>
    </row>
    <row r="509">
      <c r="B509" s="49"/>
      <c r="C509" s="49"/>
      <c r="D509" s="49"/>
      <c r="E509" s="49"/>
      <c r="F509" s="49"/>
      <c r="G509" s="49"/>
    </row>
    <row r="510">
      <c r="B510" s="49"/>
      <c r="C510" s="49"/>
      <c r="D510" s="49"/>
      <c r="E510" s="49"/>
      <c r="F510" s="49"/>
      <c r="G510" s="49"/>
    </row>
    <row r="511">
      <c r="B511" s="49"/>
      <c r="C511" s="49"/>
      <c r="D511" s="49"/>
      <c r="E511" s="49"/>
      <c r="F511" s="49"/>
      <c r="G511" s="49"/>
    </row>
    <row r="512">
      <c r="B512" s="49"/>
      <c r="C512" s="49"/>
      <c r="D512" s="49"/>
      <c r="E512" s="49"/>
      <c r="F512" s="49"/>
      <c r="G512" s="49"/>
    </row>
    <row r="513">
      <c r="B513" s="49"/>
      <c r="C513" s="49"/>
      <c r="D513" s="49"/>
      <c r="E513" s="49"/>
      <c r="F513" s="49"/>
      <c r="G513" s="49"/>
    </row>
    <row r="514">
      <c r="B514" s="49"/>
      <c r="C514" s="49"/>
      <c r="D514" s="49"/>
      <c r="E514" s="49"/>
      <c r="F514" s="49"/>
      <c r="G514" s="49"/>
    </row>
    <row r="515">
      <c r="B515" s="49"/>
      <c r="C515" s="49"/>
      <c r="D515" s="49"/>
      <c r="E515" s="49"/>
      <c r="F515" s="49"/>
      <c r="G515" s="49"/>
    </row>
    <row r="516">
      <c r="B516" s="49"/>
      <c r="C516" s="49"/>
      <c r="D516" s="49"/>
      <c r="E516" s="49"/>
      <c r="F516" s="49"/>
      <c r="G516" s="49"/>
    </row>
    <row r="517">
      <c r="B517" s="49"/>
      <c r="C517" s="49"/>
      <c r="D517" s="49"/>
      <c r="E517" s="49"/>
      <c r="F517" s="49"/>
      <c r="G517" s="49"/>
    </row>
    <row r="518">
      <c r="B518" s="49"/>
      <c r="C518" s="49"/>
      <c r="D518" s="49"/>
      <c r="E518" s="49"/>
      <c r="F518" s="49"/>
      <c r="G518" s="49"/>
    </row>
    <row r="519">
      <c r="B519" s="49"/>
      <c r="C519" s="49"/>
      <c r="D519" s="49"/>
      <c r="E519" s="49"/>
      <c r="F519" s="49"/>
      <c r="G519" s="49"/>
    </row>
    <row r="520">
      <c r="B520" s="49"/>
      <c r="C520" s="49"/>
      <c r="D520" s="49"/>
      <c r="E520" s="49"/>
      <c r="F520" s="49"/>
      <c r="G520" s="49"/>
    </row>
    <row r="521">
      <c r="B521" s="49"/>
      <c r="C521" s="49"/>
      <c r="D521" s="49"/>
      <c r="E521" s="49"/>
      <c r="F521" s="49"/>
      <c r="G521" s="49"/>
    </row>
    <row r="522">
      <c r="B522" s="49"/>
      <c r="C522" s="49"/>
      <c r="D522" s="49"/>
      <c r="E522" s="49"/>
      <c r="F522" s="49"/>
      <c r="G522" s="49"/>
    </row>
    <row r="523">
      <c r="B523" s="49"/>
      <c r="C523" s="49"/>
      <c r="D523" s="49"/>
      <c r="E523" s="49"/>
      <c r="F523" s="49"/>
      <c r="G523" s="49"/>
    </row>
    <row r="524">
      <c r="B524" s="49"/>
      <c r="C524" s="49"/>
      <c r="D524" s="49"/>
      <c r="E524" s="49"/>
      <c r="F524" s="49"/>
      <c r="G524" s="49"/>
    </row>
    <row r="525">
      <c r="B525" s="49"/>
      <c r="C525" s="49"/>
      <c r="D525" s="49"/>
      <c r="E525" s="49"/>
      <c r="F525" s="49"/>
      <c r="G525" s="49"/>
    </row>
    <row r="526">
      <c r="B526" s="49"/>
      <c r="C526" s="49"/>
      <c r="D526" s="49"/>
      <c r="E526" s="49"/>
      <c r="F526" s="49"/>
      <c r="G526" s="49"/>
    </row>
    <row r="527">
      <c r="B527" s="49"/>
      <c r="C527" s="49"/>
      <c r="D527" s="49"/>
      <c r="E527" s="49"/>
      <c r="F527" s="49"/>
      <c r="G527" s="49"/>
    </row>
    <row r="528">
      <c r="B528" s="49"/>
      <c r="C528" s="49"/>
      <c r="D528" s="49"/>
      <c r="E528" s="49"/>
      <c r="F528" s="49"/>
      <c r="G528" s="49"/>
    </row>
    <row r="529">
      <c r="B529" s="49"/>
      <c r="C529" s="49"/>
      <c r="D529" s="49"/>
      <c r="E529" s="49"/>
      <c r="F529" s="49"/>
      <c r="G529" s="49"/>
    </row>
    <row r="530">
      <c r="B530" s="49"/>
      <c r="C530" s="49"/>
      <c r="D530" s="49"/>
      <c r="E530" s="49"/>
      <c r="F530" s="49"/>
      <c r="G530" s="49"/>
    </row>
    <row r="531">
      <c r="B531" s="49"/>
      <c r="C531" s="49"/>
      <c r="D531" s="49"/>
      <c r="E531" s="49"/>
      <c r="F531" s="49"/>
      <c r="G531" s="49"/>
    </row>
    <row r="532">
      <c r="B532" s="49"/>
      <c r="C532" s="49"/>
      <c r="D532" s="49"/>
      <c r="E532" s="49"/>
      <c r="F532" s="49"/>
      <c r="G532" s="49"/>
    </row>
    <row r="533">
      <c r="B533" s="49"/>
      <c r="C533" s="49"/>
      <c r="D533" s="49"/>
      <c r="E533" s="49"/>
      <c r="F533" s="49"/>
      <c r="G533" s="49"/>
    </row>
    <row r="534">
      <c r="B534" s="49"/>
      <c r="C534" s="49"/>
      <c r="D534" s="49"/>
      <c r="E534" s="49"/>
      <c r="F534" s="49"/>
      <c r="G534" s="49"/>
    </row>
    <row r="535">
      <c r="B535" s="49"/>
      <c r="C535" s="49"/>
      <c r="D535" s="49"/>
      <c r="E535" s="49"/>
      <c r="F535" s="49"/>
      <c r="G535" s="49"/>
    </row>
    <row r="536">
      <c r="B536" s="49"/>
      <c r="C536" s="49"/>
      <c r="D536" s="49"/>
      <c r="E536" s="49"/>
      <c r="F536" s="49"/>
      <c r="G536" s="49"/>
    </row>
    <row r="537">
      <c r="B537" s="49"/>
      <c r="C537" s="49"/>
      <c r="D537" s="49"/>
      <c r="E537" s="49"/>
      <c r="F537" s="49"/>
      <c r="G537" s="49"/>
    </row>
    <row r="538">
      <c r="B538" s="49"/>
      <c r="C538" s="49"/>
      <c r="D538" s="49"/>
      <c r="E538" s="49"/>
      <c r="F538" s="49"/>
      <c r="G538" s="49"/>
    </row>
    <row r="539">
      <c r="B539" s="49"/>
      <c r="C539" s="49"/>
      <c r="D539" s="49"/>
      <c r="E539" s="49"/>
      <c r="F539" s="49"/>
      <c r="G539" s="49"/>
    </row>
    <row r="540">
      <c r="B540" s="49"/>
      <c r="C540" s="49"/>
      <c r="D540" s="49"/>
      <c r="E540" s="49"/>
      <c r="F540" s="49"/>
      <c r="G540" s="49"/>
    </row>
    <row r="541">
      <c r="B541" s="49"/>
      <c r="C541" s="49"/>
      <c r="D541" s="49"/>
      <c r="E541" s="49"/>
      <c r="F541" s="49"/>
      <c r="G541" s="49"/>
    </row>
    <row r="542">
      <c r="B542" s="49"/>
      <c r="C542" s="49"/>
      <c r="D542" s="49"/>
      <c r="E542" s="49"/>
      <c r="F542" s="49"/>
      <c r="G542" s="49"/>
    </row>
    <row r="543">
      <c r="B543" s="49"/>
      <c r="C543" s="49"/>
      <c r="D543" s="49"/>
      <c r="E543" s="49"/>
      <c r="F543" s="49"/>
      <c r="G543" s="49"/>
    </row>
    <row r="544">
      <c r="B544" s="49"/>
      <c r="C544" s="49"/>
      <c r="D544" s="49"/>
      <c r="E544" s="49"/>
      <c r="F544" s="49"/>
      <c r="G544" s="49"/>
    </row>
    <row r="545">
      <c r="B545" s="49"/>
      <c r="C545" s="49"/>
      <c r="D545" s="49"/>
      <c r="E545" s="49"/>
      <c r="F545" s="49"/>
      <c r="G545" s="49"/>
    </row>
    <row r="546">
      <c r="B546" s="49"/>
      <c r="C546" s="49"/>
      <c r="D546" s="49"/>
      <c r="E546" s="49"/>
      <c r="F546" s="49"/>
      <c r="G546" s="49"/>
    </row>
    <row r="547">
      <c r="B547" s="49"/>
      <c r="C547" s="49"/>
      <c r="D547" s="49"/>
      <c r="E547" s="49"/>
      <c r="F547" s="49"/>
      <c r="G547" s="49"/>
    </row>
    <row r="548">
      <c r="B548" s="49"/>
      <c r="C548" s="49"/>
      <c r="D548" s="49"/>
      <c r="E548" s="49"/>
      <c r="F548" s="49"/>
      <c r="G548" s="49"/>
    </row>
    <row r="549">
      <c r="B549" s="49"/>
      <c r="C549" s="49"/>
      <c r="D549" s="49"/>
      <c r="E549" s="49"/>
      <c r="F549" s="49"/>
      <c r="G549" s="49"/>
    </row>
    <row r="550">
      <c r="B550" s="49"/>
      <c r="C550" s="49"/>
      <c r="D550" s="49"/>
      <c r="E550" s="49"/>
      <c r="F550" s="49"/>
      <c r="G550" s="49"/>
    </row>
    <row r="551">
      <c r="B551" s="49"/>
      <c r="C551" s="49"/>
      <c r="D551" s="49"/>
      <c r="E551" s="49"/>
      <c r="F551" s="49"/>
      <c r="G551" s="49"/>
    </row>
    <row r="552">
      <c r="B552" s="49"/>
      <c r="C552" s="49"/>
      <c r="D552" s="49"/>
      <c r="E552" s="49"/>
      <c r="F552" s="49"/>
      <c r="G552" s="49"/>
    </row>
    <row r="553">
      <c r="B553" s="49"/>
      <c r="C553" s="49"/>
      <c r="D553" s="49"/>
      <c r="E553" s="49"/>
      <c r="F553" s="49"/>
      <c r="G553" s="49"/>
    </row>
    <row r="554">
      <c r="B554" s="49"/>
      <c r="C554" s="49"/>
      <c r="D554" s="49"/>
      <c r="E554" s="49"/>
      <c r="F554" s="49"/>
      <c r="G554" s="49"/>
    </row>
    <row r="555">
      <c r="B555" s="49"/>
      <c r="C555" s="49"/>
      <c r="D555" s="49"/>
      <c r="E555" s="49"/>
      <c r="F555" s="49"/>
      <c r="G555" s="49"/>
    </row>
    <row r="556">
      <c r="B556" s="49"/>
      <c r="C556" s="49"/>
      <c r="D556" s="49"/>
      <c r="E556" s="49"/>
      <c r="F556" s="49"/>
      <c r="G556" s="49"/>
    </row>
    <row r="557">
      <c r="B557" s="49"/>
      <c r="C557" s="49"/>
      <c r="D557" s="49"/>
      <c r="E557" s="49"/>
      <c r="F557" s="49"/>
      <c r="G557" s="49"/>
    </row>
    <row r="558">
      <c r="B558" s="49"/>
      <c r="C558" s="49"/>
      <c r="D558" s="49"/>
      <c r="E558" s="49"/>
      <c r="F558" s="49"/>
      <c r="G558" s="49"/>
    </row>
    <row r="559">
      <c r="B559" s="49"/>
      <c r="C559" s="49"/>
      <c r="D559" s="49"/>
      <c r="E559" s="49"/>
      <c r="F559" s="49"/>
      <c r="G559" s="49"/>
    </row>
    <row r="560">
      <c r="B560" s="49"/>
      <c r="C560" s="49"/>
      <c r="D560" s="49"/>
      <c r="E560" s="49"/>
      <c r="F560" s="49"/>
      <c r="G560" s="49"/>
    </row>
    <row r="561">
      <c r="B561" s="49"/>
      <c r="C561" s="49"/>
      <c r="D561" s="49"/>
      <c r="E561" s="49"/>
      <c r="F561" s="49"/>
      <c r="G561" s="49"/>
    </row>
    <row r="562">
      <c r="B562" s="49"/>
      <c r="C562" s="49"/>
      <c r="D562" s="49"/>
      <c r="E562" s="49"/>
      <c r="F562" s="49"/>
      <c r="G562" s="49"/>
    </row>
    <row r="563">
      <c r="B563" s="49"/>
      <c r="C563" s="49"/>
      <c r="D563" s="49"/>
      <c r="E563" s="49"/>
      <c r="F563" s="49"/>
      <c r="G563" s="49"/>
    </row>
    <row r="564">
      <c r="B564" s="49"/>
      <c r="C564" s="49"/>
      <c r="D564" s="49"/>
      <c r="E564" s="49"/>
      <c r="F564" s="49"/>
      <c r="G564" s="49"/>
    </row>
    <row r="565">
      <c r="B565" s="49"/>
      <c r="C565" s="49"/>
      <c r="D565" s="49"/>
      <c r="E565" s="49"/>
      <c r="F565" s="49"/>
      <c r="G565" s="49"/>
    </row>
    <row r="566">
      <c r="B566" s="49"/>
      <c r="C566" s="49"/>
      <c r="D566" s="49"/>
      <c r="E566" s="49"/>
      <c r="F566" s="49"/>
      <c r="G566" s="49"/>
    </row>
    <row r="567">
      <c r="B567" s="49"/>
      <c r="C567" s="49"/>
      <c r="D567" s="49"/>
      <c r="E567" s="49"/>
      <c r="F567" s="49"/>
      <c r="G567" s="49"/>
    </row>
    <row r="568">
      <c r="B568" s="49"/>
      <c r="C568" s="49"/>
      <c r="D568" s="49"/>
      <c r="E568" s="49"/>
      <c r="F568" s="49"/>
      <c r="G568" s="49"/>
    </row>
    <row r="569">
      <c r="B569" s="49"/>
      <c r="C569" s="49"/>
      <c r="D569" s="49"/>
      <c r="E569" s="49"/>
      <c r="F569" s="49"/>
      <c r="G569" s="49"/>
    </row>
    <row r="570">
      <c r="B570" s="49"/>
      <c r="C570" s="49"/>
      <c r="D570" s="49"/>
      <c r="E570" s="49"/>
      <c r="F570" s="49"/>
      <c r="G570" s="49"/>
    </row>
    <row r="571">
      <c r="B571" s="49"/>
      <c r="C571" s="49"/>
      <c r="D571" s="49"/>
      <c r="E571" s="49"/>
      <c r="F571" s="49"/>
      <c r="G571" s="49"/>
    </row>
    <row r="572">
      <c r="B572" s="49"/>
      <c r="C572" s="49"/>
      <c r="D572" s="49"/>
      <c r="E572" s="49"/>
      <c r="F572" s="49"/>
      <c r="G572" s="49"/>
    </row>
    <row r="573">
      <c r="B573" s="49"/>
      <c r="C573" s="49"/>
      <c r="D573" s="49"/>
      <c r="E573" s="49"/>
      <c r="F573" s="49"/>
      <c r="G573" s="49"/>
    </row>
    <row r="574">
      <c r="B574" s="49"/>
      <c r="C574" s="49"/>
      <c r="D574" s="49"/>
      <c r="E574" s="49"/>
      <c r="F574" s="49"/>
      <c r="G574" s="49"/>
    </row>
    <row r="575">
      <c r="B575" s="49"/>
      <c r="C575" s="49"/>
      <c r="D575" s="49"/>
      <c r="E575" s="49"/>
      <c r="F575" s="49"/>
      <c r="G575" s="49"/>
    </row>
    <row r="576">
      <c r="B576" s="49"/>
      <c r="C576" s="49"/>
      <c r="D576" s="49"/>
      <c r="E576" s="49"/>
      <c r="F576" s="49"/>
      <c r="G576" s="49"/>
    </row>
    <row r="577">
      <c r="B577" s="49"/>
      <c r="C577" s="49"/>
      <c r="D577" s="49"/>
      <c r="E577" s="49"/>
      <c r="F577" s="49"/>
      <c r="G577" s="49"/>
    </row>
    <row r="578">
      <c r="B578" s="49"/>
      <c r="C578" s="49"/>
      <c r="D578" s="49"/>
      <c r="E578" s="49"/>
      <c r="F578" s="49"/>
      <c r="G578" s="49"/>
    </row>
    <row r="579">
      <c r="B579" s="49"/>
      <c r="C579" s="49"/>
      <c r="D579" s="49"/>
      <c r="E579" s="49"/>
      <c r="F579" s="49"/>
      <c r="G579" s="49"/>
    </row>
    <row r="580">
      <c r="B580" s="49"/>
      <c r="C580" s="49"/>
      <c r="D580" s="49"/>
      <c r="E580" s="49"/>
      <c r="F580" s="49"/>
      <c r="G580" s="49"/>
    </row>
    <row r="581">
      <c r="B581" s="49"/>
      <c r="C581" s="49"/>
      <c r="D581" s="49"/>
      <c r="E581" s="49"/>
      <c r="F581" s="49"/>
      <c r="G581" s="49"/>
    </row>
    <row r="582">
      <c r="B582" s="49"/>
      <c r="C582" s="49"/>
      <c r="D582" s="49"/>
      <c r="E582" s="49"/>
      <c r="F582" s="49"/>
      <c r="G582" s="49"/>
    </row>
    <row r="583">
      <c r="B583" s="49"/>
      <c r="C583" s="49"/>
      <c r="D583" s="49"/>
      <c r="E583" s="49"/>
      <c r="F583" s="49"/>
      <c r="G583" s="49"/>
    </row>
    <row r="584">
      <c r="B584" s="49"/>
      <c r="C584" s="49"/>
      <c r="D584" s="49"/>
      <c r="E584" s="49"/>
      <c r="F584" s="49"/>
      <c r="G584" s="49"/>
    </row>
    <row r="585">
      <c r="B585" s="49"/>
      <c r="C585" s="49"/>
      <c r="D585" s="49"/>
      <c r="E585" s="49"/>
      <c r="F585" s="49"/>
      <c r="G585" s="49"/>
    </row>
    <row r="586">
      <c r="B586" s="49"/>
      <c r="C586" s="49"/>
      <c r="D586" s="49"/>
      <c r="E586" s="49"/>
      <c r="F586" s="49"/>
      <c r="G586" s="49"/>
    </row>
    <row r="587">
      <c r="B587" s="49"/>
      <c r="C587" s="49"/>
      <c r="D587" s="49"/>
      <c r="E587" s="49"/>
      <c r="F587" s="49"/>
      <c r="G587" s="49"/>
    </row>
    <row r="588">
      <c r="B588" s="49"/>
      <c r="C588" s="49"/>
      <c r="D588" s="49"/>
      <c r="E588" s="49"/>
      <c r="F588" s="49"/>
      <c r="G588" s="49"/>
    </row>
    <row r="589">
      <c r="B589" s="49"/>
      <c r="C589" s="49"/>
      <c r="D589" s="49"/>
      <c r="E589" s="49"/>
      <c r="F589" s="49"/>
      <c r="G589" s="49"/>
    </row>
    <row r="590">
      <c r="B590" s="49"/>
      <c r="C590" s="49"/>
      <c r="D590" s="49"/>
      <c r="E590" s="49"/>
      <c r="F590" s="49"/>
      <c r="G590" s="49"/>
    </row>
    <row r="591">
      <c r="B591" s="49"/>
      <c r="C591" s="49"/>
      <c r="D591" s="49"/>
      <c r="E591" s="49"/>
      <c r="F591" s="49"/>
      <c r="G591" s="49"/>
    </row>
    <row r="592">
      <c r="B592" s="49"/>
      <c r="C592" s="49"/>
      <c r="D592" s="49"/>
      <c r="E592" s="49"/>
      <c r="F592" s="49"/>
      <c r="G592" s="49"/>
    </row>
    <row r="593">
      <c r="B593" s="49"/>
      <c r="C593" s="49"/>
      <c r="D593" s="49"/>
      <c r="E593" s="49"/>
      <c r="F593" s="49"/>
      <c r="G593" s="49"/>
    </row>
    <row r="594">
      <c r="B594" s="49"/>
      <c r="C594" s="49"/>
      <c r="D594" s="49"/>
      <c r="E594" s="49"/>
      <c r="F594" s="49"/>
      <c r="G594" s="49"/>
    </row>
    <row r="595">
      <c r="B595" s="49"/>
      <c r="C595" s="49"/>
      <c r="D595" s="49"/>
      <c r="E595" s="49"/>
      <c r="F595" s="49"/>
      <c r="G595" s="49"/>
    </row>
    <row r="596">
      <c r="B596" s="49"/>
      <c r="C596" s="49"/>
      <c r="D596" s="49"/>
      <c r="E596" s="49"/>
      <c r="F596" s="49"/>
      <c r="G596" s="49"/>
    </row>
    <row r="597">
      <c r="B597" s="49"/>
      <c r="C597" s="49"/>
      <c r="D597" s="49"/>
      <c r="E597" s="49"/>
      <c r="F597" s="49"/>
      <c r="G597" s="49"/>
    </row>
    <row r="598">
      <c r="B598" s="49"/>
      <c r="C598" s="49"/>
      <c r="D598" s="49"/>
      <c r="E598" s="49"/>
      <c r="F598" s="49"/>
      <c r="G598" s="49"/>
    </row>
    <row r="599">
      <c r="B599" s="49"/>
      <c r="C599" s="49"/>
      <c r="D599" s="49"/>
      <c r="E599" s="49"/>
      <c r="F599" s="49"/>
      <c r="G599" s="49"/>
    </row>
    <row r="600">
      <c r="B600" s="49"/>
      <c r="C600" s="49"/>
      <c r="D600" s="49"/>
      <c r="E600" s="49"/>
      <c r="F600" s="49"/>
      <c r="G600" s="49"/>
    </row>
    <row r="601">
      <c r="B601" s="49"/>
      <c r="C601" s="49"/>
      <c r="D601" s="49"/>
      <c r="E601" s="49"/>
      <c r="F601" s="49"/>
      <c r="G601" s="49"/>
    </row>
    <row r="602">
      <c r="B602" s="49"/>
      <c r="C602" s="49"/>
      <c r="D602" s="49"/>
      <c r="E602" s="49"/>
      <c r="F602" s="49"/>
      <c r="G602" s="49"/>
    </row>
    <row r="603">
      <c r="B603" s="49"/>
      <c r="C603" s="49"/>
      <c r="D603" s="49"/>
      <c r="E603" s="49"/>
      <c r="F603" s="49"/>
      <c r="G603" s="49"/>
    </row>
    <row r="604">
      <c r="B604" s="49"/>
      <c r="C604" s="49"/>
      <c r="D604" s="49"/>
      <c r="E604" s="49"/>
      <c r="F604" s="49"/>
      <c r="G604" s="49"/>
    </row>
    <row r="605">
      <c r="B605" s="49"/>
      <c r="C605" s="49"/>
      <c r="D605" s="49"/>
      <c r="E605" s="49"/>
      <c r="F605" s="49"/>
      <c r="G605" s="49"/>
    </row>
    <row r="606">
      <c r="B606" s="49"/>
      <c r="C606" s="49"/>
      <c r="D606" s="49"/>
      <c r="E606" s="49"/>
      <c r="F606" s="49"/>
      <c r="G606" s="49"/>
    </row>
    <row r="607">
      <c r="B607" s="49"/>
      <c r="C607" s="49"/>
      <c r="D607" s="49"/>
      <c r="E607" s="49"/>
      <c r="F607" s="49"/>
      <c r="G607" s="49"/>
    </row>
    <row r="608">
      <c r="B608" s="49"/>
      <c r="C608" s="49"/>
      <c r="D608" s="49"/>
      <c r="E608" s="49"/>
      <c r="F608" s="49"/>
      <c r="G608" s="49"/>
    </row>
    <row r="609">
      <c r="B609" s="49"/>
      <c r="C609" s="49"/>
      <c r="D609" s="49"/>
      <c r="E609" s="49"/>
      <c r="F609" s="49"/>
      <c r="G609" s="49"/>
    </row>
    <row r="610">
      <c r="B610" s="49"/>
      <c r="C610" s="49"/>
      <c r="D610" s="49"/>
      <c r="E610" s="49"/>
      <c r="F610" s="49"/>
      <c r="G610" s="49"/>
    </row>
    <row r="611">
      <c r="B611" s="49"/>
      <c r="C611" s="49"/>
      <c r="D611" s="49"/>
      <c r="E611" s="49"/>
      <c r="F611" s="49"/>
      <c r="G611" s="49"/>
    </row>
    <row r="612">
      <c r="B612" s="49"/>
      <c r="C612" s="49"/>
      <c r="D612" s="49"/>
      <c r="E612" s="49"/>
      <c r="F612" s="49"/>
      <c r="G612" s="49"/>
    </row>
    <row r="613">
      <c r="B613" s="49"/>
      <c r="C613" s="49"/>
      <c r="D613" s="49"/>
      <c r="E613" s="49"/>
      <c r="F613" s="49"/>
      <c r="G613" s="49"/>
    </row>
    <row r="614">
      <c r="B614" s="49"/>
      <c r="C614" s="49"/>
      <c r="D614" s="49"/>
      <c r="E614" s="49"/>
      <c r="F614" s="49"/>
      <c r="G614" s="49"/>
    </row>
    <row r="615">
      <c r="B615" s="49"/>
      <c r="C615" s="49"/>
      <c r="D615" s="49"/>
      <c r="E615" s="49"/>
      <c r="F615" s="49"/>
      <c r="G615" s="49"/>
    </row>
    <row r="616">
      <c r="B616" s="49"/>
      <c r="C616" s="49"/>
      <c r="D616" s="49"/>
      <c r="E616" s="49"/>
      <c r="F616" s="49"/>
      <c r="G616" s="49"/>
    </row>
    <row r="617">
      <c r="B617" s="49"/>
      <c r="C617" s="49"/>
      <c r="D617" s="49"/>
      <c r="E617" s="49"/>
      <c r="F617" s="49"/>
      <c r="G617" s="49"/>
    </row>
    <row r="618">
      <c r="B618" s="49"/>
      <c r="C618" s="49"/>
      <c r="D618" s="49"/>
      <c r="E618" s="49"/>
      <c r="F618" s="49"/>
      <c r="G618" s="49"/>
    </row>
    <row r="619">
      <c r="B619" s="49"/>
      <c r="C619" s="49"/>
      <c r="D619" s="49"/>
      <c r="E619" s="49"/>
      <c r="F619" s="49"/>
      <c r="G619" s="49"/>
    </row>
    <row r="620">
      <c r="B620" s="49"/>
      <c r="C620" s="49"/>
      <c r="D620" s="49"/>
      <c r="E620" s="49"/>
      <c r="F620" s="49"/>
      <c r="G620" s="49"/>
    </row>
    <row r="621">
      <c r="B621" s="49"/>
      <c r="C621" s="49"/>
      <c r="D621" s="49"/>
      <c r="E621" s="49"/>
      <c r="F621" s="49"/>
      <c r="G621" s="49"/>
    </row>
    <row r="622">
      <c r="B622" s="49"/>
      <c r="C622" s="49"/>
      <c r="D622" s="49"/>
      <c r="E622" s="49"/>
      <c r="F622" s="49"/>
      <c r="G622" s="49"/>
    </row>
    <row r="623">
      <c r="B623" s="49"/>
      <c r="C623" s="49"/>
      <c r="D623" s="49"/>
      <c r="E623" s="49"/>
      <c r="F623" s="49"/>
      <c r="G623" s="49"/>
    </row>
    <row r="624">
      <c r="B624" s="49"/>
      <c r="C624" s="49"/>
      <c r="D624" s="49"/>
      <c r="E624" s="49"/>
      <c r="F624" s="49"/>
      <c r="G624" s="49"/>
    </row>
    <row r="625">
      <c r="B625" s="49"/>
      <c r="C625" s="49"/>
      <c r="D625" s="49"/>
      <c r="E625" s="49"/>
      <c r="F625" s="49"/>
      <c r="G625" s="49"/>
    </row>
    <row r="626">
      <c r="B626" s="49"/>
      <c r="C626" s="49"/>
      <c r="D626" s="49"/>
      <c r="E626" s="49"/>
      <c r="F626" s="49"/>
      <c r="G626" s="49"/>
    </row>
    <row r="627">
      <c r="B627" s="49"/>
      <c r="C627" s="49"/>
      <c r="D627" s="49"/>
      <c r="E627" s="49"/>
      <c r="F627" s="49"/>
      <c r="G627" s="49"/>
    </row>
    <row r="628">
      <c r="B628" s="49"/>
      <c r="C628" s="49"/>
      <c r="D628" s="49"/>
      <c r="E628" s="49"/>
      <c r="F628" s="49"/>
      <c r="G628" s="49"/>
    </row>
    <row r="629">
      <c r="B629" s="49"/>
      <c r="C629" s="49"/>
      <c r="D629" s="49"/>
      <c r="E629" s="49"/>
      <c r="F629" s="49"/>
      <c r="G629" s="49"/>
    </row>
    <row r="630">
      <c r="B630" s="49"/>
      <c r="C630" s="49"/>
      <c r="D630" s="49"/>
      <c r="E630" s="49"/>
      <c r="F630" s="49"/>
      <c r="G630" s="49"/>
    </row>
    <row r="631">
      <c r="B631" s="49"/>
      <c r="C631" s="49"/>
      <c r="D631" s="49"/>
      <c r="E631" s="49"/>
      <c r="F631" s="49"/>
      <c r="G631" s="49"/>
    </row>
    <row r="632">
      <c r="B632" s="49"/>
      <c r="C632" s="49"/>
      <c r="D632" s="49"/>
      <c r="E632" s="49"/>
      <c r="F632" s="49"/>
      <c r="G632" s="49"/>
    </row>
    <row r="633">
      <c r="B633" s="49"/>
      <c r="C633" s="49"/>
      <c r="D633" s="49"/>
      <c r="E633" s="49"/>
      <c r="F633" s="49"/>
      <c r="G633" s="49"/>
    </row>
    <row r="634">
      <c r="B634" s="49"/>
      <c r="C634" s="49"/>
      <c r="D634" s="49"/>
      <c r="E634" s="49"/>
      <c r="F634" s="49"/>
      <c r="G634" s="49"/>
    </row>
    <row r="635">
      <c r="B635" s="49"/>
      <c r="C635" s="49"/>
      <c r="D635" s="49"/>
      <c r="E635" s="49"/>
      <c r="F635" s="49"/>
      <c r="G635" s="49"/>
    </row>
    <row r="636">
      <c r="B636" s="49"/>
      <c r="C636" s="49"/>
      <c r="D636" s="49"/>
      <c r="E636" s="49"/>
      <c r="F636" s="49"/>
      <c r="G636" s="49"/>
    </row>
    <row r="637">
      <c r="B637" s="49"/>
      <c r="C637" s="49"/>
      <c r="D637" s="49"/>
      <c r="E637" s="49"/>
      <c r="F637" s="49"/>
      <c r="G637" s="49"/>
    </row>
    <row r="638">
      <c r="B638" s="49"/>
      <c r="C638" s="49"/>
      <c r="D638" s="49"/>
      <c r="E638" s="49"/>
      <c r="F638" s="49"/>
      <c r="G638" s="49"/>
    </row>
    <row r="639">
      <c r="B639" s="49"/>
      <c r="C639" s="49"/>
      <c r="D639" s="49"/>
      <c r="E639" s="49"/>
      <c r="F639" s="49"/>
      <c r="G639" s="49"/>
    </row>
    <row r="640">
      <c r="B640" s="49"/>
      <c r="C640" s="49"/>
      <c r="D640" s="49"/>
      <c r="E640" s="49"/>
      <c r="F640" s="49"/>
      <c r="G640" s="49"/>
    </row>
    <row r="641">
      <c r="B641" s="49"/>
      <c r="C641" s="49"/>
      <c r="D641" s="49"/>
      <c r="E641" s="49"/>
      <c r="F641" s="49"/>
      <c r="G641" s="49"/>
    </row>
    <row r="642">
      <c r="B642" s="49"/>
      <c r="C642" s="49"/>
      <c r="D642" s="49"/>
      <c r="E642" s="49"/>
      <c r="F642" s="49"/>
      <c r="G642" s="49"/>
    </row>
    <row r="643">
      <c r="B643" s="49"/>
      <c r="C643" s="49"/>
      <c r="D643" s="49"/>
      <c r="E643" s="49"/>
      <c r="F643" s="49"/>
      <c r="G643" s="49"/>
    </row>
    <row r="644">
      <c r="B644" s="49"/>
      <c r="C644" s="49"/>
      <c r="D644" s="49"/>
      <c r="E644" s="49"/>
      <c r="F644" s="49"/>
      <c r="G644" s="49"/>
    </row>
    <row r="645">
      <c r="B645" s="49"/>
      <c r="C645" s="49"/>
      <c r="D645" s="49"/>
      <c r="E645" s="49"/>
      <c r="F645" s="49"/>
      <c r="G645" s="49"/>
    </row>
    <row r="646">
      <c r="B646" s="49"/>
      <c r="C646" s="49"/>
      <c r="D646" s="49"/>
      <c r="E646" s="49"/>
      <c r="F646" s="49"/>
      <c r="G646" s="49"/>
    </row>
    <row r="647">
      <c r="B647" s="49"/>
      <c r="C647" s="49"/>
      <c r="D647" s="49"/>
      <c r="E647" s="49"/>
      <c r="F647" s="49"/>
      <c r="G647" s="49"/>
    </row>
    <row r="648">
      <c r="B648" s="49"/>
      <c r="C648" s="49"/>
      <c r="D648" s="49"/>
      <c r="E648" s="49"/>
      <c r="F648" s="49"/>
      <c r="G648" s="49"/>
    </row>
    <row r="649">
      <c r="B649" s="49"/>
      <c r="C649" s="49"/>
      <c r="D649" s="49"/>
      <c r="E649" s="49"/>
      <c r="F649" s="49"/>
      <c r="G649" s="49"/>
    </row>
    <row r="650">
      <c r="B650" s="49"/>
      <c r="C650" s="49"/>
      <c r="D650" s="49"/>
      <c r="E650" s="49"/>
      <c r="F650" s="49"/>
      <c r="G650" s="49"/>
    </row>
    <row r="651">
      <c r="B651" s="49"/>
      <c r="C651" s="49"/>
      <c r="D651" s="49"/>
      <c r="E651" s="49"/>
      <c r="F651" s="49"/>
      <c r="G651" s="49"/>
    </row>
    <row r="652">
      <c r="B652" s="49"/>
      <c r="C652" s="49"/>
      <c r="D652" s="49"/>
      <c r="E652" s="49"/>
      <c r="F652" s="49"/>
      <c r="G652" s="49"/>
    </row>
    <row r="653">
      <c r="B653" s="49"/>
      <c r="C653" s="49"/>
      <c r="D653" s="49"/>
      <c r="E653" s="49"/>
      <c r="F653" s="49"/>
      <c r="G653" s="49"/>
    </row>
    <row r="654">
      <c r="B654" s="49"/>
      <c r="C654" s="49"/>
      <c r="D654" s="49"/>
      <c r="E654" s="49"/>
      <c r="F654" s="49"/>
      <c r="G654" s="49"/>
    </row>
    <row r="655">
      <c r="B655" s="49"/>
      <c r="C655" s="49"/>
      <c r="D655" s="49"/>
      <c r="E655" s="49"/>
      <c r="F655" s="49"/>
      <c r="G655" s="49"/>
    </row>
    <row r="656">
      <c r="B656" s="49"/>
      <c r="C656" s="49"/>
      <c r="D656" s="49"/>
      <c r="E656" s="49"/>
      <c r="F656" s="49"/>
      <c r="G656" s="49"/>
    </row>
    <row r="657">
      <c r="B657" s="49"/>
      <c r="C657" s="49"/>
      <c r="D657" s="49"/>
      <c r="E657" s="49"/>
      <c r="F657" s="49"/>
      <c r="G657" s="49"/>
    </row>
    <row r="658">
      <c r="B658" s="49"/>
      <c r="C658" s="49"/>
      <c r="D658" s="49"/>
      <c r="E658" s="49"/>
      <c r="F658" s="49"/>
      <c r="G658" s="49"/>
    </row>
    <row r="659">
      <c r="B659" s="49"/>
      <c r="C659" s="49"/>
      <c r="D659" s="49"/>
      <c r="E659" s="49"/>
      <c r="F659" s="49"/>
      <c r="G659" s="49"/>
    </row>
    <row r="660">
      <c r="B660" s="49"/>
      <c r="C660" s="49"/>
      <c r="D660" s="49"/>
      <c r="E660" s="49"/>
      <c r="F660" s="49"/>
      <c r="G660" s="49"/>
    </row>
    <row r="661">
      <c r="B661" s="49"/>
      <c r="C661" s="49"/>
      <c r="D661" s="49"/>
      <c r="E661" s="49"/>
      <c r="F661" s="49"/>
      <c r="G661" s="49"/>
    </row>
    <row r="662">
      <c r="B662" s="49"/>
      <c r="C662" s="49"/>
      <c r="D662" s="49"/>
      <c r="E662" s="49"/>
      <c r="F662" s="49"/>
      <c r="G662" s="49"/>
    </row>
    <row r="663">
      <c r="B663" s="49"/>
      <c r="C663" s="49"/>
      <c r="D663" s="49"/>
      <c r="E663" s="49"/>
      <c r="F663" s="49"/>
      <c r="G663" s="49"/>
    </row>
    <row r="664">
      <c r="B664" s="49"/>
      <c r="C664" s="49"/>
      <c r="D664" s="49"/>
      <c r="E664" s="49"/>
      <c r="F664" s="49"/>
      <c r="G664" s="49"/>
    </row>
    <row r="665">
      <c r="B665" s="49"/>
      <c r="C665" s="49"/>
      <c r="D665" s="49"/>
      <c r="E665" s="49"/>
      <c r="F665" s="49"/>
      <c r="G665" s="49"/>
    </row>
    <row r="666">
      <c r="B666" s="49"/>
      <c r="C666" s="49"/>
      <c r="D666" s="49"/>
      <c r="E666" s="49"/>
      <c r="F666" s="49"/>
      <c r="G666" s="49"/>
    </row>
    <row r="667">
      <c r="B667" s="49"/>
      <c r="C667" s="49"/>
      <c r="D667" s="49"/>
      <c r="E667" s="49"/>
      <c r="F667" s="49"/>
      <c r="G667" s="49"/>
    </row>
    <row r="668">
      <c r="B668" s="49"/>
      <c r="C668" s="49"/>
      <c r="D668" s="49"/>
      <c r="E668" s="49"/>
      <c r="F668" s="49"/>
      <c r="G668" s="49"/>
    </row>
    <row r="669">
      <c r="B669" s="49"/>
      <c r="C669" s="49"/>
      <c r="D669" s="49"/>
      <c r="E669" s="49"/>
      <c r="F669" s="49"/>
      <c r="G669" s="49"/>
    </row>
    <row r="670">
      <c r="B670" s="49"/>
      <c r="C670" s="49"/>
      <c r="D670" s="49"/>
      <c r="E670" s="49"/>
      <c r="F670" s="49"/>
      <c r="G670" s="49"/>
    </row>
    <row r="671">
      <c r="B671" s="49"/>
      <c r="C671" s="49"/>
      <c r="D671" s="49"/>
      <c r="E671" s="49"/>
      <c r="F671" s="49"/>
      <c r="G671" s="49"/>
    </row>
    <row r="672">
      <c r="B672" s="49"/>
      <c r="C672" s="49"/>
      <c r="D672" s="49"/>
      <c r="E672" s="49"/>
      <c r="F672" s="49"/>
      <c r="G672" s="49"/>
    </row>
    <row r="673">
      <c r="B673" s="49"/>
      <c r="C673" s="49"/>
      <c r="D673" s="49"/>
      <c r="E673" s="49"/>
      <c r="F673" s="49"/>
      <c r="G673" s="49"/>
    </row>
    <row r="674">
      <c r="B674" s="49"/>
      <c r="C674" s="49"/>
      <c r="D674" s="49"/>
      <c r="E674" s="49"/>
      <c r="F674" s="49"/>
      <c r="G674" s="49"/>
    </row>
    <row r="675">
      <c r="B675" s="49"/>
      <c r="C675" s="49"/>
      <c r="D675" s="49"/>
      <c r="E675" s="49"/>
      <c r="F675" s="49"/>
      <c r="G675" s="49"/>
    </row>
    <row r="676">
      <c r="B676" s="49"/>
      <c r="C676" s="49"/>
      <c r="D676" s="49"/>
      <c r="E676" s="49"/>
      <c r="F676" s="49"/>
      <c r="G676" s="49"/>
    </row>
    <row r="677">
      <c r="B677" s="49"/>
      <c r="C677" s="49"/>
      <c r="D677" s="49"/>
      <c r="E677" s="49"/>
      <c r="F677" s="49"/>
      <c r="G677" s="49"/>
    </row>
    <row r="678">
      <c r="B678" s="49"/>
      <c r="C678" s="49"/>
      <c r="D678" s="49"/>
      <c r="E678" s="49"/>
      <c r="F678" s="49"/>
      <c r="G678" s="49"/>
    </row>
    <row r="679">
      <c r="B679" s="49"/>
      <c r="C679" s="49"/>
      <c r="D679" s="49"/>
      <c r="E679" s="49"/>
      <c r="F679" s="49"/>
      <c r="G679" s="49"/>
    </row>
    <row r="680">
      <c r="B680" s="49"/>
      <c r="C680" s="49"/>
      <c r="D680" s="49"/>
      <c r="E680" s="49"/>
      <c r="F680" s="49"/>
      <c r="G680" s="49"/>
    </row>
    <row r="681">
      <c r="B681" s="49"/>
      <c r="C681" s="49"/>
      <c r="D681" s="49"/>
      <c r="E681" s="49"/>
      <c r="F681" s="49"/>
      <c r="G681" s="49"/>
    </row>
    <row r="682">
      <c r="B682" s="49"/>
      <c r="C682" s="49"/>
      <c r="D682" s="49"/>
      <c r="E682" s="49"/>
      <c r="F682" s="49"/>
      <c r="G682" s="49"/>
    </row>
    <row r="683">
      <c r="B683" s="49"/>
      <c r="C683" s="49"/>
      <c r="D683" s="49"/>
      <c r="E683" s="49"/>
      <c r="F683" s="49"/>
      <c r="G683" s="49"/>
    </row>
    <row r="684">
      <c r="B684" s="49"/>
      <c r="C684" s="49"/>
      <c r="D684" s="49"/>
      <c r="E684" s="49"/>
      <c r="F684" s="49"/>
      <c r="G684" s="49"/>
    </row>
    <row r="685">
      <c r="B685" s="49"/>
      <c r="C685" s="49"/>
      <c r="D685" s="49"/>
      <c r="E685" s="49"/>
      <c r="F685" s="49"/>
      <c r="G685" s="49"/>
    </row>
    <row r="686">
      <c r="B686" s="49"/>
      <c r="C686" s="49"/>
      <c r="D686" s="49"/>
      <c r="E686" s="49"/>
      <c r="F686" s="49"/>
      <c r="G686" s="49"/>
    </row>
    <row r="687">
      <c r="B687" s="49"/>
      <c r="C687" s="49"/>
      <c r="D687" s="49"/>
      <c r="E687" s="49"/>
      <c r="F687" s="49"/>
      <c r="G687" s="49"/>
    </row>
    <row r="688">
      <c r="B688" s="49"/>
      <c r="C688" s="49"/>
      <c r="D688" s="49"/>
      <c r="E688" s="49"/>
      <c r="F688" s="49"/>
      <c r="G688" s="49"/>
    </row>
    <row r="689">
      <c r="B689" s="49"/>
      <c r="C689" s="49"/>
      <c r="D689" s="49"/>
      <c r="E689" s="49"/>
      <c r="F689" s="49"/>
      <c r="G689" s="49"/>
    </row>
    <row r="690">
      <c r="B690" s="49"/>
      <c r="C690" s="49"/>
      <c r="D690" s="49"/>
      <c r="E690" s="49"/>
      <c r="F690" s="49"/>
      <c r="G690" s="49"/>
    </row>
    <row r="691">
      <c r="B691" s="49"/>
      <c r="C691" s="49"/>
      <c r="D691" s="49"/>
      <c r="E691" s="49"/>
      <c r="F691" s="49"/>
      <c r="G691" s="49"/>
    </row>
    <row r="692">
      <c r="B692" s="49"/>
      <c r="C692" s="49"/>
      <c r="D692" s="49"/>
      <c r="E692" s="49"/>
      <c r="F692" s="49"/>
      <c r="G692" s="49"/>
    </row>
    <row r="693">
      <c r="B693" s="49"/>
      <c r="C693" s="49"/>
      <c r="D693" s="49"/>
      <c r="E693" s="49"/>
      <c r="F693" s="49"/>
      <c r="G693" s="49"/>
    </row>
    <row r="694">
      <c r="B694" s="49"/>
      <c r="C694" s="49"/>
      <c r="D694" s="49"/>
      <c r="E694" s="49"/>
      <c r="F694" s="49"/>
      <c r="G694" s="49"/>
    </row>
    <row r="695">
      <c r="B695" s="49"/>
      <c r="C695" s="49"/>
      <c r="D695" s="49"/>
      <c r="E695" s="49"/>
      <c r="F695" s="49"/>
      <c r="G695" s="49"/>
    </row>
    <row r="696">
      <c r="B696" s="49"/>
      <c r="C696" s="49"/>
      <c r="D696" s="49"/>
      <c r="E696" s="49"/>
      <c r="F696" s="49"/>
      <c r="G696" s="49"/>
    </row>
    <row r="697">
      <c r="B697" s="49"/>
      <c r="C697" s="49"/>
      <c r="D697" s="49"/>
      <c r="E697" s="49"/>
      <c r="F697" s="49"/>
      <c r="G697" s="49"/>
    </row>
    <row r="698">
      <c r="B698" s="49"/>
      <c r="C698" s="49"/>
      <c r="D698" s="49"/>
      <c r="E698" s="49"/>
      <c r="F698" s="49"/>
      <c r="G698" s="49"/>
    </row>
    <row r="699">
      <c r="B699" s="49"/>
      <c r="C699" s="49"/>
      <c r="D699" s="49"/>
      <c r="E699" s="49"/>
      <c r="F699" s="49"/>
      <c r="G699" s="49"/>
    </row>
    <row r="700">
      <c r="B700" s="49"/>
      <c r="C700" s="49"/>
      <c r="D700" s="49"/>
      <c r="E700" s="49"/>
      <c r="F700" s="49"/>
      <c r="G700" s="49"/>
    </row>
    <row r="701">
      <c r="B701" s="49"/>
      <c r="C701" s="49"/>
      <c r="D701" s="49"/>
      <c r="E701" s="49"/>
      <c r="F701" s="49"/>
      <c r="G701" s="49"/>
    </row>
    <row r="702">
      <c r="B702" s="49"/>
      <c r="C702" s="49"/>
      <c r="D702" s="49"/>
      <c r="E702" s="49"/>
      <c r="F702" s="49"/>
      <c r="G702" s="49"/>
    </row>
    <row r="703">
      <c r="B703" s="49"/>
      <c r="C703" s="49"/>
      <c r="D703" s="49"/>
      <c r="E703" s="49"/>
      <c r="F703" s="49"/>
      <c r="G703" s="49"/>
    </row>
    <row r="704">
      <c r="B704" s="49"/>
      <c r="C704" s="49"/>
      <c r="D704" s="49"/>
      <c r="E704" s="49"/>
      <c r="F704" s="49"/>
      <c r="G704" s="49"/>
    </row>
    <row r="705">
      <c r="B705" s="49"/>
      <c r="C705" s="49"/>
      <c r="D705" s="49"/>
      <c r="E705" s="49"/>
      <c r="F705" s="49"/>
      <c r="G705" s="49"/>
    </row>
    <row r="706">
      <c r="B706" s="49"/>
      <c r="C706" s="49"/>
      <c r="D706" s="49"/>
      <c r="E706" s="49"/>
      <c r="F706" s="49"/>
      <c r="G706" s="49"/>
    </row>
    <row r="707">
      <c r="B707" s="49"/>
      <c r="C707" s="49"/>
      <c r="D707" s="49"/>
      <c r="E707" s="49"/>
      <c r="F707" s="49"/>
      <c r="G707" s="49"/>
    </row>
    <row r="708">
      <c r="B708" s="49"/>
      <c r="C708" s="49"/>
      <c r="D708" s="49"/>
      <c r="E708" s="49"/>
      <c r="F708" s="49"/>
      <c r="G708" s="49"/>
    </row>
    <row r="709">
      <c r="B709" s="49"/>
      <c r="C709" s="49"/>
      <c r="D709" s="49"/>
      <c r="E709" s="49"/>
      <c r="F709" s="49"/>
      <c r="G709" s="49"/>
    </row>
    <row r="710">
      <c r="B710" s="49"/>
      <c r="C710" s="49"/>
      <c r="D710" s="49"/>
      <c r="E710" s="49"/>
      <c r="F710" s="49"/>
      <c r="G710" s="49"/>
    </row>
    <row r="711">
      <c r="B711" s="49"/>
      <c r="C711" s="49"/>
      <c r="D711" s="49"/>
      <c r="E711" s="49"/>
      <c r="F711" s="49"/>
      <c r="G711" s="49"/>
    </row>
    <row r="712">
      <c r="B712" s="49"/>
      <c r="C712" s="49"/>
      <c r="D712" s="49"/>
      <c r="E712" s="49"/>
      <c r="F712" s="49"/>
      <c r="G712" s="49"/>
    </row>
    <row r="713">
      <c r="B713" s="49"/>
      <c r="C713" s="49"/>
      <c r="D713" s="49"/>
      <c r="E713" s="49"/>
      <c r="F713" s="49"/>
      <c r="G713" s="49"/>
    </row>
    <row r="714">
      <c r="B714" s="49"/>
      <c r="C714" s="49"/>
      <c r="D714" s="49"/>
      <c r="E714" s="49"/>
      <c r="F714" s="49"/>
      <c r="G714" s="49"/>
    </row>
    <row r="715">
      <c r="B715" s="49"/>
      <c r="C715" s="49"/>
      <c r="D715" s="49"/>
      <c r="E715" s="49"/>
      <c r="F715" s="49"/>
      <c r="G715" s="49"/>
    </row>
    <row r="716">
      <c r="B716" s="49"/>
      <c r="C716" s="49"/>
      <c r="D716" s="49"/>
      <c r="E716" s="49"/>
      <c r="F716" s="49"/>
      <c r="G716" s="49"/>
    </row>
    <row r="717">
      <c r="B717" s="49"/>
      <c r="C717" s="49"/>
      <c r="D717" s="49"/>
      <c r="E717" s="49"/>
      <c r="F717" s="49"/>
      <c r="G717" s="49"/>
    </row>
    <row r="718">
      <c r="B718" s="49"/>
      <c r="C718" s="49"/>
      <c r="D718" s="49"/>
      <c r="E718" s="49"/>
      <c r="F718" s="49"/>
      <c r="G718" s="49"/>
    </row>
    <row r="719">
      <c r="B719" s="49"/>
      <c r="C719" s="49"/>
      <c r="D719" s="49"/>
      <c r="E719" s="49"/>
      <c r="F719" s="49"/>
      <c r="G719" s="49"/>
    </row>
    <row r="720">
      <c r="B720" s="49"/>
      <c r="C720" s="49"/>
      <c r="D720" s="49"/>
      <c r="E720" s="49"/>
      <c r="F720" s="49"/>
      <c r="G720" s="49"/>
    </row>
    <row r="721">
      <c r="B721" s="49"/>
      <c r="C721" s="49"/>
      <c r="D721" s="49"/>
      <c r="E721" s="49"/>
      <c r="F721" s="49"/>
      <c r="G721" s="49"/>
    </row>
    <row r="722">
      <c r="B722" s="49"/>
      <c r="C722" s="49"/>
      <c r="D722" s="49"/>
      <c r="E722" s="49"/>
      <c r="F722" s="49"/>
      <c r="G722" s="49"/>
    </row>
    <row r="723">
      <c r="B723" s="49"/>
      <c r="C723" s="49"/>
      <c r="D723" s="49"/>
      <c r="E723" s="49"/>
      <c r="F723" s="49"/>
      <c r="G723" s="49"/>
    </row>
    <row r="724">
      <c r="B724" s="49"/>
      <c r="C724" s="49"/>
      <c r="D724" s="49"/>
      <c r="E724" s="49"/>
      <c r="F724" s="49"/>
      <c r="G724" s="49"/>
    </row>
    <row r="725">
      <c r="B725" s="49"/>
      <c r="C725" s="49"/>
      <c r="D725" s="49"/>
      <c r="E725" s="49"/>
      <c r="F725" s="49"/>
      <c r="G725" s="49"/>
    </row>
    <row r="726">
      <c r="B726" s="49"/>
      <c r="C726" s="49"/>
      <c r="D726" s="49"/>
      <c r="E726" s="49"/>
      <c r="F726" s="49"/>
      <c r="G726" s="49"/>
    </row>
    <row r="727">
      <c r="B727" s="49"/>
      <c r="C727" s="49"/>
      <c r="D727" s="49"/>
      <c r="E727" s="49"/>
      <c r="F727" s="49"/>
      <c r="G727" s="49"/>
    </row>
    <row r="728">
      <c r="B728" s="49"/>
      <c r="C728" s="49"/>
      <c r="D728" s="49"/>
      <c r="E728" s="49"/>
      <c r="F728" s="49"/>
      <c r="G728" s="49"/>
    </row>
    <row r="729">
      <c r="B729" s="49"/>
      <c r="C729" s="49"/>
      <c r="D729" s="49"/>
      <c r="E729" s="49"/>
      <c r="F729" s="49"/>
      <c r="G729" s="49"/>
    </row>
    <row r="730">
      <c r="B730" s="49"/>
      <c r="C730" s="49"/>
      <c r="D730" s="49"/>
      <c r="E730" s="49"/>
      <c r="F730" s="49"/>
      <c r="G730" s="49"/>
    </row>
    <row r="731">
      <c r="B731" s="49"/>
      <c r="C731" s="49"/>
      <c r="D731" s="49"/>
      <c r="E731" s="49"/>
      <c r="F731" s="49"/>
      <c r="G731" s="49"/>
    </row>
    <row r="732">
      <c r="B732" s="49"/>
      <c r="C732" s="49"/>
      <c r="D732" s="49"/>
      <c r="E732" s="49"/>
      <c r="F732" s="49"/>
      <c r="G732" s="49"/>
    </row>
    <row r="733">
      <c r="B733" s="49"/>
      <c r="C733" s="49"/>
      <c r="D733" s="49"/>
      <c r="E733" s="49"/>
      <c r="F733" s="49"/>
      <c r="G733" s="49"/>
    </row>
    <row r="734">
      <c r="B734" s="49"/>
      <c r="C734" s="49"/>
      <c r="D734" s="49"/>
      <c r="E734" s="49"/>
      <c r="F734" s="49"/>
      <c r="G734" s="49"/>
    </row>
    <row r="735">
      <c r="B735" s="49"/>
      <c r="C735" s="49"/>
      <c r="D735" s="49"/>
      <c r="E735" s="49"/>
      <c r="F735" s="49"/>
      <c r="G735" s="49"/>
    </row>
    <row r="736">
      <c r="B736" s="49"/>
      <c r="C736" s="49"/>
      <c r="D736" s="49"/>
      <c r="E736" s="49"/>
      <c r="F736" s="49"/>
      <c r="G736" s="49"/>
    </row>
    <row r="737">
      <c r="B737" s="49"/>
      <c r="C737" s="49"/>
      <c r="D737" s="49"/>
      <c r="E737" s="49"/>
      <c r="F737" s="49"/>
      <c r="G737" s="49"/>
    </row>
    <row r="738">
      <c r="B738" s="49"/>
      <c r="C738" s="49"/>
      <c r="D738" s="49"/>
      <c r="E738" s="49"/>
      <c r="F738" s="49"/>
      <c r="G738" s="49"/>
    </row>
    <row r="739">
      <c r="B739" s="49"/>
      <c r="C739" s="49"/>
      <c r="D739" s="49"/>
      <c r="E739" s="49"/>
      <c r="F739" s="49"/>
      <c r="G739" s="49"/>
    </row>
    <row r="740">
      <c r="B740" s="49"/>
      <c r="C740" s="49"/>
      <c r="D740" s="49"/>
      <c r="E740" s="49"/>
      <c r="F740" s="49"/>
      <c r="G740" s="49"/>
    </row>
    <row r="741">
      <c r="B741" s="49"/>
      <c r="C741" s="49"/>
      <c r="D741" s="49"/>
      <c r="E741" s="49"/>
      <c r="F741" s="49"/>
      <c r="G741" s="49"/>
    </row>
    <row r="742">
      <c r="B742" s="49"/>
      <c r="C742" s="49"/>
      <c r="D742" s="49"/>
      <c r="E742" s="49"/>
      <c r="F742" s="49"/>
      <c r="G742" s="49"/>
    </row>
    <row r="743">
      <c r="B743" s="49"/>
      <c r="C743" s="49"/>
      <c r="D743" s="49"/>
      <c r="E743" s="49"/>
      <c r="F743" s="49"/>
      <c r="G743" s="49"/>
    </row>
    <row r="744">
      <c r="B744" s="49"/>
      <c r="C744" s="49"/>
      <c r="D744" s="49"/>
      <c r="E744" s="49"/>
      <c r="F744" s="49"/>
      <c r="G744" s="49"/>
    </row>
    <row r="745">
      <c r="B745" s="49"/>
      <c r="C745" s="49"/>
      <c r="D745" s="49"/>
      <c r="E745" s="49"/>
      <c r="F745" s="49"/>
      <c r="G745" s="49"/>
    </row>
    <row r="746">
      <c r="B746" s="49"/>
      <c r="C746" s="49"/>
      <c r="D746" s="49"/>
      <c r="E746" s="49"/>
      <c r="F746" s="49"/>
      <c r="G746" s="49"/>
    </row>
    <row r="747">
      <c r="B747" s="49"/>
      <c r="C747" s="49"/>
      <c r="D747" s="49"/>
      <c r="E747" s="49"/>
      <c r="F747" s="49"/>
      <c r="G747" s="49"/>
    </row>
    <row r="748">
      <c r="B748" s="49"/>
      <c r="C748" s="49"/>
      <c r="D748" s="49"/>
      <c r="E748" s="49"/>
      <c r="F748" s="49"/>
      <c r="G748" s="49"/>
    </row>
    <row r="749">
      <c r="B749" s="49"/>
      <c r="C749" s="49"/>
      <c r="D749" s="49"/>
      <c r="E749" s="49"/>
      <c r="F749" s="49"/>
      <c r="G749" s="49"/>
    </row>
    <row r="750">
      <c r="B750" s="49"/>
      <c r="C750" s="49"/>
      <c r="D750" s="49"/>
      <c r="E750" s="49"/>
      <c r="F750" s="49"/>
      <c r="G750" s="49"/>
    </row>
    <row r="751">
      <c r="B751" s="49"/>
      <c r="C751" s="49"/>
      <c r="D751" s="49"/>
      <c r="E751" s="49"/>
      <c r="F751" s="49"/>
      <c r="G751" s="49"/>
    </row>
    <row r="752">
      <c r="B752" s="49"/>
      <c r="C752" s="49"/>
      <c r="D752" s="49"/>
      <c r="E752" s="49"/>
      <c r="F752" s="49"/>
      <c r="G752" s="49"/>
    </row>
    <row r="753">
      <c r="B753" s="49"/>
      <c r="C753" s="49"/>
      <c r="D753" s="49"/>
      <c r="E753" s="49"/>
      <c r="F753" s="49"/>
      <c r="G753" s="49"/>
    </row>
    <row r="754">
      <c r="B754" s="49"/>
      <c r="C754" s="49"/>
      <c r="D754" s="49"/>
      <c r="E754" s="49"/>
      <c r="F754" s="49"/>
      <c r="G754" s="49"/>
    </row>
    <row r="755">
      <c r="B755" s="49"/>
      <c r="C755" s="49"/>
      <c r="D755" s="49"/>
      <c r="E755" s="49"/>
      <c r="F755" s="49"/>
      <c r="G755" s="49"/>
    </row>
    <row r="756">
      <c r="B756" s="49"/>
      <c r="C756" s="49"/>
      <c r="D756" s="49"/>
      <c r="E756" s="49"/>
      <c r="F756" s="49"/>
      <c r="G756" s="49"/>
    </row>
    <row r="757">
      <c r="B757" s="49"/>
      <c r="C757" s="49"/>
      <c r="D757" s="49"/>
      <c r="E757" s="49"/>
      <c r="F757" s="49"/>
      <c r="G757" s="49"/>
    </row>
    <row r="758">
      <c r="B758" s="49"/>
      <c r="C758" s="49"/>
      <c r="D758" s="49"/>
      <c r="E758" s="49"/>
      <c r="F758" s="49"/>
      <c r="G758" s="49"/>
    </row>
    <row r="759">
      <c r="B759" s="49"/>
      <c r="C759" s="49"/>
      <c r="D759" s="49"/>
      <c r="E759" s="49"/>
      <c r="F759" s="49"/>
      <c r="G759" s="49"/>
    </row>
    <row r="760">
      <c r="B760" s="49"/>
      <c r="C760" s="49"/>
      <c r="D760" s="49"/>
      <c r="E760" s="49"/>
      <c r="F760" s="49"/>
      <c r="G760" s="49"/>
    </row>
    <row r="761">
      <c r="B761" s="49"/>
      <c r="C761" s="49"/>
      <c r="D761" s="49"/>
      <c r="E761" s="49"/>
      <c r="F761" s="49"/>
      <c r="G761" s="49"/>
    </row>
    <row r="762">
      <c r="B762" s="49"/>
      <c r="C762" s="49"/>
      <c r="D762" s="49"/>
      <c r="E762" s="49"/>
      <c r="F762" s="49"/>
      <c r="G762" s="49"/>
    </row>
    <row r="763">
      <c r="B763" s="49"/>
      <c r="C763" s="49"/>
      <c r="D763" s="49"/>
      <c r="E763" s="49"/>
      <c r="F763" s="49"/>
      <c r="G763" s="49"/>
    </row>
    <row r="764">
      <c r="B764" s="49"/>
      <c r="C764" s="49"/>
      <c r="D764" s="49"/>
      <c r="E764" s="49"/>
      <c r="F764" s="49"/>
      <c r="G764" s="49"/>
    </row>
    <row r="765">
      <c r="B765" s="49"/>
      <c r="C765" s="49"/>
      <c r="D765" s="49"/>
      <c r="E765" s="49"/>
      <c r="F765" s="49"/>
      <c r="G765" s="49"/>
    </row>
    <row r="766">
      <c r="B766" s="49"/>
      <c r="C766" s="49"/>
      <c r="D766" s="49"/>
      <c r="E766" s="49"/>
      <c r="F766" s="49"/>
      <c r="G766" s="49"/>
    </row>
    <row r="767">
      <c r="B767" s="49"/>
      <c r="C767" s="49"/>
      <c r="D767" s="49"/>
      <c r="E767" s="49"/>
      <c r="F767" s="49"/>
      <c r="G767" s="49"/>
    </row>
    <row r="768">
      <c r="B768" s="49"/>
      <c r="C768" s="49"/>
      <c r="D768" s="49"/>
      <c r="E768" s="49"/>
      <c r="F768" s="49"/>
      <c r="G768" s="49"/>
    </row>
    <row r="769">
      <c r="B769" s="49"/>
      <c r="C769" s="49"/>
      <c r="D769" s="49"/>
      <c r="E769" s="49"/>
      <c r="F769" s="49"/>
      <c r="G769" s="49"/>
    </row>
    <row r="770">
      <c r="B770" s="49"/>
      <c r="C770" s="49"/>
      <c r="D770" s="49"/>
      <c r="E770" s="49"/>
      <c r="F770" s="49"/>
      <c r="G770" s="49"/>
    </row>
    <row r="771">
      <c r="B771" s="49"/>
      <c r="C771" s="49"/>
      <c r="D771" s="49"/>
      <c r="E771" s="49"/>
      <c r="F771" s="49"/>
      <c r="G771" s="49"/>
    </row>
    <row r="772">
      <c r="B772" s="49"/>
      <c r="C772" s="49"/>
      <c r="D772" s="49"/>
      <c r="E772" s="49"/>
      <c r="F772" s="49"/>
      <c r="G772" s="49"/>
    </row>
    <row r="773">
      <c r="B773" s="49"/>
      <c r="C773" s="49"/>
      <c r="D773" s="49"/>
      <c r="E773" s="49"/>
      <c r="F773" s="49"/>
      <c r="G773" s="49"/>
    </row>
    <row r="774">
      <c r="B774" s="49"/>
      <c r="C774" s="49"/>
      <c r="D774" s="49"/>
      <c r="E774" s="49"/>
      <c r="F774" s="49"/>
      <c r="G774" s="49"/>
    </row>
    <row r="775">
      <c r="B775" s="49"/>
      <c r="C775" s="49"/>
      <c r="D775" s="49"/>
      <c r="E775" s="49"/>
      <c r="F775" s="49"/>
      <c r="G775" s="49"/>
    </row>
    <row r="776">
      <c r="B776" s="49"/>
      <c r="C776" s="49"/>
      <c r="D776" s="49"/>
      <c r="E776" s="49"/>
      <c r="F776" s="49"/>
      <c r="G776" s="49"/>
    </row>
    <row r="777">
      <c r="B777" s="49"/>
      <c r="C777" s="49"/>
      <c r="D777" s="49"/>
      <c r="E777" s="49"/>
      <c r="F777" s="49"/>
      <c r="G777" s="49"/>
    </row>
    <row r="778">
      <c r="B778" s="49"/>
      <c r="C778" s="49"/>
      <c r="D778" s="49"/>
      <c r="E778" s="49"/>
      <c r="F778" s="49"/>
      <c r="G778" s="49"/>
    </row>
    <row r="779">
      <c r="B779" s="49"/>
      <c r="C779" s="49"/>
      <c r="D779" s="49"/>
      <c r="E779" s="49"/>
      <c r="F779" s="49"/>
      <c r="G779" s="49"/>
    </row>
    <row r="780">
      <c r="B780" s="49"/>
      <c r="C780" s="49"/>
      <c r="D780" s="49"/>
      <c r="E780" s="49"/>
      <c r="F780" s="49"/>
      <c r="G780" s="49"/>
    </row>
    <row r="781">
      <c r="B781" s="49"/>
      <c r="C781" s="49"/>
      <c r="D781" s="49"/>
      <c r="E781" s="49"/>
      <c r="F781" s="49"/>
      <c r="G781" s="49"/>
    </row>
    <row r="782">
      <c r="B782" s="49"/>
      <c r="C782" s="49"/>
      <c r="D782" s="49"/>
      <c r="E782" s="49"/>
      <c r="F782" s="49"/>
      <c r="G782" s="49"/>
    </row>
    <row r="783">
      <c r="B783" s="49"/>
      <c r="C783" s="49"/>
      <c r="D783" s="49"/>
      <c r="E783" s="49"/>
      <c r="F783" s="49"/>
      <c r="G783" s="49"/>
    </row>
    <row r="784">
      <c r="B784" s="49"/>
      <c r="C784" s="49"/>
      <c r="D784" s="49"/>
      <c r="E784" s="49"/>
      <c r="F784" s="49"/>
      <c r="G784" s="49"/>
    </row>
    <row r="785">
      <c r="B785" s="49"/>
      <c r="C785" s="49"/>
      <c r="D785" s="49"/>
      <c r="E785" s="49"/>
      <c r="F785" s="49"/>
      <c r="G785" s="49"/>
    </row>
    <row r="786">
      <c r="B786" s="49"/>
      <c r="C786" s="49"/>
      <c r="D786" s="49"/>
      <c r="E786" s="49"/>
      <c r="F786" s="49"/>
      <c r="G786" s="49"/>
    </row>
    <row r="787">
      <c r="B787" s="49"/>
      <c r="C787" s="49"/>
      <c r="D787" s="49"/>
      <c r="E787" s="49"/>
      <c r="F787" s="49"/>
      <c r="G787" s="49"/>
    </row>
    <row r="788">
      <c r="B788" s="49"/>
      <c r="C788" s="49"/>
      <c r="D788" s="49"/>
      <c r="E788" s="49"/>
      <c r="F788" s="49"/>
      <c r="G788" s="49"/>
    </row>
    <row r="789">
      <c r="B789" s="49"/>
      <c r="C789" s="49"/>
      <c r="D789" s="49"/>
      <c r="E789" s="49"/>
      <c r="F789" s="49"/>
      <c r="G789" s="49"/>
    </row>
    <row r="790">
      <c r="B790" s="49"/>
      <c r="C790" s="49"/>
      <c r="D790" s="49"/>
      <c r="E790" s="49"/>
      <c r="F790" s="49"/>
      <c r="G790" s="49"/>
    </row>
    <row r="791">
      <c r="B791" s="49"/>
      <c r="C791" s="49"/>
      <c r="D791" s="49"/>
      <c r="E791" s="49"/>
      <c r="F791" s="49"/>
      <c r="G791" s="49"/>
    </row>
    <row r="792">
      <c r="B792" s="49"/>
      <c r="C792" s="49"/>
      <c r="D792" s="49"/>
      <c r="E792" s="49"/>
      <c r="F792" s="49"/>
      <c r="G792" s="49"/>
    </row>
    <row r="793">
      <c r="B793" s="49"/>
      <c r="C793" s="49"/>
      <c r="D793" s="49"/>
      <c r="E793" s="49"/>
      <c r="F793" s="49"/>
      <c r="G793" s="49"/>
    </row>
    <row r="794">
      <c r="B794" s="49"/>
      <c r="C794" s="49"/>
      <c r="D794" s="49"/>
      <c r="E794" s="49"/>
      <c r="F794" s="49"/>
      <c r="G794" s="49"/>
    </row>
    <row r="795">
      <c r="B795" s="49"/>
      <c r="C795" s="49"/>
      <c r="D795" s="49"/>
      <c r="E795" s="49"/>
      <c r="F795" s="49"/>
      <c r="G795" s="49"/>
    </row>
    <row r="796">
      <c r="B796" s="49"/>
      <c r="C796" s="49"/>
      <c r="D796" s="49"/>
      <c r="E796" s="49"/>
      <c r="F796" s="49"/>
      <c r="G796" s="49"/>
    </row>
    <row r="797">
      <c r="B797" s="49"/>
      <c r="C797" s="49"/>
      <c r="D797" s="49"/>
      <c r="E797" s="49"/>
      <c r="F797" s="49"/>
      <c r="G797" s="49"/>
    </row>
    <row r="798">
      <c r="B798" s="49"/>
      <c r="C798" s="49"/>
      <c r="D798" s="49"/>
      <c r="E798" s="49"/>
      <c r="F798" s="49"/>
      <c r="G798" s="49"/>
    </row>
    <row r="799">
      <c r="B799" s="49"/>
      <c r="C799" s="49"/>
      <c r="D799" s="49"/>
      <c r="E799" s="49"/>
      <c r="F799" s="49"/>
      <c r="G799" s="49"/>
    </row>
    <row r="800">
      <c r="B800" s="49"/>
      <c r="C800" s="49"/>
      <c r="D800" s="49"/>
      <c r="E800" s="49"/>
      <c r="F800" s="49"/>
      <c r="G800" s="49"/>
    </row>
    <row r="801">
      <c r="B801" s="49"/>
      <c r="C801" s="49"/>
      <c r="D801" s="49"/>
      <c r="E801" s="49"/>
      <c r="F801" s="49"/>
      <c r="G801" s="49"/>
    </row>
    <row r="802">
      <c r="B802" s="49"/>
      <c r="C802" s="49"/>
      <c r="D802" s="49"/>
      <c r="E802" s="49"/>
      <c r="F802" s="49"/>
      <c r="G802" s="49"/>
    </row>
    <row r="803">
      <c r="B803" s="49"/>
      <c r="C803" s="49"/>
      <c r="D803" s="49"/>
      <c r="E803" s="49"/>
      <c r="F803" s="49"/>
      <c r="G803" s="49"/>
    </row>
    <row r="804">
      <c r="B804" s="49"/>
      <c r="C804" s="49"/>
      <c r="D804" s="49"/>
      <c r="E804" s="49"/>
      <c r="F804" s="49"/>
      <c r="G804" s="49"/>
    </row>
    <row r="805">
      <c r="B805" s="49"/>
      <c r="C805" s="49"/>
      <c r="D805" s="49"/>
      <c r="E805" s="49"/>
      <c r="F805" s="49"/>
      <c r="G805" s="49"/>
    </row>
    <row r="806">
      <c r="B806" s="49"/>
      <c r="C806" s="49"/>
      <c r="D806" s="49"/>
      <c r="E806" s="49"/>
      <c r="F806" s="49"/>
      <c r="G806" s="49"/>
    </row>
    <row r="807">
      <c r="B807" s="49"/>
      <c r="C807" s="49"/>
      <c r="D807" s="49"/>
      <c r="E807" s="49"/>
      <c r="F807" s="49"/>
      <c r="G807" s="49"/>
    </row>
    <row r="808">
      <c r="B808" s="49"/>
      <c r="C808" s="49"/>
      <c r="D808" s="49"/>
      <c r="E808" s="49"/>
      <c r="F808" s="49"/>
      <c r="G808" s="49"/>
    </row>
    <row r="809">
      <c r="B809" s="49"/>
      <c r="C809" s="49"/>
      <c r="D809" s="49"/>
      <c r="E809" s="49"/>
      <c r="F809" s="49"/>
      <c r="G809" s="49"/>
    </row>
    <row r="810">
      <c r="B810" s="49"/>
      <c r="C810" s="49"/>
      <c r="D810" s="49"/>
      <c r="E810" s="49"/>
      <c r="F810" s="49"/>
      <c r="G810" s="49"/>
    </row>
    <row r="811">
      <c r="B811" s="49"/>
      <c r="C811" s="49"/>
      <c r="D811" s="49"/>
      <c r="E811" s="49"/>
      <c r="F811" s="49"/>
      <c r="G811" s="49"/>
    </row>
    <row r="812">
      <c r="B812" s="49"/>
      <c r="C812" s="49"/>
      <c r="D812" s="49"/>
      <c r="E812" s="49"/>
      <c r="F812" s="49"/>
      <c r="G812" s="49"/>
    </row>
    <row r="813">
      <c r="B813" s="49"/>
      <c r="C813" s="49"/>
      <c r="D813" s="49"/>
      <c r="E813" s="49"/>
      <c r="F813" s="49"/>
      <c r="G813" s="49"/>
    </row>
    <row r="814">
      <c r="B814" s="49"/>
      <c r="C814" s="49"/>
      <c r="D814" s="49"/>
      <c r="E814" s="49"/>
      <c r="F814" s="49"/>
      <c r="G814" s="49"/>
    </row>
    <row r="815">
      <c r="B815" s="49"/>
      <c r="C815" s="49"/>
      <c r="D815" s="49"/>
      <c r="E815" s="49"/>
      <c r="F815" s="49"/>
      <c r="G815" s="49"/>
    </row>
    <row r="816">
      <c r="B816" s="49"/>
      <c r="C816" s="49"/>
      <c r="D816" s="49"/>
      <c r="E816" s="49"/>
      <c r="F816" s="49"/>
      <c r="G816" s="49"/>
    </row>
    <row r="817">
      <c r="B817" s="49"/>
      <c r="C817" s="49"/>
      <c r="D817" s="49"/>
      <c r="E817" s="49"/>
      <c r="F817" s="49"/>
      <c r="G817" s="49"/>
    </row>
    <row r="818">
      <c r="B818" s="49"/>
      <c r="C818" s="49"/>
      <c r="D818" s="49"/>
      <c r="E818" s="49"/>
      <c r="F818" s="49"/>
      <c r="G818" s="49"/>
    </row>
    <row r="819">
      <c r="B819" s="49"/>
      <c r="C819" s="49"/>
      <c r="D819" s="49"/>
      <c r="E819" s="49"/>
      <c r="F819" s="49"/>
      <c r="G819" s="49"/>
    </row>
    <row r="820">
      <c r="B820" s="49"/>
      <c r="C820" s="49"/>
      <c r="D820" s="49"/>
      <c r="E820" s="49"/>
      <c r="F820" s="49"/>
      <c r="G820" s="49"/>
    </row>
    <row r="821">
      <c r="B821" s="49"/>
      <c r="C821" s="49"/>
      <c r="D821" s="49"/>
      <c r="E821" s="49"/>
      <c r="F821" s="49"/>
      <c r="G821" s="49"/>
    </row>
    <row r="822">
      <c r="B822" s="49"/>
      <c r="C822" s="49"/>
      <c r="D822" s="49"/>
      <c r="E822" s="49"/>
      <c r="F822" s="49"/>
      <c r="G822" s="49"/>
    </row>
    <row r="823">
      <c r="B823" s="49"/>
      <c r="C823" s="49"/>
      <c r="D823" s="49"/>
      <c r="E823" s="49"/>
      <c r="F823" s="49"/>
      <c r="G823" s="49"/>
    </row>
    <row r="824">
      <c r="B824" s="49"/>
      <c r="C824" s="49"/>
      <c r="D824" s="49"/>
      <c r="E824" s="49"/>
      <c r="F824" s="49"/>
      <c r="G824" s="49"/>
    </row>
    <row r="825">
      <c r="B825" s="49"/>
      <c r="C825" s="49"/>
      <c r="D825" s="49"/>
      <c r="E825" s="49"/>
      <c r="F825" s="49"/>
      <c r="G825" s="49"/>
    </row>
    <row r="826">
      <c r="B826" s="49"/>
      <c r="C826" s="49"/>
      <c r="D826" s="49"/>
      <c r="E826" s="49"/>
      <c r="F826" s="49"/>
      <c r="G826" s="49"/>
    </row>
    <row r="827">
      <c r="B827" s="49"/>
      <c r="C827" s="49"/>
      <c r="D827" s="49"/>
      <c r="E827" s="49"/>
      <c r="F827" s="49"/>
      <c r="G827" s="49"/>
    </row>
    <row r="828">
      <c r="B828" s="49"/>
      <c r="C828" s="49"/>
      <c r="D828" s="49"/>
      <c r="E828" s="49"/>
      <c r="F828" s="49"/>
      <c r="G828" s="49"/>
    </row>
    <row r="829">
      <c r="B829" s="49"/>
      <c r="C829" s="49"/>
      <c r="D829" s="49"/>
      <c r="E829" s="49"/>
      <c r="F829" s="49"/>
      <c r="G829" s="49"/>
    </row>
    <row r="830">
      <c r="B830" s="49"/>
      <c r="C830" s="49"/>
      <c r="D830" s="49"/>
      <c r="E830" s="49"/>
      <c r="F830" s="49"/>
      <c r="G830" s="49"/>
    </row>
    <row r="831">
      <c r="B831" s="49"/>
      <c r="C831" s="49"/>
      <c r="D831" s="49"/>
      <c r="E831" s="49"/>
      <c r="F831" s="49"/>
      <c r="G831" s="49"/>
    </row>
    <row r="832">
      <c r="B832" s="49"/>
      <c r="C832" s="49"/>
      <c r="D832" s="49"/>
      <c r="E832" s="49"/>
      <c r="F832" s="49"/>
      <c r="G832" s="49"/>
    </row>
    <row r="833">
      <c r="B833" s="49"/>
      <c r="C833" s="49"/>
      <c r="D833" s="49"/>
      <c r="E833" s="49"/>
      <c r="F833" s="49"/>
      <c r="G833" s="49"/>
    </row>
    <row r="834">
      <c r="B834" s="49"/>
      <c r="C834" s="49"/>
      <c r="D834" s="49"/>
      <c r="E834" s="49"/>
      <c r="F834" s="49"/>
      <c r="G834" s="49"/>
    </row>
    <row r="835">
      <c r="B835" s="49"/>
      <c r="C835" s="49"/>
      <c r="D835" s="49"/>
      <c r="E835" s="49"/>
      <c r="F835" s="49"/>
      <c r="G835" s="49"/>
    </row>
    <row r="836">
      <c r="B836" s="49"/>
      <c r="C836" s="49"/>
      <c r="D836" s="49"/>
      <c r="E836" s="49"/>
      <c r="F836" s="49"/>
      <c r="G836" s="49"/>
    </row>
    <row r="837">
      <c r="B837" s="49"/>
      <c r="C837" s="49"/>
      <c r="D837" s="49"/>
      <c r="E837" s="49"/>
      <c r="F837" s="49"/>
      <c r="G837" s="49"/>
    </row>
    <row r="838">
      <c r="B838" s="49"/>
      <c r="C838" s="49"/>
      <c r="D838" s="49"/>
      <c r="E838" s="49"/>
      <c r="F838" s="49"/>
      <c r="G838" s="49"/>
    </row>
    <row r="839">
      <c r="B839" s="49"/>
      <c r="C839" s="49"/>
      <c r="D839" s="49"/>
      <c r="E839" s="49"/>
      <c r="F839" s="49"/>
      <c r="G839" s="49"/>
    </row>
    <row r="840">
      <c r="B840" s="49"/>
      <c r="C840" s="49"/>
      <c r="D840" s="49"/>
      <c r="E840" s="49"/>
      <c r="F840" s="49"/>
      <c r="G840" s="49"/>
    </row>
    <row r="841">
      <c r="B841" s="49"/>
      <c r="C841" s="49"/>
      <c r="D841" s="49"/>
      <c r="E841" s="49"/>
      <c r="F841" s="49"/>
      <c r="G841" s="49"/>
    </row>
    <row r="842">
      <c r="B842" s="49"/>
      <c r="C842" s="49"/>
      <c r="D842" s="49"/>
      <c r="E842" s="49"/>
      <c r="F842" s="49"/>
      <c r="G842" s="49"/>
    </row>
    <row r="843">
      <c r="B843" s="49"/>
      <c r="C843" s="49"/>
      <c r="D843" s="49"/>
      <c r="E843" s="49"/>
      <c r="F843" s="49"/>
      <c r="G843" s="49"/>
    </row>
    <row r="844">
      <c r="B844" s="49"/>
      <c r="C844" s="49"/>
      <c r="D844" s="49"/>
      <c r="E844" s="49"/>
      <c r="F844" s="49"/>
      <c r="G844" s="49"/>
    </row>
    <row r="845">
      <c r="B845" s="49"/>
      <c r="C845" s="49"/>
      <c r="D845" s="49"/>
      <c r="E845" s="49"/>
      <c r="F845" s="49"/>
      <c r="G845" s="49"/>
    </row>
    <row r="846">
      <c r="B846" s="49"/>
      <c r="C846" s="49"/>
      <c r="D846" s="49"/>
      <c r="E846" s="49"/>
      <c r="F846" s="49"/>
      <c r="G846" s="49"/>
    </row>
    <row r="847">
      <c r="B847" s="49"/>
      <c r="C847" s="49"/>
      <c r="D847" s="49"/>
      <c r="E847" s="49"/>
      <c r="F847" s="49"/>
      <c r="G847" s="49"/>
    </row>
    <row r="848">
      <c r="B848" s="49"/>
      <c r="C848" s="49"/>
      <c r="D848" s="49"/>
      <c r="E848" s="49"/>
      <c r="F848" s="49"/>
      <c r="G848" s="49"/>
    </row>
    <row r="849">
      <c r="B849" s="49"/>
      <c r="C849" s="49"/>
      <c r="D849" s="49"/>
      <c r="E849" s="49"/>
      <c r="F849" s="49"/>
      <c r="G849" s="49"/>
    </row>
    <row r="850">
      <c r="B850" s="49"/>
      <c r="C850" s="49"/>
      <c r="D850" s="49"/>
      <c r="E850" s="49"/>
      <c r="F850" s="49"/>
      <c r="G850" s="49"/>
    </row>
    <row r="851">
      <c r="B851" s="49"/>
      <c r="C851" s="49"/>
      <c r="D851" s="49"/>
      <c r="E851" s="49"/>
      <c r="F851" s="49"/>
      <c r="G851" s="49"/>
    </row>
    <row r="852">
      <c r="B852" s="49"/>
      <c r="C852" s="49"/>
      <c r="D852" s="49"/>
      <c r="E852" s="49"/>
      <c r="F852" s="49"/>
      <c r="G852" s="49"/>
    </row>
    <row r="853">
      <c r="B853" s="49"/>
      <c r="C853" s="49"/>
      <c r="D853" s="49"/>
      <c r="E853" s="49"/>
      <c r="F853" s="49"/>
      <c r="G853" s="49"/>
    </row>
    <row r="854">
      <c r="B854" s="49"/>
      <c r="C854" s="49"/>
      <c r="D854" s="49"/>
      <c r="E854" s="49"/>
      <c r="F854" s="49"/>
      <c r="G854" s="49"/>
    </row>
    <row r="855">
      <c r="B855" s="49"/>
      <c r="C855" s="49"/>
      <c r="D855" s="49"/>
      <c r="E855" s="49"/>
      <c r="F855" s="49"/>
      <c r="G855" s="49"/>
    </row>
    <row r="856">
      <c r="B856" s="49"/>
      <c r="C856" s="49"/>
      <c r="D856" s="49"/>
      <c r="E856" s="49"/>
      <c r="F856" s="49"/>
      <c r="G856" s="49"/>
    </row>
    <row r="857">
      <c r="B857" s="49"/>
      <c r="C857" s="49"/>
      <c r="D857" s="49"/>
      <c r="E857" s="49"/>
      <c r="F857" s="49"/>
      <c r="G857" s="49"/>
    </row>
    <row r="858">
      <c r="B858" s="49"/>
      <c r="C858" s="49"/>
      <c r="D858" s="49"/>
      <c r="E858" s="49"/>
      <c r="F858" s="49"/>
      <c r="G858" s="49"/>
    </row>
    <row r="859">
      <c r="B859" s="49"/>
      <c r="C859" s="49"/>
      <c r="D859" s="49"/>
      <c r="E859" s="49"/>
      <c r="F859" s="49"/>
      <c r="G859" s="49"/>
    </row>
    <row r="860">
      <c r="B860" s="49"/>
      <c r="C860" s="49"/>
      <c r="D860" s="49"/>
      <c r="E860" s="49"/>
      <c r="F860" s="49"/>
      <c r="G860" s="49"/>
    </row>
    <row r="861">
      <c r="B861" s="49"/>
      <c r="C861" s="49"/>
      <c r="D861" s="49"/>
      <c r="E861" s="49"/>
      <c r="F861" s="49"/>
      <c r="G861" s="49"/>
    </row>
    <row r="862">
      <c r="B862" s="49"/>
      <c r="C862" s="49"/>
      <c r="D862" s="49"/>
      <c r="E862" s="49"/>
      <c r="F862" s="49"/>
      <c r="G862" s="49"/>
    </row>
    <row r="863">
      <c r="B863" s="49"/>
      <c r="C863" s="49"/>
      <c r="D863" s="49"/>
      <c r="E863" s="49"/>
      <c r="F863" s="49"/>
      <c r="G863" s="49"/>
    </row>
    <row r="864">
      <c r="B864" s="49"/>
      <c r="C864" s="49"/>
      <c r="D864" s="49"/>
      <c r="E864" s="49"/>
      <c r="F864" s="49"/>
      <c r="G864" s="49"/>
    </row>
    <row r="865">
      <c r="B865" s="49"/>
      <c r="C865" s="49"/>
      <c r="D865" s="49"/>
      <c r="E865" s="49"/>
      <c r="F865" s="49"/>
      <c r="G865" s="49"/>
    </row>
    <row r="866">
      <c r="B866" s="49"/>
      <c r="C866" s="49"/>
      <c r="D866" s="49"/>
      <c r="E866" s="49"/>
      <c r="F866" s="49"/>
      <c r="G866" s="49"/>
    </row>
    <row r="867">
      <c r="B867" s="49"/>
      <c r="C867" s="49"/>
      <c r="D867" s="49"/>
      <c r="E867" s="49"/>
      <c r="F867" s="49"/>
      <c r="G867" s="49"/>
    </row>
    <row r="868">
      <c r="B868" s="49"/>
      <c r="C868" s="49"/>
      <c r="D868" s="49"/>
      <c r="E868" s="49"/>
      <c r="F868" s="49"/>
      <c r="G868" s="49"/>
    </row>
    <row r="869">
      <c r="B869" s="49"/>
      <c r="C869" s="49"/>
      <c r="D869" s="49"/>
      <c r="E869" s="49"/>
      <c r="F869" s="49"/>
      <c r="G869" s="49"/>
    </row>
    <row r="870">
      <c r="B870" s="49"/>
      <c r="C870" s="49"/>
      <c r="D870" s="49"/>
      <c r="E870" s="49"/>
      <c r="F870" s="49"/>
      <c r="G870" s="49"/>
    </row>
    <row r="871">
      <c r="B871" s="49"/>
      <c r="C871" s="49"/>
      <c r="D871" s="49"/>
      <c r="E871" s="49"/>
      <c r="F871" s="49"/>
      <c r="G871" s="49"/>
    </row>
    <row r="872">
      <c r="B872" s="49"/>
      <c r="C872" s="49"/>
      <c r="D872" s="49"/>
      <c r="E872" s="49"/>
      <c r="F872" s="49"/>
      <c r="G872" s="49"/>
    </row>
    <row r="873">
      <c r="B873" s="49"/>
      <c r="C873" s="49"/>
      <c r="D873" s="49"/>
      <c r="E873" s="49"/>
      <c r="F873" s="49"/>
      <c r="G873" s="49"/>
    </row>
    <row r="874">
      <c r="B874" s="49"/>
      <c r="C874" s="49"/>
      <c r="D874" s="49"/>
      <c r="E874" s="49"/>
      <c r="F874" s="49"/>
      <c r="G874" s="49"/>
    </row>
    <row r="875">
      <c r="B875" s="49"/>
      <c r="C875" s="49"/>
      <c r="D875" s="49"/>
      <c r="E875" s="49"/>
      <c r="F875" s="49"/>
      <c r="G875" s="49"/>
    </row>
    <row r="876">
      <c r="B876" s="49"/>
      <c r="C876" s="49"/>
      <c r="D876" s="49"/>
      <c r="E876" s="49"/>
      <c r="F876" s="49"/>
      <c r="G876" s="49"/>
    </row>
    <row r="877">
      <c r="B877" s="49"/>
      <c r="C877" s="49"/>
      <c r="D877" s="49"/>
      <c r="E877" s="49"/>
      <c r="F877" s="49"/>
      <c r="G877" s="49"/>
    </row>
    <row r="878">
      <c r="B878" s="49"/>
      <c r="C878" s="49"/>
      <c r="D878" s="49"/>
      <c r="E878" s="49"/>
      <c r="F878" s="49"/>
      <c r="G878" s="49"/>
    </row>
    <row r="879">
      <c r="B879" s="49"/>
      <c r="C879" s="49"/>
      <c r="D879" s="49"/>
      <c r="E879" s="49"/>
      <c r="F879" s="49"/>
      <c r="G879" s="49"/>
    </row>
    <row r="880">
      <c r="B880" s="49"/>
      <c r="C880" s="49"/>
      <c r="D880" s="49"/>
      <c r="E880" s="49"/>
      <c r="F880" s="49"/>
      <c r="G880" s="49"/>
    </row>
    <row r="881">
      <c r="B881" s="49"/>
      <c r="C881" s="49"/>
      <c r="D881" s="49"/>
      <c r="E881" s="49"/>
      <c r="F881" s="49"/>
      <c r="G881" s="49"/>
    </row>
    <row r="882">
      <c r="B882" s="49"/>
      <c r="C882" s="49"/>
      <c r="D882" s="49"/>
      <c r="E882" s="49"/>
      <c r="F882" s="49"/>
      <c r="G882" s="49"/>
    </row>
    <row r="883">
      <c r="B883" s="49"/>
      <c r="C883" s="49"/>
      <c r="D883" s="49"/>
      <c r="E883" s="49"/>
      <c r="F883" s="49"/>
      <c r="G883" s="49"/>
    </row>
    <row r="884">
      <c r="B884" s="49"/>
      <c r="C884" s="49"/>
      <c r="D884" s="49"/>
      <c r="E884" s="49"/>
      <c r="F884" s="49"/>
      <c r="G884" s="49"/>
    </row>
    <row r="885">
      <c r="B885" s="49"/>
      <c r="C885" s="49"/>
      <c r="D885" s="49"/>
      <c r="E885" s="49"/>
      <c r="F885" s="49"/>
      <c r="G885" s="49"/>
    </row>
    <row r="886">
      <c r="B886" s="49"/>
      <c r="C886" s="49"/>
      <c r="D886" s="49"/>
      <c r="E886" s="49"/>
      <c r="F886" s="49"/>
      <c r="G886" s="49"/>
    </row>
    <row r="887">
      <c r="B887" s="49"/>
      <c r="C887" s="49"/>
      <c r="D887" s="49"/>
      <c r="E887" s="49"/>
      <c r="F887" s="49"/>
      <c r="G887" s="49"/>
    </row>
    <row r="888">
      <c r="B888" s="49"/>
      <c r="C888" s="49"/>
      <c r="D888" s="49"/>
      <c r="E888" s="49"/>
      <c r="F888" s="49"/>
      <c r="G888" s="49"/>
    </row>
    <row r="889">
      <c r="B889" s="49"/>
      <c r="C889" s="49"/>
      <c r="D889" s="49"/>
      <c r="E889" s="49"/>
      <c r="F889" s="49"/>
      <c r="G889" s="49"/>
    </row>
    <row r="890">
      <c r="B890" s="49"/>
      <c r="C890" s="49"/>
      <c r="D890" s="49"/>
      <c r="E890" s="49"/>
      <c r="F890" s="49"/>
      <c r="G890" s="49"/>
    </row>
    <row r="891">
      <c r="B891" s="49"/>
      <c r="C891" s="49"/>
      <c r="D891" s="49"/>
      <c r="E891" s="49"/>
      <c r="F891" s="49"/>
      <c r="G891" s="49"/>
    </row>
    <row r="892">
      <c r="B892" s="49"/>
      <c r="C892" s="49"/>
      <c r="D892" s="49"/>
      <c r="E892" s="49"/>
      <c r="F892" s="49"/>
      <c r="G892" s="49"/>
    </row>
    <row r="893">
      <c r="B893" s="49"/>
      <c r="C893" s="49"/>
      <c r="D893" s="49"/>
      <c r="E893" s="49"/>
      <c r="F893" s="49"/>
      <c r="G893" s="49"/>
    </row>
    <row r="894">
      <c r="B894" s="49"/>
      <c r="C894" s="49"/>
      <c r="D894" s="49"/>
      <c r="E894" s="49"/>
      <c r="F894" s="49"/>
      <c r="G894" s="49"/>
    </row>
    <row r="895">
      <c r="B895" s="49"/>
      <c r="C895" s="49"/>
      <c r="D895" s="49"/>
      <c r="E895" s="49"/>
      <c r="F895" s="49"/>
      <c r="G895" s="49"/>
    </row>
    <row r="896">
      <c r="B896" s="49"/>
      <c r="C896" s="49"/>
      <c r="D896" s="49"/>
      <c r="E896" s="49"/>
      <c r="F896" s="49"/>
      <c r="G896" s="49"/>
    </row>
    <row r="897">
      <c r="B897" s="49"/>
      <c r="C897" s="49"/>
      <c r="D897" s="49"/>
      <c r="E897" s="49"/>
      <c r="F897" s="49"/>
      <c r="G897" s="49"/>
    </row>
    <row r="898">
      <c r="B898" s="49"/>
      <c r="C898" s="49"/>
      <c r="D898" s="49"/>
      <c r="E898" s="49"/>
      <c r="F898" s="49"/>
      <c r="G898" s="49"/>
    </row>
    <row r="899">
      <c r="B899" s="49"/>
      <c r="C899" s="49"/>
      <c r="D899" s="49"/>
      <c r="E899" s="49"/>
      <c r="F899" s="49"/>
      <c r="G899" s="49"/>
    </row>
    <row r="900">
      <c r="B900" s="49"/>
      <c r="C900" s="49"/>
      <c r="D900" s="49"/>
      <c r="E900" s="49"/>
      <c r="F900" s="49"/>
      <c r="G900" s="49"/>
    </row>
    <row r="901">
      <c r="B901" s="49"/>
      <c r="C901" s="49"/>
      <c r="D901" s="49"/>
      <c r="E901" s="49"/>
      <c r="F901" s="49"/>
      <c r="G901" s="49"/>
    </row>
    <row r="902">
      <c r="B902" s="49"/>
      <c r="C902" s="49"/>
      <c r="D902" s="49"/>
      <c r="E902" s="49"/>
      <c r="F902" s="49"/>
      <c r="G902" s="49"/>
    </row>
    <row r="903">
      <c r="B903" s="49"/>
      <c r="C903" s="49"/>
      <c r="D903" s="49"/>
      <c r="E903" s="49"/>
      <c r="F903" s="49"/>
      <c r="G903" s="49"/>
    </row>
    <row r="904">
      <c r="B904" s="49"/>
      <c r="C904" s="49"/>
      <c r="D904" s="49"/>
      <c r="E904" s="49"/>
      <c r="F904" s="49"/>
      <c r="G904" s="49"/>
    </row>
    <row r="905">
      <c r="B905" s="49"/>
      <c r="C905" s="49"/>
      <c r="D905" s="49"/>
      <c r="E905" s="49"/>
      <c r="F905" s="49"/>
      <c r="G905" s="49"/>
    </row>
    <row r="906">
      <c r="B906" s="49"/>
      <c r="C906" s="49"/>
      <c r="D906" s="49"/>
      <c r="E906" s="49"/>
      <c r="F906" s="49"/>
      <c r="G906" s="49"/>
    </row>
    <row r="907">
      <c r="B907" s="49"/>
      <c r="C907" s="49"/>
      <c r="D907" s="49"/>
      <c r="E907" s="49"/>
      <c r="F907" s="49"/>
      <c r="G907" s="49"/>
    </row>
    <row r="908">
      <c r="B908" s="49"/>
      <c r="C908" s="49"/>
      <c r="D908" s="49"/>
      <c r="E908" s="49"/>
      <c r="F908" s="49"/>
      <c r="G908" s="49"/>
    </row>
    <row r="909">
      <c r="B909" s="49"/>
      <c r="C909" s="49"/>
      <c r="D909" s="49"/>
      <c r="E909" s="49"/>
      <c r="F909" s="49"/>
      <c r="G909" s="49"/>
    </row>
    <row r="910">
      <c r="B910" s="49"/>
      <c r="C910" s="49"/>
      <c r="D910" s="49"/>
      <c r="E910" s="49"/>
      <c r="F910" s="49"/>
      <c r="G910" s="49"/>
    </row>
    <row r="911">
      <c r="B911" s="49"/>
      <c r="C911" s="49"/>
      <c r="D911" s="49"/>
      <c r="E911" s="49"/>
      <c r="F911" s="49"/>
      <c r="G911" s="49"/>
    </row>
    <row r="912">
      <c r="B912" s="49"/>
      <c r="C912" s="49"/>
      <c r="D912" s="49"/>
      <c r="E912" s="49"/>
      <c r="F912" s="49"/>
      <c r="G912" s="49"/>
    </row>
    <row r="913">
      <c r="B913" s="49"/>
      <c r="C913" s="49"/>
      <c r="D913" s="49"/>
      <c r="E913" s="49"/>
      <c r="F913" s="49"/>
      <c r="G913" s="49"/>
    </row>
    <row r="914">
      <c r="B914" s="49"/>
      <c r="C914" s="49"/>
      <c r="D914" s="49"/>
      <c r="E914" s="49"/>
      <c r="F914" s="49"/>
      <c r="G914" s="49"/>
    </row>
    <row r="915">
      <c r="B915" s="49"/>
      <c r="C915" s="49"/>
      <c r="D915" s="49"/>
      <c r="E915" s="49"/>
      <c r="F915" s="49"/>
      <c r="G915" s="49"/>
    </row>
    <row r="916">
      <c r="B916" s="49"/>
      <c r="C916" s="49"/>
      <c r="D916" s="49"/>
      <c r="E916" s="49"/>
      <c r="F916" s="49"/>
      <c r="G916" s="49"/>
    </row>
    <row r="917">
      <c r="B917" s="49"/>
      <c r="C917" s="49"/>
      <c r="D917" s="49"/>
      <c r="E917" s="49"/>
      <c r="F917" s="49"/>
      <c r="G917" s="49"/>
    </row>
    <row r="918">
      <c r="B918" s="49"/>
      <c r="C918" s="49"/>
      <c r="D918" s="49"/>
      <c r="E918" s="49"/>
      <c r="F918" s="49"/>
      <c r="G918" s="49"/>
    </row>
    <row r="919">
      <c r="B919" s="49"/>
      <c r="C919" s="49"/>
      <c r="D919" s="49"/>
      <c r="E919" s="49"/>
      <c r="F919" s="49"/>
      <c r="G919" s="49"/>
    </row>
    <row r="920">
      <c r="B920" s="49"/>
      <c r="C920" s="49"/>
      <c r="D920" s="49"/>
      <c r="E920" s="49"/>
      <c r="F920" s="49"/>
      <c r="G920" s="49"/>
    </row>
    <row r="921">
      <c r="B921" s="49"/>
      <c r="C921" s="49"/>
      <c r="D921" s="49"/>
      <c r="E921" s="49"/>
      <c r="F921" s="49"/>
      <c r="G921" s="49"/>
    </row>
    <row r="922">
      <c r="B922" s="49"/>
      <c r="C922" s="49"/>
      <c r="D922" s="49"/>
      <c r="E922" s="49"/>
      <c r="F922" s="49"/>
      <c r="G922" s="49"/>
    </row>
    <row r="923">
      <c r="B923" s="49"/>
      <c r="C923" s="49"/>
      <c r="D923" s="49"/>
      <c r="E923" s="49"/>
      <c r="F923" s="49"/>
      <c r="G923" s="49"/>
    </row>
    <row r="924">
      <c r="B924" s="49"/>
      <c r="C924" s="49"/>
      <c r="D924" s="49"/>
      <c r="E924" s="49"/>
      <c r="F924" s="49"/>
      <c r="G924" s="49"/>
    </row>
    <row r="925">
      <c r="B925" s="49"/>
      <c r="C925" s="49"/>
      <c r="D925" s="49"/>
      <c r="E925" s="49"/>
      <c r="F925" s="49"/>
      <c r="G925" s="49"/>
    </row>
    <row r="926">
      <c r="B926" s="49"/>
      <c r="C926" s="49"/>
      <c r="D926" s="49"/>
      <c r="E926" s="49"/>
      <c r="F926" s="49"/>
      <c r="G926" s="49"/>
    </row>
    <row r="927">
      <c r="B927" s="49"/>
      <c r="C927" s="49"/>
      <c r="D927" s="49"/>
      <c r="E927" s="49"/>
      <c r="F927" s="49"/>
      <c r="G927" s="49"/>
    </row>
    <row r="928">
      <c r="B928" s="49"/>
      <c r="C928" s="49"/>
      <c r="D928" s="49"/>
      <c r="E928" s="49"/>
      <c r="F928" s="49"/>
      <c r="G928" s="49"/>
    </row>
    <row r="929">
      <c r="B929" s="49"/>
      <c r="C929" s="49"/>
      <c r="D929" s="49"/>
      <c r="E929" s="49"/>
      <c r="F929" s="49"/>
      <c r="G929" s="49"/>
    </row>
    <row r="930">
      <c r="B930" s="49"/>
      <c r="C930" s="49"/>
      <c r="D930" s="49"/>
      <c r="E930" s="49"/>
      <c r="F930" s="49"/>
      <c r="G930" s="49"/>
    </row>
    <row r="931">
      <c r="B931" s="49"/>
      <c r="C931" s="49"/>
      <c r="D931" s="49"/>
      <c r="E931" s="49"/>
      <c r="F931" s="49"/>
      <c r="G931" s="49"/>
    </row>
    <row r="932">
      <c r="B932" s="49"/>
      <c r="C932" s="49"/>
      <c r="D932" s="49"/>
      <c r="E932" s="49"/>
      <c r="F932" s="49"/>
      <c r="G932" s="49"/>
    </row>
    <row r="933">
      <c r="B933" s="49"/>
      <c r="C933" s="49"/>
      <c r="D933" s="49"/>
      <c r="E933" s="49"/>
      <c r="F933" s="49"/>
      <c r="G933" s="49"/>
    </row>
    <row r="934">
      <c r="B934" s="49"/>
      <c r="C934" s="49"/>
      <c r="D934" s="49"/>
      <c r="E934" s="49"/>
      <c r="F934" s="49"/>
      <c r="G934" s="49"/>
    </row>
    <row r="935">
      <c r="B935" s="49"/>
      <c r="C935" s="49"/>
      <c r="D935" s="49"/>
      <c r="E935" s="49"/>
      <c r="F935" s="49"/>
      <c r="G935" s="49"/>
    </row>
    <row r="936">
      <c r="B936" s="49"/>
      <c r="C936" s="49"/>
      <c r="D936" s="49"/>
      <c r="E936" s="49"/>
      <c r="F936" s="49"/>
      <c r="G936" s="49"/>
    </row>
    <row r="937">
      <c r="B937" s="49"/>
      <c r="C937" s="49"/>
      <c r="D937" s="49"/>
      <c r="E937" s="49"/>
      <c r="F937" s="49"/>
      <c r="G937" s="49"/>
    </row>
    <row r="938">
      <c r="B938" s="49"/>
      <c r="C938" s="49"/>
      <c r="D938" s="49"/>
      <c r="E938" s="49"/>
      <c r="F938" s="49"/>
      <c r="G938" s="49"/>
    </row>
    <row r="939">
      <c r="B939" s="49"/>
      <c r="C939" s="49"/>
      <c r="D939" s="49"/>
      <c r="E939" s="49"/>
      <c r="F939" s="49"/>
      <c r="G939" s="49"/>
    </row>
    <row r="940">
      <c r="B940" s="49"/>
      <c r="C940" s="49"/>
      <c r="D940" s="49"/>
      <c r="E940" s="49"/>
      <c r="F940" s="49"/>
      <c r="G940" s="49"/>
    </row>
    <row r="941">
      <c r="B941" s="49"/>
      <c r="C941" s="49"/>
      <c r="D941" s="49"/>
      <c r="E941" s="49"/>
      <c r="F941" s="49"/>
      <c r="G941" s="49"/>
    </row>
    <row r="942">
      <c r="B942" s="49"/>
      <c r="C942" s="49"/>
      <c r="D942" s="49"/>
      <c r="E942" s="49"/>
      <c r="F942" s="49"/>
      <c r="G942" s="49"/>
    </row>
    <row r="943">
      <c r="B943" s="49"/>
      <c r="C943" s="49"/>
      <c r="D943" s="49"/>
      <c r="E943" s="49"/>
      <c r="F943" s="49"/>
      <c r="G943" s="49"/>
    </row>
    <row r="944">
      <c r="B944" s="49"/>
      <c r="C944" s="49"/>
      <c r="D944" s="49"/>
      <c r="E944" s="49"/>
      <c r="F944" s="49"/>
      <c r="G944" s="49"/>
    </row>
    <row r="945">
      <c r="B945" s="49"/>
      <c r="C945" s="49"/>
      <c r="D945" s="49"/>
      <c r="E945" s="49"/>
      <c r="F945" s="49"/>
      <c r="G945" s="49"/>
    </row>
    <row r="946">
      <c r="B946" s="49"/>
      <c r="C946" s="49"/>
      <c r="D946" s="49"/>
      <c r="E946" s="49"/>
      <c r="F946" s="49"/>
      <c r="G946" s="49"/>
    </row>
    <row r="947">
      <c r="B947" s="49"/>
      <c r="C947" s="49"/>
      <c r="D947" s="49"/>
      <c r="E947" s="49"/>
      <c r="F947" s="49"/>
      <c r="G947" s="49"/>
    </row>
    <row r="948">
      <c r="B948" s="49"/>
      <c r="C948" s="49"/>
      <c r="D948" s="49"/>
      <c r="E948" s="49"/>
      <c r="F948" s="49"/>
      <c r="G948" s="49"/>
    </row>
    <row r="949">
      <c r="B949" s="49"/>
      <c r="C949" s="49"/>
      <c r="D949" s="49"/>
      <c r="E949" s="49"/>
      <c r="F949" s="49"/>
      <c r="G949" s="49"/>
    </row>
    <row r="950">
      <c r="B950" s="49"/>
      <c r="C950" s="49"/>
      <c r="D950" s="49"/>
      <c r="E950" s="49"/>
      <c r="F950" s="49"/>
      <c r="G950" s="49"/>
    </row>
    <row r="951">
      <c r="B951" s="49"/>
      <c r="C951" s="49"/>
      <c r="D951" s="49"/>
      <c r="E951" s="49"/>
      <c r="F951" s="49"/>
      <c r="G951" s="49"/>
    </row>
    <row r="952">
      <c r="B952" s="49"/>
      <c r="C952" s="49"/>
      <c r="D952" s="49"/>
      <c r="E952" s="49"/>
      <c r="F952" s="49"/>
      <c r="G952" s="49"/>
    </row>
    <row r="953">
      <c r="B953" s="49"/>
      <c r="C953" s="49"/>
      <c r="D953" s="49"/>
      <c r="E953" s="49"/>
      <c r="F953" s="49"/>
      <c r="G953" s="49"/>
    </row>
    <row r="954">
      <c r="B954" s="49"/>
      <c r="C954" s="49"/>
      <c r="D954" s="49"/>
      <c r="E954" s="49"/>
      <c r="F954" s="49"/>
      <c r="G954" s="49"/>
    </row>
    <row r="955">
      <c r="B955" s="49"/>
      <c r="C955" s="49"/>
      <c r="D955" s="49"/>
      <c r="E955" s="49"/>
      <c r="F955" s="49"/>
      <c r="G955" s="49"/>
    </row>
    <row r="956">
      <c r="B956" s="49"/>
      <c r="C956" s="49"/>
      <c r="D956" s="49"/>
      <c r="E956" s="49"/>
      <c r="F956" s="49"/>
      <c r="G956" s="49"/>
    </row>
    <row r="957">
      <c r="B957" s="49"/>
      <c r="C957" s="49"/>
      <c r="D957" s="49"/>
      <c r="E957" s="49"/>
      <c r="F957" s="49"/>
      <c r="G957" s="49"/>
    </row>
    <row r="958">
      <c r="B958" s="49"/>
      <c r="C958" s="49"/>
      <c r="D958" s="49"/>
      <c r="E958" s="49"/>
      <c r="F958" s="49"/>
      <c r="G958" s="49"/>
    </row>
    <row r="959">
      <c r="B959" s="49"/>
      <c r="C959" s="49"/>
      <c r="D959" s="49"/>
      <c r="E959" s="49"/>
      <c r="F959" s="49"/>
      <c r="G959" s="49"/>
    </row>
    <row r="960">
      <c r="B960" s="49"/>
      <c r="C960" s="49"/>
      <c r="D960" s="49"/>
      <c r="E960" s="49"/>
      <c r="F960" s="49"/>
      <c r="G960" s="49"/>
    </row>
    <row r="961">
      <c r="B961" s="49"/>
      <c r="C961" s="49"/>
      <c r="D961" s="49"/>
      <c r="E961" s="49"/>
      <c r="F961" s="49"/>
      <c r="G961" s="49"/>
    </row>
    <row r="962">
      <c r="B962" s="49"/>
      <c r="C962" s="49"/>
      <c r="D962" s="49"/>
      <c r="E962" s="49"/>
      <c r="F962" s="49"/>
      <c r="G962" s="49"/>
    </row>
    <row r="963">
      <c r="B963" s="49"/>
      <c r="C963" s="49"/>
      <c r="D963" s="49"/>
      <c r="E963" s="49"/>
      <c r="F963" s="49"/>
      <c r="G963" s="49"/>
    </row>
    <row r="964">
      <c r="B964" s="49"/>
      <c r="C964" s="49"/>
      <c r="D964" s="49"/>
      <c r="E964" s="49"/>
      <c r="F964" s="49"/>
      <c r="G964" s="49"/>
    </row>
    <row r="965">
      <c r="B965" s="49"/>
      <c r="C965" s="49"/>
      <c r="D965" s="49"/>
      <c r="E965" s="49"/>
      <c r="F965" s="49"/>
      <c r="G965" s="49"/>
    </row>
    <row r="966">
      <c r="B966" s="49"/>
      <c r="C966" s="49"/>
      <c r="D966" s="49"/>
      <c r="E966" s="49"/>
      <c r="F966" s="49"/>
      <c r="G966" s="49"/>
    </row>
    <row r="967">
      <c r="B967" s="49"/>
      <c r="C967" s="49"/>
      <c r="D967" s="49"/>
      <c r="E967" s="49"/>
      <c r="F967" s="49"/>
      <c r="G967" s="49"/>
    </row>
    <row r="968">
      <c r="B968" s="49"/>
      <c r="C968" s="49"/>
      <c r="D968" s="49"/>
      <c r="E968" s="49"/>
      <c r="F968" s="49"/>
      <c r="G968" s="49"/>
    </row>
    <row r="969">
      <c r="B969" s="49"/>
      <c r="C969" s="49"/>
      <c r="D969" s="49"/>
      <c r="E969" s="49"/>
      <c r="F969" s="49"/>
      <c r="G969" s="49"/>
    </row>
    <row r="970">
      <c r="B970" s="49"/>
      <c r="C970" s="49"/>
      <c r="D970" s="49"/>
      <c r="E970" s="49"/>
      <c r="F970" s="49"/>
      <c r="G970" s="49"/>
    </row>
    <row r="971">
      <c r="B971" s="49"/>
      <c r="C971" s="49"/>
      <c r="D971" s="49"/>
      <c r="E971" s="49"/>
      <c r="F971" s="49"/>
      <c r="G971" s="49"/>
    </row>
    <row r="972">
      <c r="B972" s="49"/>
      <c r="C972" s="49"/>
      <c r="D972" s="49"/>
      <c r="E972" s="49"/>
      <c r="F972" s="49"/>
      <c r="G972" s="49"/>
    </row>
    <row r="973">
      <c r="B973" s="49"/>
      <c r="C973" s="49"/>
      <c r="D973" s="49"/>
      <c r="E973" s="49"/>
      <c r="F973" s="49"/>
      <c r="G973" s="49"/>
    </row>
    <row r="974">
      <c r="B974" s="49"/>
      <c r="C974" s="49"/>
      <c r="D974" s="49"/>
      <c r="E974" s="49"/>
      <c r="F974" s="49"/>
      <c r="G974" s="49"/>
    </row>
    <row r="975">
      <c r="B975" s="49"/>
      <c r="C975" s="49"/>
      <c r="D975" s="49"/>
      <c r="E975" s="49"/>
      <c r="F975" s="49"/>
      <c r="G975" s="49"/>
    </row>
    <row r="976">
      <c r="B976" s="49"/>
      <c r="C976" s="49"/>
      <c r="D976" s="49"/>
      <c r="E976" s="49"/>
      <c r="F976" s="49"/>
      <c r="G976" s="49"/>
    </row>
    <row r="977">
      <c r="B977" s="49"/>
      <c r="C977" s="49"/>
      <c r="D977" s="49"/>
      <c r="E977" s="49"/>
      <c r="F977" s="49"/>
      <c r="G977" s="49"/>
    </row>
    <row r="978">
      <c r="B978" s="49"/>
      <c r="C978" s="49"/>
      <c r="D978" s="49"/>
      <c r="E978" s="49"/>
      <c r="F978" s="49"/>
      <c r="G978" s="49"/>
    </row>
    <row r="979">
      <c r="B979" s="49"/>
      <c r="C979" s="49"/>
      <c r="D979" s="49"/>
      <c r="E979" s="49"/>
      <c r="F979" s="49"/>
      <c r="G979" s="49"/>
    </row>
    <row r="980">
      <c r="B980" s="49"/>
      <c r="C980" s="49"/>
      <c r="D980" s="49"/>
      <c r="E980" s="49"/>
      <c r="F980" s="49"/>
      <c r="G980" s="49"/>
    </row>
    <row r="981">
      <c r="B981" s="49"/>
      <c r="C981" s="49"/>
      <c r="D981" s="49"/>
      <c r="E981" s="49"/>
      <c r="F981" s="49"/>
      <c r="G981" s="49"/>
    </row>
    <row r="982">
      <c r="B982" s="49"/>
      <c r="C982" s="49"/>
      <c r="D982" s="49"/>
      <c r="E982" s="49"/>
      <c r="F982" s="49"/>
      <c r="G982" s="49"/>
    </row>
    <row r="983">
      <c r="B983" s="49"/>
      <c r="C983" s="49"/>
      <c r="D983" s="49"/>
      <c r="E983" s="49"/>
      <c r="F983" s="49"/>
      <c r="G983" s="49"/>
    </row>
    <row r="984">
      <c r="B984" s="49"/>
      <c r="C984" s="49"/>
      <c r="D984" s="49"/>
      <c r="E984" s="49"/>
      <c r="F984" s="49"/>
      <c r="G984" s="49"/>
    </row>
    <row r="985">
      <c r="B985" s="49"/>
      <c r="C985" s="49"/>
      <c r="D985" s="49"/>
      <c r="E985" s="49"/>
      <c r="F985" s="49"/>
      <c r="G985" s="49"/>
    </row>
    <row r="986">
      <c r="B986" s="49"/>
      <c r="C986" s="49"/>
      <c r="D986" s="49"/>
      <c r="E986" s="49"/>
      <c r="F986" s="49"/>
      <c r="G986" s="49"/>
    </row>
    <row r="987">
      <c r="B987" s="49"/>
      <c r="C987" s="49"/>
      <c r="D987" s="49"/>
      <c r="E987" s="49"/>
      <c r="F987" s="49"/>
      <c r="G987" s="49"/>
    </row>
    <row r="988">
      <c r="B988" s="49"/>
      <c r="C988" s="49"/>
      <c r="D988" s="49"/>
      <c r="E988" s="49"/>
      <c r="F988" s="49"/>
      <c r="G988" s="49"/>
    </row>
    <row r="989">
      <c r="B989" s="49"/>
      <c r="C989" s="49"/>
      <c r="D989" s="49"/>
      <c r="E989" s="49"/>
      <c r="F989" s="49"/>
      <c r="G989" s="49"/>
    </row>
    <row r="990">
      <c r="B990" s="49"/>
      <c r="C990" s="49"/>
      <c r="D990" s="49"/>
      <c r="E990" s="49"/>
      <c r="F990" s="49"/>
      <c r="G990" s="49"/>
    </row>
    <row r="991">
      <c r="B991" s="49"/>
      <c r="C991" s="49"/>
      <c r="D991" s="49"/>
      <c r="E991" s="49"/>
      <c r="F991" s="49"/>
      <c r="G991" s="49"/>
    </row>
    <row r="992">
      <c r="B992" s="49"/>
      <c r="C992" s="49"/>
      <c r="D992" s="49"/>
      <c r="E992" s="49"/>
      <c r="F992" s="49"/>
      <c r="G992" s="49"/>
    </row>
    <row r="993">
      <c r="B993" s="49"/>
      <c r="C993" s="49"/>
      <c r="D993" s="49"/>
      <c r="E993" s="49"/>
      <c r="F993" s="49"/>
      <c r="G993" s="49"/>
    </row>
    <row r="994">
      <c r="B994" s="49"/>
      <c r="C994" s="49"/>
      <c r="D994" s="49"/>
      <c r="E994" s="49"/>
      <c r="F994" s="49"/>
      <c r="G994" s="49"/>
    </row>
    <row r="995">
      <c r="B995" s="49"/>
      <c r="C995" s="49"/>
      <c r="D995" s="49"/>
      <c r="E995" s="49"/>
      <c r="F995" s="49"/>
      <c r="G995" s="49"/>
    </row>
    <row r="996">
      <c r="B996" s="49"/>
      <c r="C996" s="49"/>
      <c r="D996" s="49"/>
      <c r="E996" s="49"/>
      <c r="F996" s="49"/>
      <c r="G996" s="49"/>
    </row>
    <row r="997">
      <c r="B997" s="49"/>
      <c r="C997" s="49"/>
      <c r="D997" s="49"/>
      <c r="E997" s="49"/>
      <c r="F997" s="49"/>
      <c r="G997" s="49"/>
    </row>
    <row r="998">
      <c r="B998" s="49"/>
      <c r="C998" s="49"/>
      <c r="D998" s="49"/>
      <c r="E998" s="49"/>
      <c r="F998" s="49"/>
      <c r="G998" s="49"/>
    </row>
    <row r="999">
      <c r="B999" s="49"/>
      <c r="C999" s="49"/>
      <c r="D999" s="49"/>
      <c r="E999" s="49"/>
      <c r="F999" s="49"/>
      <c r="G999" s="49"/>
    </row>
    <row r="1000">
      <c r="B1000" s="49"/>
      <c r="C1000" s="49"/>
      <c r="D1000" s="49"/>
      <c r="E1000" s="49"/>
      <c r="F1000" s="49"/>
      <c r="G1000" s="4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 t="s">
        <v>2249</v>
      </c>
    </row>
    <row r="2">
      <c r="A2" s="18" t="s">
        <v>14</v>
      </c>
      <c r="B2" s="18" t="s">
        <v>15</v>
      </c>
      <c r="C2" s="19"/>
      <c r="D2" s="20"/>
    </row>
    <row r="3">
      <c r="A3" s="59">
        <v>0.0</v>
      </c>
      <c r="B3" s="59" t="s">
        <v>2250</v>
      </c>
    </row>
    <row r="4">
      <c r="A4" s="59">
        <v>1.0</v>
      </c>
      <c r="B4" s="59" t="s">
        <v>2251</v>
      </c>
    </row>
    <row r="5">
      <c r="A5" s="59">
        <v>2.0</v>
      </c>
      <c r="B5" s="59" t="s">
        <v>2252</v>
      </c>
    </row>
    <row r="6">
      <c r="A6" s="59">
        <v>3.0</v>
      </c>
      <c r="B6" s="59" t="s">
        <v>2253</v>
      </c>
    </row>
    <row r="7">
      <c r="A7" s="59">
        <v>4.0</v>
      </c>
      <c r="B7" s="59" t="s">
        <v>2254</v>
      </c>
    </row>
    <row r="8">
      <c r="A8" s="59">
        <v>5.0</v>
      </c>
      <c r="B8" s="59" t="s">
        <v>2255</v>
      </c>
    </row>
    <row r="9">
      <c r="A9" s="59">
        <v>6.0</v>
      </c>
      <c r="B9" s="59" t="s">
        <v>2256</v>
      </c>
    </row>
    <row r="10">
      <c r="A10" s="59">
        <v>7.0</v>
      </c>
      <c r="B10" s="59" t="s">
        <v>42</v>
      </c>
    </row>
    <row r="11">
      <c r="A11" s="59">
        <v>8.0</v>
      </c>
      <c r="B11" s="59" t="s">
        <v>2257</v>
      </c>
    </row>
    <row r="12">
      <c r="A12" s="59">
        <v>9.0</v>
      </c>
      <c r="B12" s="59" t="s">
        <v>2258</v>
      </c>
    </row>
    <row r="13">
      <c r="A13" s="59">
        <v>10.0</v>
      </c>
      <c r="B13" s="59" t="s">
        <v>2259</v>
      </c>
    </row>
    <row r="14">
      <c r="A14" s="59">
        <v>11.0</v>
      </c>
      <c r="B14" s="59" t="s">
        <v>2260</v>
      </c>
    </row>
    <row r="15">
      <c r="A15" s="59">
        <v>12.0</v>
      </c>
      <c r="B15" s="59" t="s">
        <v>2261</v>
      </c>
    </row>
    <row r="16">
      <c r="A16" s="59">
        <v>13.0</v>
      </c>
      <c r="B16" s="59" t="s">
        <v>2262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 t="s">
        <v>2263</v>
      </c>
    </row>
    <row r="2">
      <c r="A2" s="18" t="s">
        <v>14</v>
      </c>
      <c r="B2" s="18" t="s">
        <v>15</v>
      </c>
      <c r="C2" s="20" t="s">
        <v>2264</v>
      </c>
      <c r="D2" s="20" t="s">
        <v>2265</v>
      </c>
    </row>
    <row r="3">
      <c r="A3" s="59">
        <v>0.0</v>
      </c>
      <c r="B3" s="59" t="s">
        <v>2266</v>
      </c>
      <c r="C3" s="59" t="s">
        <v>2267</v>
      </c>
      <c r="D3" s="59" t="s">
        <v>2268</v>
      </c>
    </row>
    <row r="4">
      <c r="A4" s="59">
        <v>1.0</v>
      </c>
      <c r="B4" s="59" t="s">
        <v>2269</v>
      </c>
      <c r="C4" s="59" t="s">
        <v>2270</v>
      </c>
      <c r="D4" s="59" t="s">
        <v>2268</v>
      </c>
    </row>
    <row r="5">
      <c r="A5" s="59">
        <v>2.0</v>
      </c>
      <c r="B5" s="59" t="s">
        <v>2271</v>
      </c>
      <c r="C5" s="59" t="s">
        <v>2272</v>
      </c>
      <c r="D5" s="59" t="s">
        <v>2268</v>
      </c>
    </row>
    <row r="6">
      <c r="A6" s="59">
        <v>3.0</v>
      </c>
    </row>
    <row r="7">
      <c r="A7" s="59">
        <v>4.0</v>
      </c>
    </row>
    <row r="8">
      <c r="A8" s="59">
        <v>5.0</v>
      </c>
    </row>
    <row r="9">
      <c r="A9" s="59">
        <v>6.0</v>
      </c>
    </row>
    <row r="10">
      <c r="A10" s="59">
        <v>7.0</v>
      </c>
    </row>
    <row r="11">
      <c r="A11" s="59">
        <v>8.0</v>
      </c>
    </row>
    <row r="12">
      <c r="A12" s="59">
        <v>9.0</v>
      </c>
    </row>
    <row r="13">
      <c r="A13" s="59">
        <v>10.0</v>
      </c>
    </row>
    <row r="14">
      <c r="A14" s="59">
        <v>11.0</v>
      </c>
    </row>
    <row r="15">
      <c r="A15" s="59">
        <v>12.0</v>
      </c>
    </row>
    <row r="16">
      <c r="A16" s="59">
        <v>13.0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 t="s">
        <v>2273</v>
      </c>
      <c r="B1" s="61"/>
      <c r="C1" s="61"/>
      <c r="D1" s="61"/>
      <c r="E1" s="61"/>
      <c r="F1" s="61"/>
      <c r="G1" s="61"/>
      <c r="H1" s="61"/>
      <c r="I1" s="62"/>
    </row>
    <row r="2">
      <c r="A2" s="18" t="s">
        <v>14</v>
      </c>
      <c r="B2" s="20" t="s">
        <v>2274</v>
      </c>
      <c r="C2" s="20" t="s">
        <v>2275</v>
      </c>
      <c r="D2" s="20" t="s">
        <v>2276</v>
      </c>
      <c r="E2" s="19"/>
      <c r="F2" s="19"/>
      <c r="G2" s="20"/>
      <c r="H2" s="20"/>
      <c r="I2" s="19" t="s">
        <v>27</v>
      </c>
    </row>
    <row r="3">
      <c r="A3" s="59">
        <v>0.0</v>
      </c>
      <c r="B3" s="59" t="s">
        <v>2277</v>
      </c>
      <c r="C3" s="59" t="s">
        <v>2278</v>
      </c>
      <c r="D3" s="43" t="s">
        <v>2251</v>
      </c>
    </row>
    <row r="4">
      <c r="A4" s="59">
        <v>1.0</v>
      </c>
      <c r="B4" s="59" t="s">
        <v>2279</v>
      </c>
      <c r="C4" s="59" t="s">
        <v>2280</v>
      </c>
      <c r="D4" s="43" t="s">
        <v>2251</v>
      </c>
    </row>
    <row r="5">
      <c r="A5" s="59">
        <v>2.0</v>
      </c>
      <c r="B5" s="59" t="s">
        <v>2281</v>
      </c>
      <c r="C5" s="59" t="s">
        <v>2281</v>
      </c>
      <c r="D5" s="43" t="s">
        <v>2251</v>
      </c>
    </row>
    <row r="6">
      <c r="A6" s="59">
        <v>3.0</v>
      </c>
      <c r="B6" s="59" t="s">
        <v>2282</v>
      </c>
      <c r="C6" s="59" t="s">
        <v>2283</v>
      </c>
      <c r="D6" s="43" t="s">
        <v>2251</v>
      </c>
    </row>
    <row r="7">
      <c r="A7" s="59">
        <v>4.0</v>
      </c>
      <c r="B7" s="59" t="s">
        <v>2284</v>
      </c>
      <c r="C7" s="59" t="s">
        <v>2285</v>
      </c>
      <c r="D7" s="43" t="s">
        <v>2251</v>
      </c>
    </row>
    <row r="8">
      <c r="A8" s="59">
        <v>5.0</v>
      </c>
    </row>
    <row r="9">
      <c r="A9" s="59">
        <v>6.0</v>
      </c>
    </row>
    <row r="10">
      <c r="A10" s="59">
        <v>7.0</v>
      </c>
    </row>
    <row r="11">
      <c r="A11" s="59">
        <v>8.0</v>
      </c>
    </row>
    <row r="12">
      <c r="A12" s="59">
        <v>9.0</v>
      </c>
    </row>
    <row r="13">
      <c r="A13" s="59">
        <v>10.0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5" t="s">
        <v>2286</v>
      </c>
      <c r="B1" s="76"/>
      <c r="C1" s="76"/>
      <c r="D1" s="76"/>
      <c r="E1" s="76"/>
      <c r="F1" s="76"/>
      <c r="G1" s="76"/>
      <c r="H1" s="76"/>
      <c r="I1" s="76"/>
      <c r="J1" s="77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79" t="s">
        <v>14</v>
      </c>
      <c r="B2" s="79" t="s">
        <v>15</v>
      </c>
      <c r="C2" s="80" t="s">
        <v>2199</v>
      </c>
      <c r="D2" s="80" t="s">
        <v>2287</v>
      </c>
      <c r="E2" s="81" t="s">
        <v>2288</v>
      </c>
      <c r="F2" s="81" t="s">
        <v>2289</v>
      </c>
      <c r="G2" s="80" t="s">
        <v>2290</v>
      </c>
      <c r="H2" s="80" t="s">
        <v>2291</v>
      </c>
      <c r="I2" s="81" t="s">
        <v>27</v>
      </c>
      <c r="J2" s="81" t="s">
        <v>2215</v>
      </c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>
      <c r="A3" s="82">
        <v>0.0</v>
      </c>
      <c r="B3" s="83" t="s">
        <v>2292</v>
      </c>
      <c r="C3" s="84" t="s">
        <v>31</v>
      </c>
      <c r="D3" s="84" t="s">
        <v>129</v>
      </c>
      <c r="E3" s="82"/>
      <c r="F3" s="84" t="s">
        <v>133</v>
      </c>
      <c r="G3" s="82"/>
      <c r="H3" s="82"/>
      <c r="I3" s="83"/>
      <c r="J3" s="83" t="s">
        <v>2293</v>
      </c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85">
        <v>1.0</v>
      </c>
      <c r="B4" s="86" t="s">
        <v>2294</v>
      </c>
      <c r="C4" s="87" t="s">
        <v>36</v>
      </c>
      <c r="D4" s="87" t="s">
        <v>137</v>
      </c>
      <c r="E4" s="85"/>
      <c r="F4" s="87" t="s">
        <v>134</v>
      </c>
      <c r="G4" s="85"/>
      <c r="H4" s="86"/>
      <c r="I4" s="83"/>
      <c r="J4" s="86" t="s">
        <v>2293</v>
      </c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82">
        <v>2.0</v>
      </c>
      <c r="B5" s="83" t="s">
        <v>2295</v>
      </c>
      <c r="C5" s="84" t="s">
        <v>31</v>
      </c>
      <c r="D5" s="84" t="s">
        <v>145</v>
      </c>
      <c r="E5" s="82"/>
      <c r="F5" s="84" t="s">
        <v>142</v>
      </c>
      <c r="G5" s="82"/>
      <c r="H5" s="83"/>
      <c r="I5" s="83"/>
      <c r="J5" s="83" t="s">
        <v>2293</v>
      </c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85">
        <v>3.0</v>
      </c>
      <c r="B6" s="86" t="s">
        <v>2296</v>
      </c>
      <c r="C6" s="87" t="s">
        <v>31</v>
      </c>
      <c r="D6" s="87" t="s">
        <v>133</v>
      </c>
      <c r="E6" s="85"/>
      <c r="F6" s="87" t="s">
        <v>129</v>
      </c>
      <c r="G6" s="85"/>
      <c r="H6" s="86"/>
      <c r="I6" s="83"/>
      <c r="J6" s="86" t="s">
        <v>2293</v>
      </c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82">
        <v>4.0</v>
      </c>
      <c r="B7" s="83" t="s">
        <v>2297</v>
      </c>
      <c r="C7" s="84" t="s">
        <v>41</v>
      </c>
      <c r="D7" s="84" t="s">
        <v>163</v>
      </c>
      <c r="E7" s="82"/>
      <c r="F7" s="84" t="s">
        <v>162</v>
      </c>
      <c r="G7" s="82"/>
      <c r="H7" s="83"/>
      <c r="I7" s="83"/>
      <c r="J7" s="83" t="s">
        <v>2293</v>
      </c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85">
        <v>5.0</v>
      </c>
      <c r="B8" s="86" t="s">
        <v>2298</v>
      </c>
      <c r="C8" s="87" t="s">
        <v>41</v>
      </c>
      <c r="D8" s="87" t="s">
        <v>126</v>
      </c>
      <c r="E8" s="85"/>
      <c r="F8" s="87" t="s">
        <v>129</v>
      </c>
      <c r="G8" s="85"/>
      <c r="H8" s="86"/>
      <c r="I8" s="83"/>
      <c r="J8" s="86" t="s">
        <v>2293</v>
      </c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82">
        <v>6.0</v>
      </c>
      <c r="B9" s="83" t="s">
        <v>2299</v>
      </c>
      <c r="C9" s="84" t="s">
        <v>36</v>
      </c>
      <c r="D9" s="84" t="s">
        <v>129</v>
      </c>
      <c r="E9" s="83"/>
      <c r="F9" s="84" t="s">
        <v>126</v>
      </c>
      <c r="G9" s="83"/>
      <c r="H9" s="83"/>
      <c r="I9" s="83"/>
      <c r="J9" s="83" t="s">
        <v>2293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>
      <c r="A10" s="85">
        <v>7.0</v>
      </c>
      <c r="B10" s="86" t="s">
        <v>2300</v>
      </c>
      <c r="C10" s="87" t="s">
        <v>36</v>
      </c>
      <c r="D10" s="87" t="s">
        <v>134</v>
      </c>
      <c r="E10" s="86"/>
      <c r="F10" s="87" t="s">
        <v>142</v>
      </c>
      <c r="G10" s="86"/>
      <c r="H10" s="86"/>
      <c r="I10" s="86"/>
      <c r="J10" s="86" t="s">
        <v>2293</v>
      </c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>
      <c r="A13" s="78"/>
      <c r="B13" s="78"/>
      <c r="C13" s="78"/>
      <c r="D13" s="8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>
      <c r="A14" s="78"/>
      <c r="B14" s="78"/>
      <c r="C14" s="78"/>
      <c r="D14" s="8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>
      <c r="A15" s="78"/>
      <c r="B15" s="78"/>
      <c r="C15" s="78"/>
      <c r="D15" s="8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>
      <c r="A16" s="78"/>
      <c r="B16" s="78"/>
      <c r="C16" s="78"/>
      <c r="D16" s="8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>
      <c r="A17" s="78"/>
      <c r="B17" s="78"/>
      <c r="C17" s="78"/>
      <c r="D17" s="8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>
      <c r="A18" s="78"/>
      <c r="B18" s="78"/>
      <c r="C18" s="78"/>
      <c r="D18" s="8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>
      <c r="A19" s="78"/>
      <c r="B19" s="78"/>
      <c r="C19" s="78"/>
      <c r="D19" s="8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>
      <c r="A20" s="78"/>
      <c r="B20" s="78"/>
      <c r="C20" s="78"/>
      <c r="D20" s="8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>
      <c r="A21" s="78"/>
      <c r="B21" s="78"/>
      <c r="C21" s="78"/>
      <c r="D21" s="8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>
      <c r="A22" s="78"/>
      <c r="B22" s="78"/>
      <c r="C22" s="78"/>
      <c r="D22" s="8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>
      <c r="A23" s="78"/>
      <c r="B23" s="78"/>
      <c r="C23" s="78"/>
      <c r="D23" s="8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>
      <c r="A24" s="78"/>
      <c r="B24" s="78"/>
      <c r="C24" s="78"/>
      <c r="D24" s="8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>
      <c r="A25" s="78"/>
      <c r="B25" s="78"/>
      <c r="C25" s="78"/>
      <c r="D25" s="8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>
      <c r="A26" s="78"/>
      <c r="B26" s="78"/>
      <c r="C26" s="78"/>
      <c r="D26" s="8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>
      <c r="A27" s="78"/>
      <c r="B27" s="78"/>
      <c r="C27" s="78"/>
      <c r="D27" s="8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>
      <c r="A28" s="78"/>
      <c r="B28" s="78"/>
      <c r="C28" s="78"/>
      <c r="D28" s="8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>
      <c r="A29" s="78"/>
      <c r="B29" s="78"/>
      <c r="C29" s="78"/>
      <c r="D29" s="8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>
      <c r="A30" s="78"/>
      <c r="B30" s="78"/>
      <c r="C30" s="78"/>
      <c r="D30" s="8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9" t="s">
        <v>2301</v>
      </c>
      <c r="B1" s="90"/>
      <c r="C1" s="90"/>
      <c r="D1" s="90"/>
      <c r="E1" s="90"/>
      <c r="F1" s="90"/>
      <c r="G1" s="91"/>
      <c r="H1" s="61"/>
      <c r="I1" s="62"/>
    </row>
    <row r="2">
      <c r="A2" s="18" t="s">
        <v>14</v>
      </c>
      <c r="B2" s="18" t="s">
        <v>2302</v>
      </c>
      <c r="C2" s="92" t="s">
        <v>2303</v>
      </c>
      <c r="D2" s="93" t="s">
        <v>2304</v>
      </c>
      <c r="E2" s="19" t="s">
        <v>2305</v>
      </c>
      <c r="F2" s="19" t="s">
        <v>2306</v>
      </c>
      <c r="G2" s="92" t="s">
        <v>27</v>
      </c>
      <c r="H2" s="20"/>
      <c r="I2" s="19"/>
    </row>
    <row r="3">
      <c r="A3" s="21">
        <v>0.0</v>
      </c>
      <c r="B3" s="21">
        <v>0.0</v>
      </c>
      <c r="C3" s="21" t="s">
        <v>2292</v>
      </c>
      <c r="D3" s="21">
        <v>2.0</v>
      </c>
      <c r="E3" s="21">
        <f>5*2</f>
        <v>10</v>
      </c>
      <c r="F3" s="21">
        <f>-3*2</f>
        <v>-6</v>
      </c>
      <c r="G3" s="21"/>
      <c r="H3" s="21"/>
      <c r="I3" s="21"/>
    </row>
    <row r="4">
      <c r="A4" s="26">
        <v>1.0</v>
      </c>
      <c r="B4" s="26">
        <v>0.0</v>
      </c>
      <c r="C4" s="26" t="s">
        <v>2292</v>
      </c>
      <c r="D4" s="26">
        <v>3.0</v>
      </c>
      <c r="E4" s="26">
        <f>5*3</f>
        <v>15</v>
      </c>
      <c r="F4" s="26">
        <f>-3*3</f>
        <v>-9</v>
      </c>
      <c r="G4" s="26"/>
      <c r="H4" s="26"/>
      <c r="I4" s="26"/>
    </row>
    <row r="5">
      <c r="A5" s="21">
        <v>2.0</v>
      </c>
      <c r="B5" s="21">
        <v>0.0</v>
      </c>
      <c r="C5" s="21" t="s">
        <v>2292</v>
      </c>
      <c r="D5" s="21">
        <v>4.0</v>
      </c>
      <c r="E5" s="21">
        <f>5*4</f>
        <v>20</v>
      </c>
      <c r="F5" s="21">
        <f>-3*4</f>
        <v>-12</v>
      </c>
      <c r="G5" s="21"/>
      <c r="H5" s="21"/>
      <c r="I5" s="21"/>
    </row>
    <row r="6">
      <c r="A6" s="26">
        <v>3.0</v>
      </c>
      <c r="B6" s="26">
        <v>0.0</v>
      </c>
      <c r="C6" s="26" t="s">
        <v>2292</v>
      </c>
      <c r="D6" s="26">
        <v>5.0</v>
      </c>
      <c r="E6" s="26">
        <f>5*5</f>
        <v>25</v>
      </c>
      <c r="F6" s="26">
        <f>-3*5</f>
        <v>-15</v>
      </c>
      <c r="G6" s="26"/>
      <c r="H6" s="26"/>
      <c r="I6" s="26"/>
    </row>
    <row r="7">
      <c r="A7" s="21">
        <v>4.0</v>
      </c>
      <c r="B7" s="21">
        <v>0.0</v>
      </c>
      <c r="C7" s="21" t="s">
        <v>2292</v>
      </c>
      <c r="D7" s="21">
        <v>6.0</v>
      </c>
      <c r="E7" s="21">
        <f>5*6</f>
        <v>30</v>
      </c>
      <c r="F7" s="21">
        <f>-3*6</f>
        <v>-18</v>
      </c>
      <c r="G7" s="21"/>
      <c r="H7" s="21"/>
      <c r="I7" s="21"/>
    </row>
    <row r="8">
      <c r="A8" s="26">
        <v>5.0</v>
      </c>
      <c r="B8" s="26">
        <v>1.0</v>
      </c>
      <c r="C8" s="26" t="s">
        <v>2294</v>
      </c>
      <c r="D8" s="26">
        <v>2.0</v>
      </c>
      <c r="E8" s="26">
        <f>1.05*2</f>
        <v>2.1</v>
      </c>
      <c r="F8" s="26">
        <f>-1.5*2</f>
        <v>-3</v>
      </c>
      <c r="G8" s="26"/>
      <c r="H8" s="26"/>
      <c r="I8" s="26"/>
    </row>
    <row r="9">
      <c r="A9" s="21">
        <v>6.0</v>
      </c>
      <c r="B9" s="21">
        <v>1.0</v>
      </c>
      <c r="C9" s="21" t="s">
        <v>2294</v>
      </c>
      <c r="D9" s="21">
        <v>3.0</v>
      </c>
      <c r="E9" s="21">
        <f>1.05*3</f>
        <v>3.15</v>
      </c>
      <c r="F9" s="21">
        <f>-1.5*3</f>
        <v>-4.5</v>
      </c>
      <c r="G9" s="21"/>
      <c r="H9" s="21"/>
      <c r="I9" s="21"/>
    </row>
    <row r="10">
      <c r="A10" s="26">
        <v>7.0</v>
      </c>
      <c r="B10" s="26">
        <v>1.0</v>
      </c>
      <c r="C10" s="26" t="s">
        <v>2294</v>
      </c>
      <c r="D10" s="26">
        <v>4.0</v>
      </c>
      <c r="E10" s="26">
        <f>1.05*4</f>
        <v>4.2</v>
      </c>
      <c r="F10" s="26">
        <f>-1.5*4</f>
        <v>-6</v>
      </c>
      <c r="G10" s="26"/>
      <c r="H10" s="26"/>
      <c r="I10" s="26"/>
    </row>
    <row r="11">
      <c r="A11" s="21">
        <v>8.0</v>
      </c>
      <c r="B11" s="21">
        <v>1.0</v>
      </c>
      <c r="C11" s="21" t="s">
        <v>2294</v>
      </c>
      <c r="D11" s="21">
        <v>5.0</v>
      </c>
      <c r="E11" s="21">
        <f>1.05*5</f>
        <v>5.25</v>
      </c>
      <c r="F11" s="21">
        <f>-1.5*5</f>
        <v>-7.5</v>
      </c>
      <c r="G11" s="21"/>
      <c r="H11" s="21"/>
      <c r="I11" s="21"/>
    </row>
    <row r="12">
      <c r="A12" s="26">
        <v>9.0</v>
      </c>
      <c r="B12" s="26">
        <v>1.0</v>
      </c>
      <c r="C12" s="26" t="s">
        <v>2294</v>
      </c>
      <c r="D12" s="26">
        <v>6.0</v>
      </c>
      <c r="E12" s="26">
        <f>1.05*6</f>
        <v>6.3</v>
      </c>
      <c r="F12" s="26">
        <f>-1.5*6</f>
        <v>-9</v>
      </c>
      <c r="G12" s="26"/>
      <c r="H12" s="26"/>
      <c r="I12" s="26"/>
    </row>
    <row r="13">
      <c r="A13" s="21">
        <v>10.0</v>
      </c>
      <c r="B13" s="63">
        <v>2.0</v>
      </c>
      <c r="C13" s="21" t="s">
        <v>2295</v>
      </c>
      <c r="D13" s="63">
        <v>2.0</v>
      </c>
      <c r="E13" s="21">
        <f>5*2</f>
        <v>10</v>
      </c>
      <c r="F13" s="63">
        <f>-3*2</f>
        <v>-6</v>
      </c>
      <c r="G13" s="21"/>
      <c r="H13" s="21"/>
      <c r="I13" s="63"/>
    </row>
    <row r="14">
      <c r="A14" s="26">
        <v>11.0</v>
      </c>
      <c r="B14" s="65">
        <v>2.0</v>
      </c>
      <c r="C14" s="26" t="s">
        <v>2295</v>
      </c>
      <c r="D14" s="65">
        <v>3.0</v>
      </c>
      <c r="E14" s="26">
        <f>5*3</f>
        <v>15</v>
      </c>
      <c r="F14" s="65">
        <f>-3*3</f>
        <v>-9</v>
      </c>
      <c r="G14" s="26"/>
      <c r="H14" s="26"/>
      <c r="I14" s="65"/>
    </row>
    <row r="15">
      <c r="A15" s="21">
        <v>12.0</v>
      </c>
      <c r="B15" s="63">
        <v>2.0</v>
      </c>
      <c r="C15" s="21" t="s">
        <v>2295</v>
      </c>
      <c r="D15" s="63">
        <v>4.0</v>
      </c>
      <c r="E15" s="21">
        <f>5*4</f>
        <v>20</v>
      </c>
      <c r="F15" s="63">
        <f>-3*4</f>
        <v>-12</v>
      </c>
      <c r="G15" s="21"/>
      <c r="H15" s="21"/>
      <c r="I15" s="63"/>
    </row>
    <row r="16">
      <c r="A16" s="26">
        <v>13.0</v>
      </c>
      <c r="B16" s="65">
        <v>2.0</v>
      </c>
      <c r="C16" s="26" t="s">
        <v>2295</v>
      </c>
      <c r="D16" s="65">
        <v>5.0</v>
      </c>
      <c r="E16" s="26">
        <f>5*5</f>
        <v>25</v>
      </c>
      <c r="F16" s="65">
        <f>-3*5</f>
        <v>-15</v>
      </c>
      <c r="G16" s="26"/>
      <c r="H16" s="26"/>
      <c r="I16" s="65"/>
    </row>
    <row r="17">
      <c r="A17" s="21">
        <v>14.0</v>
      </c>
      <c r="B17" s="63">
        <v>2.0</v>
      </c>
      <c r="C17" s="21" t="s">
        <v>2295</v>
      </c>
      <c r="D17" s="63">
        <v>6.0</v>
      </c>
      <c r="E17" s="21">
        <f>5*6</f>
        <v>30</v>
      </c>
      <c r="F17" s="63">
        <f>-3*6</f>
        <v>-18</v>
      </c>
      <c r="G17" s="21"/>
      <c r="H17" s="21"/>
      <c r="I17" s="63"/>
    </row>
    <row r="18">
      <c r="A18" s="26">
        <v>15.0</v>
      </c>
      <c r="B18" s="65">
        <v>3.0</v>
      </c>
      <c r="C18" s="26" t="s">
        <v>2296</v>
      </c>
      <c r="D18" s="65">
        <v>2.0</v>
      </c>
      <c r="E18" s="26">
        <f>1.05*2</f>
        <v>2.1</v>
      </c>
      <c r="F18" s="65">
        <f>-1.5*2</f>
        <v>-3</v>
      </c>
      <c r="G18" s="26"/>
      <c r="H18" s="26"/>
      <c r="I18" s="65"/>
    </row>
    <row r="19">
      <c r="A19" s="21">
        <v>16.0</v>
      </c>
      <c r="B19" s="63">
        <v>3.0</v>
      </c>
      <c r="C19" s="21" t="s">
        <v>2296</v>
      </c>
      <c r="D19" s="63">
        <v>3.0</v>
      </c>
      <c r="E19" s="21">
        <f>1.05*3</f>
        <v>3.15</v>
      </c>
      <c r="F19" s="63">
        <f>-1.5*3</f>
        <v>-4.5</v>
      </c>
      <c r="G19" s="21"/>
      <c r="H19" s="21"/>
      <c r="I19" s="63"/>
    </row>
    <row r="20">
      <c r="A20" s="26">
        <v>17.0</v>
      </c>
      <c r="B20" s="65">
        <v>3.0</v>
      </c>
      <c r="C20" s="26" t="s">
        <v>2296</v>
      </c>
      <c r="D20" s="65">
        <v>4.0</v>
      </c>
      <c r="E20" s="26">
        <f>1.05*4</f>
        <v>4.2</v>
      </c>
      <c r="F20" s="65">
        <f>-1.5*4</f>
        <v>-6</v>
      </c>
      <c r="G20" s="26"/>
      <c r="H20" s="26"/>
      <c r="I20" s="65"/>
    </row>
    <row r="21">
      <c r="A21" s="21">
        <v>18.0</v>
      </c>
      <c r="B21" s="63">
        <v>3.0</v>
      </c>
      <c r="C21" s="21" t="s">
        <v>2296</v>
      </c>
      <c r="D21" s="63">
        <v>5.0</v>
      </c>
      <c r="E21" s="21">
        <f>1.05*5</f>
        <v>5.25</v>
      </c>
      <c r="F21" s="63">
        <f>-1.5*5</f>
        <v>-7.5</v>
      </c>
      <c r="G21" s="21"/>
      <c r="H21" s="21"/>
      <c r="I21" s="63"/>
    </row>
    <row r="22">
      <c r="A22" s="26">
        <v>19.0</v>
      </c>
      <c r="B22" s="65">
        <v>3.0</v>
      </c>
      <c r="C22" s="26" t="s">
        <v>2296</v>
      </c>
      <c r="D22" s="65">
        <v>6.0</v>
      </c>
      <c r="E22" s="26">
        <f>1.05*6</f>
        <v>6.3</v>
      </c>
      <c r="F22" s="65">
        <f>-1.5*6</f>
        <v>-9</v>
      </c>
      <c r="G22" s="26"/>
      <c r="H22" s="26"/>
      <c r="I22" s="65"/>
    </row>
    <row r="23">
      <c r="A23" s="21">
        <v>20.0</v>
      </c>
      <c r="B23" s="63">
        <v>4.0</v>
      </c>
      <c r="C23" s="21" t="s">
        <v>2297</v>
      </c>
      <c r="D23" s="63">
        <v>2.0</v>
      </c>
      <c r="E23" s="21">
        <f>5*2</f>
        <v>10</v>
      </c>
      <c r="F23" s="63">
        <f>-3*2</f>
        <v>-6</v>
      </c>
      <c r="G23" s="21"/>
      <c r="H23" s="21"/>
      <c r="I23" s="63"/>
    </row>
    <row r="24">
      <c r="A24" s="26">
        <v>21.0</v>
      </c>
      <c r="B24" s="65">
        <v>4.0</v>
      </c>
      <c r="C24" s="26" t="s">
        <v>2297</v>
      </c>
      <c r="D24" s="65">
        <v>3.0</v>
      </c>
      <c r="E24" s="26">
        <f>5*3</f>
        <v>15</v>
      </c>
      <c r="F24" s="65">
        <f>-3*3</f>
        <v>-9</v>
      </c>
      <c r="G24" s="26"/>
      <c r="H24" s="26"/>
      <c r="I24" s="65"/>
    </row>
    <row r="25">
      <c r="A25" s="21">
        <v>22.0</v>
      </c>
      <c r="B25" s="63">
        <v>4.0</v>
      </c>
      <c r="C25" s="21" t="s">
        <v>2297</v>
      </c>
      <c r="D25" s="63">
        <v>4.0</v>
      </c>
      <c r="E25" s="21">
        <f>5*4</f>
        <v>20</v>
      </c>
      <c r="F25" s="63">
        <f>-3*4</f>
        <v>-12</v>
      </c>
      <c r="G25" s="21"/>
      <c r="H25" s="21"/>
      <c r="I25" s="63"/>
    </row>
    <row r="26">
      <c r="A26" s="26">
        <v>23.0</v>
      </c>
      <c r="B26" s="65">
        <v>4.0</v>
      </c>
      <c r="C26" s="26" t="s">
        <v>2297</v>
      </c>
      <c r="D26" s="65">
        <v>5.0</v>
      </c>
      <c r="E26" s="26">
        <f>5*5</f>
        <v>25</v>
      </c>
      <c r="F26" s="65">
        <f>-3*5</f>
        <v>-15</v>
      </c>
      <c r="G26" s="26"/>
      <c r="H26" s="26"/>
      <c r="I26" s="65"/>
    </row>
    <row r="27">
      <c r="A27" s="21">
        <v>24.0</v>
      </c>
      <c r="B27" s="63">
        <v>4.0</v>
      </c>
      <c r="C27" s="21" t="s">
        <v>2297</v>
      </c>
      <c r="D27" s="63">
        <v>6.0</v>
      </c>
      <c r="E27" s="21">
        <f>5*6</f>
        <v>30</v>
      </c>
      <c r="F27" s="63">
        <f>-3*6</f>
        <v>-18</v>
      </c>
      <c r="G27" s="21"/>
      <c r="H27" s="21"/>
      <c r="I27" s="63"/>
    </row>
    <row r="28">
      <c r="A28" s="26">
        <v>25.0</v>
      </c>
      <c r="B28" s="65">
        <v>5.0</v>
      </c>
      <c r="C28" s="26" t="s">
        <v>2298</v>
      </c>
      <c r="D28" s="65">
        <v>2.0</v>
      </c>
      <c r="E28" s="26">
        <f>1.05*2</f>
        <v>2.1</v>
      </c>
      <c r="F28" s="65">
        <f>-1.5*2</f>
        <v>-3</v>
      </c>
      <c r="G28" s="26"/>
      <c r="H28" s="26"/>
      <c r="I28" s="65"/>
    </row>
    <row r="29">
      <c r="A29" s="21">
        <v>26.0</v>
      </c>
      <c r="B29" s="63">
        <v>5.0</v>
      </c>
      <c r="C29" s="21" t="s">
        <v>2298</v>
      </c>
      <c r="D29" s="63">
        <v>3.0</v>
      </c>
      <c r="E29" s="21">
        <f>1.05*3</f>
        <v>3.15</v>
      </c>
      <c r="F29" s="63">
        <f>-1.5*3</f>
        <v>-4.5</v>
      </c>
      <c r="G29" s="21"/>
      <c r="H29" s="21"/>
      <c r="I29" s="63"/>
    </row>
    <row r="30">
      <c r="A30" s="26">
        <v>27.0</v>
      </c>
      <c r="B30" s="65">
        <v>5.0</v>
      </c>
      <c r="C30" s="26" t="s">
        <v>2298</v>
      </c>
      <c r="D30" s="65">
        <v>4.0</v>
      </c>
      <c r="E30" s="26">
        <f>1.05*4</f>
        <v>4.2</v>
      </c>
      <c r="F30" s="65">
        <f>-1.5*4</f>
        <v>-6</v>
      </c>
      <c r="G30" s="26"/>
      <c r="H30" s="26"/>
      <c r="I30" s="65"/>
    </row>
    <row r="31">
      <c r="A31" s="21">
        <v>28.0</v>
      </c>
      <c r="B31" s="63">
        <v>5.0</v>
      </c>
      <c r="C31" s="21" t="s">
        <v>2298</v>
      </c>
      <c r="D31" s="63">
        <v>5.0</v>
      </c>
      <c r="E31" s="21">
        <f>1.05*5</f>
        <v>5.25</v>
      </c>
      <c r="F31" s="63">
        <f>-1.5*5</f>
        <v>-7.5</v>
      </c>
      <c r="G31" s="21"/>
      <c r="H31" s="21"/>
      <c r="I31" s="63"/>
    </row>
    <row r="32">
      <c r="A32" s="26">
        <v>29.0</v>
      </c>
      <c r="B32" s="65">
        <v>5.0</v>
      </c>
      <c r="C32" s="26" t="s">
        <v>2298</v>
      </c>
      <c r="D32" s="65">
        <v>6.0</v>
      </c>
      <c r="E32" s="26">
        <f>1.05*6</f>
        <v>6.3</v>
      </c>
      <c r="F32" s="65">
        <f>-1.5*6</f>
        <v>-9</v>
      </c>
      <c r="G32" s="26"/>
      <c r="H32" s="26"/>
      <c r="I32" s="65"/>
    </row>
    <row r="33">
      <c r="A33" s="21">
        <v>30.0</v>
      </c>
      <c r="B33" s="63">
        <v>6.0</v>
      </c>
      <c r="C33" s="21" t="s">
        <v>2299</v>
      </c>
      <c r="D33" s="63">
        <v>2.0</v>
      </c>
      <c r="E33" s="21">
        <f>5*2</f>
        <v>10</v>
      </c>
      <c r="F33" s="63">
        <f>-3*2</f>
        <v>-6</v>
      </c>
      <c r="G33" s="21"/>
      <c r="H33" s="21"/>
      <c r="I33" s="63"/>
    </row>
    <row r="34">
      <c r="A34" s="26">
        <v>31.0</v>
      </c>
      <c r="B34" s="65">
        <v>6.0</v>
      </c>
      <c r="C34" s="26" t="s">
        <v>2299</v>
      </c>
      <c r="D34" s="65">
        <v>3.0</v>
      </c>
      <c r="E34" s="26">
        <f>5*3</f>
        <v>15</v>
      </c>
      <c r="F34" s="65">
        <f>-3*3</f>
        <v>-9</v>
      </c>
      <c r="G34" s="26"/>
      <c r="H34" s="26"/>
      <c r="I34" s="65"/>
    </row>
    <row r="35">
      <c r="A35" s="21">
        <v>32.0</v>
      </c>
      <c r="B35" s="21">
        <v>6.0</v>
      </c>
      <c r="C35" s="21" t="s">
        <v>2299</v>
      </c>
      <c r="D35" s="21">
        <v>4.0</v>
      </c>
      <c r="E35" s="21">
        <f>5*4</f>
        <v>20</v>
      </c>
      <c r="F35" s="21">
        <f>-3*4</f>
        <v>-12</v>
      </c>
      <c r="G35" s="21"/>
      <c r="H35" s="21"/>
      <c r="I35" s="21"/>
    </row>
    <row r="36">
      <c r="A36" s="26">
        <v>33.0</v>
      </c>
      <c r="B36" s="26">
        <v>6.0</v>
      </c>
      <c r="C36" s="26" t="s">
        <v>2299</v>
      </c>
      <c r="D36" s="26">
        <v>5.0</v>
      </c>
      <c r="E36" s="26">
        <f>5*5</f>
        <v>25</v>
      </c>
      <c r="F36" s="26">
        <f>-3*5</f>
        <v>-15</v>
      </c>
      <c r="G36" s="26"/>
      <c r="H36" s="26"/>
      <c r="I36" s="26"/>
    </row>
    <row r="37">
      <c r="A37" s="21">
        <v>34.0</v>
      </c>
      <c r="B37" s="21">
        <v>6.0</v>
      </c>
      <c r="C37" s="21" t="s">
        <v>2299</v>
      </c>
      <c r="D37" s="21">
        <v>6.0</v>
      </c>
      <c r="E37" s="21">
        <f>5*6</f>
        <v>30</v>
      </c>
      <c r="F37" s="21">
        <f>-3*6</f>
        <v>-18</v>
      </c>
      <c r="G37" s="21"/>
      <c r="H37" s="21"/>
      <c r="I37" s="21"/>
    </row>
    <row r="38">
      <c r="A38" s="26">
        <v>35.0</v>
      </c>
      <c r="B38" s="26">
        <v>7.0</v>
      </c>
      <c r="C38" s="26" t="s">
        <v>2300</v>
      </c>
      <c r="D38" s="26">
        <v>2.0</v>
      </c>
      <c r="E38" s="26">
        <f>1.05*2</f>
        <v>2.1</v>
      </c>
      <c r="F38" s="26">
        <f>-1.5*2</f>
        <v>-3</v>
      </c>
      <c r="G38" s="26"/>
      <c r="H38" s="26"/>
      <c r="I38" s="26"/>
    </row>
    <row r="39">
      <c r="A39" s="21">
        <v>36.0</v>
      </c>
      <c r="B39" s="21">
        <v>7.0</v>
      </c>
      <c r="C39" s="21" t="s">
        <v>2300</v>
      </c>
      <c r="D39" s="21">
        <v>3.0</v>
      </c>
      <c r="E39" s="21">
        <f>1.05*3</f>
        <v>3.15</v>
      </c>
      <c r="F39" s="21">
        <f>-1.5*3</f>
        <v>-4.5</v>
      </c>
      <c r="G39" s="21"/>
      <c r="H39" s="21"/>
      <c r="I39" s="21"/>
    </row>
    <row r="40">
      <c r="A40" s="26">
        <v>37.0</v>
      </c>
      <c r="B40" s="26">
        <v>7.0</v>
      </c>
      <c r="C40" s="26" t="s">
        <v>2300</v>
      </c>
      <c r="D40" s="26">
        <v>4.0</v>
      </c>
      <c r="E40" s="26">
        <f>1.05*4</f>
        <v>4.2</v>
      </c>
      <c r="F40" s="26">
        <f>-1.5*4</f>
        <v>-6</v>
      </c>
      <c r="G40" s="26"/>
      <c r="H40" s="26"/>
      <c r="I40" s="26"/>
    </row>
    <row r="41">
      <c r="A41" s="21">
        <v>38.0</v>
      </c>
      <c r="B41" s="21">
        <v>7.0</v>
      </c>
      <c r="C41" s="21" t="s">
        <v>2300</v>
      </c>
      <c r="D41" s="21">
        <v>5.0</v>
      </c>
      <c r="E41" s="21">
        <f>1.05*5</f>
        <v>5.25</v>
      </c>
      <c r="F41" s="21">
        <f>-1.5*5</f>
        <v>-7.5</v>
      </c>
      <c r="G41" s="21"/>
      <c r="H41" s="21"/>
      <c r="I41" s="21"/>
    </row>
    <row r="42">
      <c r="A42" s="26">
        <v>39.0</v>
      </c>
      <c r="B42" s="26">
        <v>7.0</v>
      </c>
      <c r="C42" s="26" t="s">
        <v>2300</v>
      </c>
      <c r="D42" s="26">
        <v>6.0</v>
      </c>
      <c r="E42" s="26">
        <f>1.05*6</f>
        <v>6.3</v>
      </c>
      <c r="F42" s="26">
        <f>-1.5*6</f>
        <v>-9</v>
      </c>
      <c r="G42" s="26"/>
      <c r="H42" s="26"/>
      <c r="I42" s="26"/>
    </row>
    <row r="43">
      <c r="A43" s="21"/>
      <c r="B43" s="21"/>
      <c r="C43" s="21"/>
      <c r="D43" s="21"/>
      <c r="E43" s="21"/>
      <c r="F43" s="21"/>
      <c r="G43" s="21"/>
      <c r="H43" s="21"/>
      <c r="I43" s="21"/>
    </row>
    <row r="44">
      <c r="A44" s="26"/>
      <c r="B44" s="26"/>
      <c r="C44" s="26"/>
      <c r="D44" s="26"/>
      <c r="E44" s="26"/>
      <c r="F44" s="26"/>
      <c r="G44" s="26"/>
      <c r="H44" s="26"/>
      <c r="I44" s="26"/>
    </row>
    <row r="45">
      <c r="A45" s="21"/>
      <c r="B45" s="63"/>
      <c r="C45" s="21"/>
      <c r="D45" s="63"/>
      <c r="E45" s="21"/>
      <c r="F45" s="63"/>
      <c r="G45" s="21"/>
      <c r="H45" s="21"/>
      <c r="I45" s="63"/>
    </row>
    <row r="46">
      <c r="A46" s="26"/>
      <c r="B46" s="65"/>
      <c r="C46" s="26"/>
      <c r="D46" s="65"/>
      <c r="E46" s="26"/>
      <c r="F46" s="65"/>
      <c r="G46" s="26"/>
      <c r="H46" s="26"/>
      <c r="I46" s="65"/>
    </row>
    <row r="47">
      <c r="A47" s="21"/>
      <c r="B47" s="63"/>
      <c r="C47" s="21"/>
      <c r="D47" s="63"/>
      <c r="E47" s="21"/>
      <c r="F47" s="63"/>
      <c r="G47" s="21"/>
      <c r="H47" s="21"/>
      <c r="I47" s="63"/>
    </row>
    <row r="48">
      <c r="A48" s="26"/>
      <c r="B48" s="65"/>
      <c r="C48" s="26"/>
      <c r="D48" s="65"/>
      <c r="E48" s="26"/>
      <c r="F48" s="65"/>
      <c r="G48" s="26"/>
      <c r="H48" s="26"/>
      <c r="I48" s="65"/>
    </row>
    <row r="49">
      <c r="A49" s="21"/>
      <c r="B49" s="63"/>
      <c r="C49" s="21"/>
      <c r="D49" s="63"/>
      <c r="E49" s="21"/>
      <c r="F49" s="63"/>
      <c r="G49" s="21"/>
      <c r="H49" s="21"/>
      <c r="I49" s="63"/>
    </row>
    <row r="50">
      <c r="A50" s="26"/>
      <c r="B50" s="65"/>
      <c r="C50" s="26"/>
      <c r="D50" s="65"/>
      <c r="E50" s="26"/>
      <c r="F50" s="65"/>
      <c r="G50" s="26"/>
      <c r="H50" s="26"/>
      <c r="I50" s="65"/>
    </row>
    <row r="51">
      <c r="A51" s="21"/>
      <c r="B51" s="63"/>
      <c r="C51" s="21"/>
      <c r="D51" s="63"/>
      <c r="E51" s="21"/>
      <c r="F51" s="63"/>
      <c r="G51" s="21"/>
      <c r="H51" s="21"/>
      <c r="I51" s="63"/>
    </row>
    <row r="52">
      <c r="A52" s="26"/>
      <c r="B52" s="65"/>
      <c r="C52" s="26"/>
      <c r="D52" s="65"/>
      <c r="E52" s="26"/>
      <c r="F52" s="65"/>
      <c r="G52" s="26"/>
      <c r="H52" s="26"/>
      <c r="I52" s="65"/>
    </row>
    <row r="53">
      <c r="A53" s="21"/>
      <c r="B53" s="63"/>
      <c r="C53" s="21"/>
      <c r="D53" s="63"/>
      <c r="E53" s="21"/>
      <c r="F53" s="63"/>
      <c r="G53" s="21"/>
      <c r="H53" s="21"/>
      <c r="I53" s="63"/>
    </row>
    <row r="54">
      <c r="A54" s="26"/>
      <c r="B54" s="65"/>
      <c r="C54" s="26"/>
      <c r="D54" s="65"/>
      <c r="E54" s="26"/>
      <c r="F54" s="65"/>
      <c r="G54" s="26"/>
      <c r="H54" s="26"/>
      <c r="I54" s="65"/>
    </row>
    <row r="55">
      <c r="A55" s="21"/>
      <c r="B55" s="63"/>
      <c r="C55" s="21"/>
      <c r="D55" s="63"/>
      <c r="E55" s="21"/>
      <c r="F55" s="63"/>
      <c r="G55" s="21"/>
      <c r="H55" s="21"/>
      <c r="I55" s="63"/>
    </row>
    <row r="56">
      <c r="A56" s="26"/>
      <c r="B56" s="65"/>
      <c r="C56" s="26"/>
      <c r="D56" s="65"/>
      <c r="E56" s="26"/>
      <c r="F56" s="65"/>
      <c r="G56" s="26"/>
      <c r="H56" s="26"/>
      <c r="I56" s="65"/>
    </row>
    <row r="57">
      <c r="A57" s="21"/>
      <c r="B57" s="63"/>
      <c r="C57" s="21"/>
      <c r="D57" s="63"/>
      <c r="E57" s="21"/>
      <c r="F57" s="63"/>
      <c r="G57" s="21"/>
      <c r="H57" s="21"/>
      <c r="I57" s="63"/>
    </row>
    <row r="58">
      <c r="A58" s="26"/>
      <c r="B58" s="65"/>
      <c r="C58" s="26"/>
      <c r="D58" s="65"/>
      <c r="E58" s="26"/>
      <c r="F58" s="65"/>
      <c r="G58" s="26"/>
      <c r="H58" s="26"/>
      <c r="I58" s="65"/>
    </row>
    <row r="59">
      <c r="A59" s="21"/>
      <c r="B59" s="63"/>
      <c r="C59" s="21"/>
      <c r="D59" s="63"/>
      <c r="E59" s="21"/>
      <c r="F59" s="63"/>
      <c r="G59" s="21"/>
      <c r="H59" s="21"/>
      <c r="I59" s="63"/>
    </row>
    <row r="60">
      <c r="A60" s="26"/>
      <c r="B60" s="65"/>
      <c r="C60" s="26"/>
      <c r="D60" s="65"/>
      <c r="E60" s="26"/>
      <c r="F60" s="65"/>
      <c r="G60" s="26"/>
      <c r="H60" s="26"/>
      <c r="I60" s="65"/>
    </row>
    <row r="61">
      <c r="A61" s="21"/>
      <c r="B61" s="63"/>
      <c r="C61" s="21"/>
      <c r="D61" s="63"/>
      <c r="E61" s="21"/>
      <c r="F61" s="63"/>
      <c r="G61" s="21"/>
      <c r="H61" s="21"/>
      <c r="I61" s="63"/>
    </row>
    <row r="62">
      <c r="A62" s="26"/>
      <c r="B62" s="65"/>
      <c r="C62" s="26"/>
      <c r="D62" s="65"/>
      <c r="E62" s="26"/>
      <c r="F62" s="65"/>
      <c r="G62" s="26"/>
      <c r="H62" s="26"/>
      <c r="I62" s="65"/>
    </row>
    <row r="63">
      <c r="A63" s="21"/>
      <c r="B63" s="63"/>
      <c r="C63" s="21"/>
      <c r="D63" s="63"/>
      <c r="E63" s="21"/>
      <c r="F63" s="63"/>
      <c r="G63" s="21"/>
      <c r="H63" s="21"/>
      <c r="I63" s="63"/>
    </row>
    <row r="64">
      <c r="A64" s="26"/>
      <c r="B64" s="65"/>
      <c r="C64" s="26"/>
      <c r="D64" s="65"/>
      <c r="E64" s="26"/>
      <c r="F64" s="65"/>
      <c r="G64" s="26"/>
      <c r="H64" s="26"/>
      <c r="I64" s="65"/>
    </row>
    <row r="65">
      <c r="A65" s="21"/>
      <c r="B65" s="63"/>
      <c r="C65" s="21"/>
      <c r="D65" s="63"/>
      <c r="E65" s="21"/>
      <c r="F65" s="63"/>
      <c r="G65" s="21"/>
      <c r="H65" s="21"/>
      <c r="I65" s="63"/>
    </row>
    <row r="66">
      <c r="A66" s="26"/>
      <c r="B66" s="65"/>
      <c r="C66" s="26"/>
      <c r="D66" s="65"/>
      <c r="E66" s="26"/>
      <c r="F66" s="65"/>
      <c r="G66" s="26"/>
      <c r="H66" s="26"/>
      <c r="I66" s="6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32.29"/>
    <col customWidth="1" min="4" max="4" width="55.0"/>
    <col customWidth="1" min="5" max="5" width="45.71"/>
    <col customWidth="1" min="6" max="6" width="21.57"/>
  </cols>
  <sheetData>
    <row r="1">
      <c r="A1" s="60" t="s">
        <v>2307</v>
      </c>
      <c r="B1" s="16"/>
      <c r="C1" s="16"/>
      <c r="D1" s="16"/>
      <c r="E1" s="17"/>
      <c r="F1" s="17"/>
    </row>
    <row r="2">
      <c r="A2" s="94" t="s">
        <v>14</v>
      </c>
      <c r="B2" s="18" t="s">
        <v>2308</v>
      </c>
      <c r="C2" s="18" t="s">
        <v>2309</v>
      </c>
      <c r="D2" s="19" t="s">
        <v>27</v>
      </c>
      <c r="E2" s="19" t="s">
        <v>2310</v>
      </c>
      <c r="F2" s="19" t="s">
        <v>2215</v>
      </c>
    </row>
    <row r="3">
      <c r="A3" s="95">
        <v>0.0</v>
      </c>
      <c r="B3" s="23" t="s">
        <v>2311</v>
      </c>
      <c r="C3" s="42">
        <v>25.0</v>
      </c>
      <c r="D3" s="23" t="s">
        <v>2312</v>
      </c>
      <c r="E3" s="23" t="s">
        <v>2313</v>
      </c>
      <c r="F3" s="22" t="s">
        <v>2314</v>
      </c>
    </row>
    <row r="4">
      <c r="A4" s="96">
        <v>1.0</v>
      </c>
      <c r="B4" s="27" t="s">
        <v>2315</v>
      </c>
      <c r="C4" s="45">
        <v>1.0</v>
      </c>
      <c r="D4" s="27" t="s">
        <v>2316</v>
      </c>
      <c r="E4" s="28" t="s">
        <v>2317</v>
      </c>
      <c r="F4" s="27" t="s">
        <v>2314</v>
      </c>
    </row>
    <row r="5">
      <c r="A5" s="95">
        <v>2.0</v>
      </c>
      <c r="B5" s="22" t="s">
        <v>2318</v>
      </c>
      <c r="C5" s="42">
        <v>1.0</v>
      </c>
      <c r="D5" s="23" t="s">
        <v>2319</v>
      </c>
      <c r="E5" s="23" t="s">
        <v>2320</v>
      </c>
      <c r="F5" s="22" t="s">
        <v>2314</v>
      </c>
    </row>
    <row r="6">
      <c r="A6" s="96">
        <v>3.0</v>
      </c>
      <c r="B6" s="27" t="s">
        <v>2321</v>
      </c>
      <c r="C6" s="45" t="s">
        <v>2322</v>
      </c>
      <c r="D6" s="27" t="s">
        <v>2323</v>
      </c>
      <c r="E6" s="27" t="s">
        <v>2324</v>
      </c>
      <c r="F6" s="27" t="s">
        <v>2314</v>
      </c>
    </row>
    <row r="7">
      <c r="A7" s="95">
        <v>4.0</v>
      </c>
      <c r="B7" s="22" t="s">
        <v>2325</v>
      </c>
      <c r="C7" s="42" t="s">
        <v>2322</v>
      </c>
      <c r="D7" s="22" t="s">
        <v>2326</v>
      </c>
      <c r="E7" s="22" t="s">
        <v>2327</v>
      </c>
      <c r="F7" s="22" t="s">
        <v>2314</v>
      </c>
    </row>
    <row r="8">
      <c r="A8" s="96"/>
      <c r="B8" s="27"/>
      <c r="C8" s="45"/>
      <c r="D8" s="27"/>
      <c r="E8" s="27"/>
      <c r="F8" s="2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2026-04-04T14:48:16Z</dcterms:created>
  <dc:creator>openpyxl</dc:creator>
</cp:coreProperties>
</file>